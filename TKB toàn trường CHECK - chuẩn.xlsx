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g\Desktop\UNIGO 2026-2027\TKB toàn trường\"/>
    </mc:Choice>
  </mc:AlternateContent>
  <xr:revisionPtr revIDLastSave="0" documentId="13_ncr:1_{38CD8405-F845-4F3B-88D1-5272238A4B63}" xr6:coauthVersionLast="3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TKB_LOP_SC" sheetId="9" r:id="rId1"/>
    <sheet name="TKB_GV_SC" sheetId="10" r:id="rId2"/>
    <sheet name="TKB_LOP_CHECK" sheetId="11" r:id="rId3"/>
  </sheets>
  <definedNames>
    <definedName name="_xlnm._FilterDatabase" localSheetId="2" hidden="1">TKB_LOP_CHECK!$B$65:$K$845</definedName>
  </definedNames>
  <calcPr calcId="191029"/>
</workbook>
</file>

<file path=xl/calcChain.xml><?xml version="1.0" encoding="utf-8"?>
<calcChain xmlns="http://schemas.openxmlformats.org/spreadsheetml/2006/main">
  <c r="AM125" i="11" l="1"/>
  <c r="AM124" i="11"/>
  <c r="AM123" i="11"/>
  <c r="AM122" i="11"/>
  <c r="J782" i="11" s="1"/>
  <c r="AM121" i="11"/>
  <c r="AM120" i="11"/>
  <c r="J780" i="11" s="1"/>
  <c r="AM119" i="11"/>
  <c r="J779" i="11" s="1"/>
  <c r="AM118" i="11"/>
  <c r="J778" i="11" s="1"/>
  <c r="AM117" i="11"/>
  <c r="AM116" i="11"/>
  <c r="J785" i="11"/>
  <c r="I785" i="11"/>
  <c r="J784" i="11"/>
  <c r="I784" i="11"/>
  <c r="J783" i="11"/>
  <c r="I783" i="11"/>
  <c r="I782" i="11"/>
  <c r="J781" i="11"/>
  <c r="I781" i="11"/>
  <c r="I780" i="11"/>
  <c r="I779" i="11"/>
  <c r="I778" i="11"/>
  <c r="J777" i="11"/>
  <c r="I777" i="11"/>
  <c r="J776" i="11"/>
  <c r="I776" i="11"/>
  <c r="C305" i="11"/>
  <c r="D305" i="11" s="1"/>
  <c r="B305" i="11" s="1"/>
  <c r="C304" i="11"/>
  <c r="D304" i="11" s="1"/>
  <c r="B304" i="11" s="1"/>
  <c r="A304" i="11"/>
  <c r="C303" i="11"/>
  <c r="D303" i="11" s="1"/>
  <c r="B303" i="11" s="1"/>
  <c r="C302" i="11"/>
  <c r="D302" i="11" s="1"/>
  <c r="B302" i="11" s="1"/>
  <c r="C301" i="11"/>
  <c r="D301" i="11" s="1"/>
  <c r="B301" i="11" s="1"/>
  <c r="C300" i="11"/>
  <c r="D300" i="11" s="1"/>
  <c r="B300" i="11" s="1"/>
  <c r="A300" i="11"/>
  <c r="C299" i="11"/>
  <c r="D299" i="11" s="1"/>
  <c r="B299" i="11" s="1"/>
  <c r="C298" i="11"/>
  <c r="D298" i="11" s="1"/>
  <c r="B298" i="11" s="1"/>
  <c r="C297" i="11"/>
  <c r="D297" i="11" s="1"/>
  <c r="B297" i="11" s="1"/>
  <c r="C296" i="11"/>
  <c r="D296" i="11" s="1"/>
  <c r="B296" i="11" s="1"/>
  <c r="A296" i="11"/>
  <c r="C290" i="11"/>
  <c r="D290" i="11" s="1"/>
  <c r="B290" i="11" s="1"/>
  <c r="I290" i="11"/>
  <c r="J290" i="11"/>
  <c r="I296" i="11"/>
  <c r="J296" i="11"/>
  <c r="I297" i="11"/>
  <c r="J297" i="11"/>
  <c r="I298" i="11"/>
  <c r="J298" i="11"/>
  <c r="I299" i="11"/>
  <c r="J299" i="11"/>
  <c r="I300" i="11"/>
  <c r="J300" i="11"/>
  <c r="I301" i="11"/>
  <c r="J301" i="11"/>
  <c r="I302" i="11"/>
  <c r="J302" i="11"/>
  <c r="I303" i="11"/>
  <c r="J303" i="11"/>
  <c r="I304" i="11"/>
  <c r="J304" i="11"/>
  <c r="I305" i="11"/>
  <c r="J305" i="11"/>
  <c r="AL120" i="11"/>
  <c r="AL119" i="11"/>
  <c r="AL118" i="11"/>
  <c r="AL117" i="11"/>
  <c r="AL116" i="11"/>
  <c r="AL125" i="11"/>
  <c r="AL124" i="11"/>
  <c r="AL123" i="11"/>
  <c r="AL122" i="11"/>
  <c r="AL121" i="11"/>
  <c r="BO60" i="11"/>
  <c r="BN60" i="11"/>
  <c r="BM60" i="11"/>
  <c r="BL60" i="11"/>
  <c r="BO59" i="11"/>
  <c r="BN59" i="11"/>
  <c r="BM59" i="11"/>
  <c r="BL59" i="11"/>
  <c r="BO58" i="11"/>
  <c r="BN58" i="11"/>
  <c r="BM58" i="11"/>
  <c r="BL58" i="11"/>
  <c r="BO57" i="11"/>
  <c r="BN57" i="11"/>
  <c r="BM57" i="11"/>
  <c r="BL57" i="11"/>
  <c r="BO56" i="11"/>
  <c r="BN56" i="11"/>
  <c r="BM56" i="11"/>
  <c r="BL56" i="11"/>
  <c r="A290" i="11" l="1"/>
  <c r="A298" i="11"/>
  <c r="A302" i="11"/>
  <c r="A297" i="11"/>
  <c r="A299" i="11"/>
  <c r="A301" i="11"/>
  <c r="A303" i="11"/>
  <c r="A305" i="11"/>
  <c r="BK60" i="11"/>
  <c r="BK59" i="11"/>
  <c r="BK58" i="11"/>
  <c r="BK57" i="11"/>
  <c r="AP57" i="11" s="1"/>
  <c r="DW57" i="11" s="1"/>
  <c r="BK56" i="11"/>
  <c r="AP56" i="11" s="1"/>
  <c r="DW56" i="11" s="1"/>
  <c r="AS60" i="11"/>
  <c r="DZ60" i="11" s="1"/>
  <c r="AS59" i="11"/>
  <c r="DZ59" i="11" s="1"/>
  <c r="AS58" i="11"/>
  <c r="DZ58" i="11" s="1"/>
  <c r="AS57" i="11"/>
  <c r="DZ57" i="11" s="1"/>
  <c r="AS56" i="11"/>
  <c r="DZ56" i="11" s="1"/>
  <c r="AS55" i="11"/>
  <c r="DZ55" i="11" s="1"/>
  <c r="AS54" i="11"/>
  <c r="DZ54" i="11" s="1"/>
  <c r="AS53" i="11"/>
  <c r="DZ53" i="11" s="1"/>
  <c r="AS52" i="11"/>
  <c r="DZ52" i="11" s="1"/>
  <c r="AS51" i="11"/>
  <c r="DZ51" i="11" s="1"/>
  <c r="AS50" i="11"/>
  <c r="DZ50" i="11" s="1"/>
  <c r="AS49" i="11"/>
  <c r="DZ49" i="11" s="1"/>
  <c r="AS48" i="11"/>
  <c r="DZ48" i="11" s="1"/>
  <c r="AS47" i="11"/>
  <c r="DZ47" i="11" s="1"/>
  <c r="AS46" i="11"/>
  <c r="DZ46" i="11" s="1"/>
  <c r="AS45" i="11"/>
  <c r="DZ45" i="11" s="1"/>
  <c r="AS44" i="11"/>
  <c r="DZ44" i="11" s="1"/>
  <c r="AS43" i="11"/>
  <c r="DZ43" i="11" s="1"/>
  <c r="AS42" i="11"/>
  <c r="DZ42" i="11" s="1"/>
  <c r="AS41" i="11"/>
  <c r="DZ41" i="11" s="1"/>
  <c r="AS40" i="11"/>
  <c r="DZ40" i="11" s="1"/>
  <c r="AS39" i="11"/>
  <c r="DZ39" i="11" s="1"/>
  <c r="AS38" i="11"/>
  <c r="DZ38" i="11" s="1"/>
  <c r="AS37" i="11"/>
  <c r="DZ37" i="11" s="1"/>
  <c r="AS36" i="11"/>
  <c r="DZ36" i="11" s="1"/>
  <c r="AS35" i="11"/>
  <c r="DZ35" i="11" s="1"/>
  <c r="AS34" i="11"/>
  <c r="DZ34" i="11" s="1"/>
  <c r="AS33" i="11"/>
  <c r="DZ33" i="11" s="1"/>
  <c r="AS32" i="11"/>
  <c r="DZ32" i="11" s="1"/>
  <c r="AS31" i="11"/>
  <c r="DZ31" i="11" s="1"/>
  <c r="AS30" i="11"/>
  <c r="DZ30" i="11" s="1"/>
  <c r="AS29" i="11"/>
  <c r="DZ29" i="11" s="1"/>
  <c r="AS28" i="11"/>
  <c r="DZ28" i="11" s="1"/>
  <c r="AS27" i="11"/>
  <c r="DZ27" i="11" s="1"/>
  <c r="AS26" i="11"/>
  <c r="DZ26" i="11" s="1"/>
  <c r="AS25" i="11"/>
  <c r="DZ25" i="11" s="1"/>
  <c r="AS24" i="11"/>
  <c r="DZ24" i="11" s="1"/>
  <c r="AS23" i="11"/>
  <c r="DZ23" i="11" s="1"/>
  <c r="AS22" i="11"/>
  <c r="DZ22" i="11" s="1"/>
  <c r="AS21" i="11"/>
  <c r="DZ21" i="11" s="1"/>
  <c r="AS20" i="11"/>
  <c r="DZ20" i="11" s="1"/>
  <c r="AS19" i="11"/>
  <c r="DZ19" i="11" s="1"/>
  <c r="AS18" i="11"/>
  <c r="DZ18" i="11" s="1"/>
  <c r="AS17" i="11"/>
  <c r="DZ17" i="11" s="1"/>
  <c r="AS16" i="11"/>
  <c r="DZ16" i="11" s="1"/>
  <c r="AS15" i="11"/>
  <c r="DZ15" i="11" s="1"/>
  <c r="AS14" i="11"/>
  <c r="DZ14" i="11" s="1"/>
  <c r="AS13" i="11"/>
  <c r="DZ13" i="11" s="1"/>
  <c r="AS12" i="11"/>
  <c r="DZ12" i="11" s="1"/>
  <c r="AS11" i="11"/>
  <c r="DZ11" i="11" s="1"/>
  <c r="AS10" i="11"/>
  <c r="DZ10" i="11" s="1"/>
  <c r="AS9" i="11"/>
  <c r="DZ9" i="11" s="1"/>
  <c r="AS8" i="11"/>
  <c r="DZ8" i="11" s="1"/>
  <c r="AS7" i="11"/>
  <c r="DZ7" i="11" s="1"/>
  <c r="AS6" i="11"/>
  <c r="DZ6" i="11" s="1"/>
  <c r="AR60" i="11"/>
  <c r="DY60" i="11" s="1"/>
  <c r="AR59" i="11"/>
  <c r="DY59" i="11" s="1"/>
  <c r="AR58" i="11"/>
  <c r="DY58" i="11" s="1"/>
  <c r="AR57" i="11"/>
  <c r="DY57" i="11" s="1"/>
  <c r="AR56" i="11"/>
  <c r="DY56" i="11" s="1"/>
  <c r="AR55" i="11"/>
  <c r="DY55" i="11" s="1"/>
  <c r="AR54" i="11"/>
  <c r="DY54" i="11" s="1"/>
  <c r="AR53" i="11"/>
  <c r="DY53" i="11" s="1"/>
  <c r="AR52" i="11"/>
  <c r="DY52" i="11" s="1"/>
  <c r="AR51" i="11"/>
  <c r="DY51" i="11" s="1"/>
  <c r="AR50" i="11"/>
  <c r="DY50" i="11" s="1"/>
  <c r="AR49" i="11"/>
  <c r="DY49" i="11" s="1"/>
  <c r="AR48" i="11"/>
  <c r="DY48" i="11" s="1"/>
  <c r="AR47" i="11"/>
  <c r="DY47" i="11" s="1"/>
  <c r="AR46" i="11"/>
  <c r="DY46" i="11" s="1"/>
  <c r="AR45" i="11"/>
  <c r="DY45" i="11" s="1"/>
  <c r="AR44" i="11"/>
  <c r="DY44" i="11" s="1"/>
  <c r="AR43" i="11"/>
  <c r="DY43" i="11" s="1"/>
  <c r="AR42" i="11"/>
  <c r="DY42" i="11" s="1"/>
  <c r="AR41" i="11"/>
  <c r="DY41" i="11" s="1"/>
  <c r="AR40" i="11"/>
  <c r="DY40" i="11" s="1"/>
  <c r="AR39" i="11"/>
  <c r="DY39" i="11" s="1"/>
  <c r="AR38" i="11"/>
  <c r="DY38" i="11" s="1"/>
  <c r="AR37" i="11"/>
  <c r="DY37" i="11" s="1"/>
  <c r="AR36" i="11"/>
  <c r="DY36" i="11" s="1"/>
  <c r="AR35" i="11"/>
  <c r="DY35" i="11" s="1"/>
  <c r="AR34" i="11"/>
  <c r="DY34" i="11" s="1"/>
  <c r="AR33" i="11"/>
  <c r="DY33" i="11" s="1"/>
  <c r="AR32" i="11"/>
  <c r="DY32" i="11" s="1"/>
  <c r="AR31" i="11"/>
  <c r="DY31" i="11" s="1"/>
  <c r="AR30" i="11"/>
  <c r="DY30" i="11" s="1"/>
  <c r="AR29" i="11"/>
  <c r="DY29" i="11" s="1"/>
  <c r="AR28" i="11"/>
  <c r="DY28" i="11" s="1"/>
  <c r="AR27" i="11"/>
  <c r="DY27" i="11" s="1"/>
  <c r="AR26" i="11"/>
  <c r="DY26" i="11" s="1"/>
  <c r="AR25" i="11"/>
  <c r="DY25" i="11" s="1"/>
  <c r="AR24" i="11"/>
  <c r="DY24" i="11" s="1"/>
  <c r="AR23" i="11"/>
  <c r="DY23" i="11" s="1"/>
  <c r="AR22" i="11"/>
  <c r="DY22" i="11" s="1"/>
  <c r="AR21" i="11"/>
  <c r="DY21" i="11" s="1"/>
  <c r="AR20" i="11"/>
  <c r="DY20" i="11" s="1"/>
  <c r="AR19" i="11"/>
  <c r="DY19" i="11" s="1"/>
  <c r="AR18" i="11"/>
  <c r="DY18" i="11" s="1"/>
  <c r="AR17" i="11"/>
  <c r="DY17" i="11" s="1"/>
  <c r="AR16" i="11"/>
  <c r="DY16" i="11" s="1"/>
  <c r="AR15" i="11"/>
  <c r="DY15" i="11" s="1"/>
  <c r="AR14" i="11"/>
  <c r="DY14" i="11" s="1"/>
  <c r="AR13" i="11"/>
  <c r="DY13" i="11" s="1"/>
  <c r="AR12" i="11"/>
  <c r="DY12" i="11" s="1"/>
  <c r="AR11" i="11"/>
  <c r="DY11" i="11" s="1"/>
  <c r="AR10" i="11"/>
  <c r="DY10" i="11" s="1"/>
  <c r="AR9" i="11"/>
  <c r="DY9" i="11" s="1"/>
  <c r="AR8" i="11"/>
  <c r="DY8" i="11" s="1"/>
  <c r="AR7" i="11"/>
  <c r="DY7" i="11" s="1"/>
  <c r="AR6" i="11"/>
  <c r="DY6" i="11" s="1"/>
  <c r="AQ60" i="11"/>
  <c r="DX60" i="11" s="1"/>
  <c r="AQ59" i="11"/>
  <c r="DX59" i="11" s="1"/>
  <c r="AQ58" i="11"/>
  <c r="DX58" i="11" s="1"/>
  <c r="AQ57" i="11"/>
  <c r="DX57" i="11" s="1"/>
  <c r="AQ56" i="11"/>
  <c r="DX56" i="11" s="1"/>
  <c r="AQ55" i="11"/>
  <c r="DX55" i="11" s="1"/>
  <c r="AQ54" i="11"/>
  <c r="DX54" i="11" s="1"/>
  <c r="AQ53" i="11"/>
  <c r="DX53" i="11" s="1"/>
  <c r="AQ52" i="11"/>
  <c r="DX52" i="11" s="1"/>
  <c r="AQ51" i="11"/>
  <c r="DX51" i="11" s="1"/>
  <c r="AQ50" i="11"/>
  <c r="DX50" i="11" s="1"/>
  <c r="AQ49" i="11"/>
  <c r="DX49" i="11" s="1"/>
  <c r="AQ48" i="11"/>
  <c r="DX48" i="11" s="1"/>
  <c r="AQ47" i="11"/>
  <c r="DX47" i="11" s="1"/>
  <c r="AQ46" i="11"/>
  <c r="DX46" i="11" s="1"/>
  <c r="AQ45" i="11"/>
  <c r="DX45" i="11" s="1"/>
  <c r="AQ44" i="11"/>
  <c r="DX44" i="11" s="1"/>
  <c r="AQ43" i="11"/>
  <c r="DX43" i="11" s="1"/>
  <c r="AQ42" i="11"/>
  <c r="DX42" i="11" s="1"/>
  <c r="AQ41" i="11"/>
  <c r="DX41" i="11" s="1"/>
  <c r="AQ40" i="11"/>
  <c r="DX40" i="11" s="1"/>
  <c r="AQ39" i="11"/>
  <c r="DX39" i="11" s="1"/>
  <c r="AQ38" i="11"/>
  <c r="DX38" i="11" s="1"/>
  <c r="AQ37" i="11"/>
  <c r="DX37" i="11" s="1"/>
  <c r="AQ36" i="11"/>
  <c r="DX36" i="11" s="1"/>
  <c r="AQ35" i="11"/>
  <c r="DX35" i="11" s="1"/>
  <c r="AQ34" i="11"/>
  <c r="DX34" i="11" s="1"/>
  <c r="AQ33" i="11"/>
  <c r="DX33" i="11" s="1"/>
  <c r="AQ32" i="11"/>
  <c r="DX32" i="11" s="1"/>
  <c r="AQ31" i="11"/>
  <c r="DX31" i="11" s="1"/>
  <c r="AQ30" i="11"/>
  <c r="DX30" i="11" s="1"/>
  <c r="AQ29" i="11"/>
  <c r="DX29" i="11" s="1"/>
  <c r="AQ28" i="11"/>
  <c r="DX28" i="11" s="1"/>
  <c r="AQ27" i="11"/>
  <c r="DX27" i="11" s="1"/>
  <c r="AQ26" i="11"/>
  <c r="DX26" i="11" s="1"/>
  <c r="AQ25" i="11"/>
  <c r="DX25" i="11" s="1"/>
  <c r="AQ24" i="11"/>
  <c r="DX24" i="11" s="1"/>
  <c r="AQ23" i="11"/>
  <c r="DX23" i="11" s="1"/>
  <c r="AQ22" i="11"/>
  <c r="DX22" i="11" s="1"/>
  <c r="AQ21" i="11"/>
  <c r="DX21" i="11" s="1"/>
  <c r="AQ20" i="11"/>
  <c r="DX20" i="11" s="1"/>
  <c r="AQ19" i="11"/>
  <c r="DX19" i="11" s="1"/>
  <c r="AQ18" i="11"/>
  <c r="DX18" i="11" s="1"/>
  <c r="AQ17" i="11"/>
  <c r="DX17" i="11" s="1"/>
  <c r="AQ16" i="11"/>
  <c r="DX16" i="11" s="1"/>
  <c r="AQ15" i="11"/>
  <c r="DX15" i="11" s="1"/>
  <c r="AQ14" i="11"/>
  <c r="DX14" i="11" s="1"/>
  <c r="AQ13" i="11"/>
  <c r="DX13" i="11" s="1"/>
  <c r="AQ12" i="11"/>
  <c r="DX12" i="11" s="1"/>
  <c r="AQ11" i="11"/>
  <c r="DX11" i="11" s="1"/>
  <c r="AQ10" i="11"/>
  <c r="DX10" i="11" s="1"/>
  <c r="AQ9" i="11"/>
  <c r="DX9" i="11" s="1"/>
  <c r="AQ8" i="11"/>
  <c r="DX8" i="11" s="1"/>
  <c r="AQ7" i="11"/>
  <c r="DX7" i="11" s="1"/>
  <c r="AQ6" i="11"/>
  <c r="DX6" i="11" s="1"/>
  <c r="AP60" i="11"/>
  <c r="DW60" i="11" s="1"/>
  <c r="AP59" i="11"/>
  <c r="DW59" i="11" s="1"/>
  <c r="AP58" i="11"/>
  <c r="DW58" i="11" s="1"/>
  <c r="Y55" i="11"/>
  <c r="BO55" i="11" s="1"/>
  <c r="Y54" i="11"/>
  <c r="BO54" i="11" s="1"/>
  <c r="Y53" i="11"/>
  <c r="BO53" i="11" s="1"/>
  <c r="Y52" i="11"/>
  <c r="BO52" i="11" s="1"/>
  <c r="Y51" i="11"/>
  <c r="BO51" i="11" s="1"/>
  <c r="Y45" i="11"/>
  <c r="BO45" i="11" s="1"/>
  <c r="Y44" i="11"/>
  <c r="BO44" i="11" s="1"/>
  <c r="Y43" i="11"/>
  <c r="BO43" i="11" s="1"/>
  <c r="Y42" i="11"/>
  <c r="BO42" i="11" s="1"/>
  <c r="Y41" i="11"/>
  <c r="BO41" i="11" s="1"/>
  <c r="Y35" i="11"/>
  <c r="BO35" i="11" s="1"/>
  <c r="Y34" i="11"/>
  <c r="BO34" i="11" s="1"/>
  <c r="Y33" i="11"/>
  <c r="BO33" i="11" s="1"/>
  <c r="Y32" i="11"/>
  <c r="BO32" i="11" s="1"/>
  <c r="Y31" i="11"/>
  <c r="BO31" i="11" s="1"/>
  <c r="Y25" i="11"/>
  <c r="BO25" i="11" s="1"/>
  <c r="Y24" i="11"/>
  <c r="BO24" i="11" s="1"/>
  <c r="Y23" i="11"/>
  <c r="BO23" i="11" s="1"/>
  <c r="Y22" i="11"/>
  <c r="BO22" i="11" s="1"/>
  <c r="Y21" i="11"/>
  <c r="BO21" i="11" s="1"/>
  <c r="Y15" i="11"/>
  <c r="BO15" i="11" s="1"/>
  <c r="Y14" i="11"/>
  <c r="BO14" i="11" s="1"/>
  <c r="Y13" i="11"/>
  <c r="BO13" i="11" s="1"/>
  <c r="Y12" i="11"/>
  <c r="BO12" i="11" s="1"/>
  <c r="Y11" i="11"/>
  <c r="BO11" i="11" s="1"/>
  <c r="Y50" i="11"/>
  <c r="BO50" i="11" s="1"/>
  <c r="Y49" i="11"/>
  <c r="BO49" i="11" s="1"/>
  <c r="Y48" i="11"/>
  <c r="BO48" i="11" s="1"/>
  <c r="Y47" i="11"/>
  <c r="BO47" i="11" s="1"/>
  <c r="Y46" i="11"/>
  <c r="BO46" i="11" s="1"/>
  <c r="Y40" i="11"/>
  <c r="BO40" i="11" s="1"/>
  <c r="Y39" i="11"/>
  <c r="BO39" i="11" s="1"/>
  <c r="Y38" i="11"/>
  <c r="BO38" i="11" s="1"/>
  <c r="Y37" i="11"/>
  <c r="BO37" i="11" s="1"/>
  <c r="Y36" i="11"/>
  <c r="BO36" i="11" s="1"/>
  <c r="Y30" i="11"/>
  <c r="BO30" i="11" s="1"/>
  <c r="Y29" i="11"/>
  <c r="BO29" i="11" s="1"/>
  <c r="Y28" i="11"/>
  <c r="BO28" i="11" s="1"/>
  <c r="Y27" i="11"/>
  <c r="BO27" i="11" s="1"/>
  <c r="Y26" i="11"/>
  <c r="BO26" i="11" s="1"/>
  <c r="Y20" i="11"/>
  <c r="BO20" i="11" s="1"/>
  <c r="Y19" i="11"/>
  <c r="BO19" i="11" s="1"/>
  <c r="Y18" i="11"/>
  <c r="BO18" i="11" s="1"/>
  <c r="Y17" i="11"/>
  <c r="BO17" i="11" s="1"/>
  <c r="Y16" i="11"/>
  <c r="BO16" i="11" s="1"/>
  <c r="Y10" i="11"/>
  <c r="BO10" i="11" s="1"/>
  <c r="Y9" i="11"/>
  <c r="BO9" i="11" s="1"/>
  <c r="Y8" i="11"/>
  <c r="BO8" i="11" s="1"/>
  <c r="Y7" i="11"/>
  <c r="BO7" i="11" s="1"/>
  <c r="Y6" i="11"/>
  <c r="BO6" i="11" s="1"/>
  <c r="X55" i="11"/>
  <c r="BN55" i="11" s="1"/>
  <c r="X54" i="11"/>
  <c r="BN54" i="11" s="1"/>
  <c r="X53" i="11"/>
  <c r="BN53" i="11" s="1"/>
  <c r="X52" i="11"/>
  <c r="BN52" i="11" s="1"/>
  <c r="X51" i="11"/>
  <c r="BN51" i="11" s="1"/>
  <c r="X45" i="11"/>
  <c r="BN45" i="11" s="1"/>
  <c r="X44" i="11"/>
  <c r="BN44" i="11" s="1"/>
  <c r="X43" i="11"/>
  <c r="BN43" i="11" s="1"/>
  <c r="X42" i="11"/>
  <c r="BN42" i="11" s="1"/>
  <c r="X41" i="11"/>
  <c r="BN41" i="11" s="1"/>
  <c r="X35" i="11"/>
  <c r="BN35" i="11" s="1"/>
  <c r="X34" i="11"/>
  <c r="BN34" i="11" s="1"/>
  <c r="X33" i="11"/>
  <c r="BN33" i="11" s="1"/>
  <c r="X32" i="11"/>
  <c r="BN32" i="11" s="1"/>
  <c r="X31" i="11"/>
  <c r="BN31" i="11" s="1"/>
  <c r="X25" i="11"/>
  <c r="BN25" i="11" s="1"/>
  <c r="X24" i="11"/>
  <c r="BN24" i="11" s="1"/>
  <c r="X23" i="11"/>
  <c r="BN23" i="11" s="1"/>
  <c r="X22" i="11"/>
  <c r="BN22" i="11" s="1"/>
  <c r="X21" i="11"/>
  <c r="BN21" i="11" s="1"/>
  <c r="X15" i="11"/>
  <c r="BN15" i="11" s="1"/>
  <c r="X14" i="11"/>
  <c r="BN14" i="11" s="1"/>
  <c r="X13" i="11"/>
  <c r="BN13" i="11" s="1"/>
  <c r="X12" i="11"/>
  <c r="BN12" i="11" s="1"/>
  <c r="X11" i="11"/>
  <c r="BN11" i="11" s="1"/>
  <c r="X50" i="11"/>
  <c r="BN50" i="11" s="1"/>
  <c r="X49" i="11"/>
  <c r="BN49" i="11" s="1"/>
  <c r="X48" i="11"/>
  <c r="BN48" i="11" s="1"/>
  <c r="X47" i="11"/>
  <c r="BN47" i="11" s="1"/>
  <c r="X46" i="11"/>
  <c r="BN46" i="11" s="1"/>
  <c r="X40" i="11"/>
  <c r="BN40" i="11" s="1"/>
  <c r="X39" i="11"/>
  <c r="BN39" i="11" s="1"/>
  <c r="X38" i="11"/>
  <c r="BN38" i="11" s="1"/>
  <c r="X37" i="11"/>
  <c r="BN37" i="11" s="1"/>
  <c r="X36" i="11"/>
  <c r="BN36" i="11" s="1"/>
  <c r="X30" i="11"/>
  <c r="BN30" i="11" s="1"/>
  <c r="X29" i="11"/>
  <c r="BN29" i="11" s="1"/>
  <c r="X28" i="11"/>
  <c r="BN28" i="11" s="1"/>
  <c r="X27" i="11"/>
  <c r="BN27" i="11" s="1"/>
  <c r="X26" i="11"/>
  <c r="BN26" i="11" s="1"/>
  <c r="X20" i="11"/>
  <c r="BN20" i="11" s="1"/>
  <c r="X19" i="11"/>
  <c r="BN19" i="11" s="1"/>
  <c r="X18" i="11"/>
  <c r="BN18" i="11" s="1"/>
  <c r="X17" i="11"/>
  <c r="BN17" i="11" s="1"/>
  <c r="X16" i="11"/>
  <c r="BN16" i="11" s="1"/>
  <c r="X10" i="11"/>
  <c r="BN10" i="11" s="1"/>
  <c r="X9" i="11"/>
  <c r="BN9" i="11" s="1"/>
  <c r="X8" i="11"/>
  <c r="BN8" i="11" s="1"/>
  <c r="X7" i="11"/>
  <c r="BN7" i="11" s="1"/>
  <c r="X6" i="11"/>
  <c r="BN6" i="11" s="1"/>
  <c r="W55" i="11"/>
  <c r="BM55" i="11" s="1"/>
  <c r="W54" i="11"/>
  <c r="BM54" i="11" s="1"/>
  <c r="W53" i="11"/>
  <c r="BM53" i="11" s="1"/>
  <c r="W52" i="11"/>
  <c r="BM52" i="11" s="1"/>
  <c r="W51" i="11"/>
  <c r="BM51" i="11" s="1"/>
  <c r="W45" i="11"/>
  <c r="BM45" i="11" s="1"/>
  <c r="W44" i="11"/>
  <c r="BM44" i="11" s="1"/>
  <c r="W43" i="11"/>
  <c r="BM43" i="11" s="1"/>
  <c r="W42" i="11"/>
  <c r="BM42" i="11" s="1"/>
  <c r="W41" i="11"/>
  <c r="BM41" i="11" s="1"/>
  <c r="W35" i="11"/>
  <c r="BM35" i="11" s="1"/>
  <c r="W34" i="11"/>
  <c r="BM34" i="11" s="1"/>
  <c r="W33" i="11"/>
  <c r="BM33" i="11" s="1"/>
  <c r="W32" i="11"/>
  <c r="BM32" i="11" s="1"/>
  <c r="W31" i="11"/>
  <c r="BM31" i="11" s="1"/>
  <c r="W25" i="11"/>
  <c r="BM25" i="11" s="1"/>
  <c r="W24" i="11"/>
  <c r="BM24" i="11" s="1"/>
  <c r="W23" i="11"/>
  <c r="BM23" i="11" s="1"/>
  <c r="W22" i="11"/>
  <c r="BM22" i="11" s="1"/>
  <c r="W21" i="11"/>
  <c r="BM21" i="11" s="1"/>
  <c r="W15" i="11"/>
  <c r="BM15" i="11" s="1"/>
  <c r="W14" i="11"/>
  <c r="BM14" i="11" s="1"/>
  <c r="W13" i="11"/>
  <c r="BM13" i="11" s="1"/>
  <c r="W12" i="11"/>
  <c r="BM12" i="11" s="1"/>
  <c r="W11" i="11"/>
  <c r="BM11" i="11" s="1"/>
  <c r="W50" i="11"/>
  <c r="BM50" i="11" s="1"/>
  <c r="W49" i="11"/>
  <c r="BM49" i="11" s="1"/>
  <c r="W48" i="11"/>
  <c r="BM48" i="11" s="1"/>
  <c r="W47" i="11"/>
  <c r="BM47" i="11" s="1"/>
  <c r="W46" i="11"/>
  <c r="BM46" i="11" s="1"/>
  <c r="W40" i="11"/>
  <c r="BM40" i="11" s="1"/>
  <c r="W39" i="11"/>
  <c r="BM39" i="11" s="1"/>
  <c r="W38" i="11"/>
  <c r="BM38" i="11" s="1"/>
  <c r="W37" i="11"/>
  <c r="BM37" i="11" s="1"/>
  <c r="W36" i="11"/>
  <c r="BM36" i="11" s="1"/>
  <c r="W30" i="11"/>
  <c r="BM30" i="11" s="1"/>
  <c r="W29" i="11"/>
  <c r="BM29" i="11" s="1"/>
  <c r="W28" i="11"/>
  <c r="BM28" i="11" s="1"/>
  <c r="W27" i="11"/>
  <c r="BM27" i="11" s="1"/>
  <c r="W26" i="11"/>
  <c r="BM26" i="11" s="1"/>
  <c r="W20" i="11"/>
  <c r="BM20" i="11" s="1"/>
  <c r="W19" i="11"/>
  <c r="BM19" i="11" s="1"/>
  <c r="W18" i="11"/>
  <c r="BM18" i="11" s="1"/>
  <c r="W17" i="11"/>
  <c r="BM17" i="11" s="1"/>
  <c r="W16" i="11"/>
  <c r="BM16" i="11" s="1"/>
  <c r="W10" i="11"/>
  <c r="BM10" i="11" s="1"/>
  <c r="W9" i="11"/>
  <c r="BM9" i="11" s="1"/>
  <c r="W8" i="11"/>
  <c r="BM8" i="11" s="1"/>
  <c r="W7" i="11"/>
  <c r="BM7" i="11" s="1"/>
  <c r="W6" i="11"/>
  <c r="BM6" i="11" s="1"/>
  <c r="V55" i="11"/>
  <c r="BL55" i="11" s="1"/>
  <c r="V54" i="11"/>
  <c r="BL54" i="11" s="1"/>
  <c r="V53" i="11"/>
  <c r="BL53" i="11" s="1"/>
  <c r="V52" i="11"/>
  <c r="BL52" i="11" s="1"/>
  <c r="V51" i="11"/>
  <c r="BL51" i="11" s="1"/>
  <c r="V45" i="11"/>
  <c r="BL45" i="11" s="1"/>
  <c r="V44" i="11"/>
  <c r="BL44" i="11" s="1"/>
  <c r="V43" i="11"/>
  <c r="BL43" i="11" s="1"/>
  <c r="V42" i="11"/>
  <c r="BL42" i="11" s="1"/>
  <c r="V41" i="11"/>
  <c r="BL41" i="11" s="1"/>
  <c r="V35" i="11"/>
  <c r="BL35" i="11" s="1"/>
  <c r="V34" i="11"/>
  <c r="BL34" i="11" s="1"/>
  <c r="V33" i="11"/>
  <c r="BL33" i="11" s="1"/>
  <c r="V32" i="11"/>
  <c r="BL32" i="11" s="1"/>
  <c r="V31" i="11"/>
  <c r="BL31" i="11" s="1"/>
  <c r="V25" i="11"/>
  <c r="BL25" i="11" s="1"/>
  <c r="V24" i="11"/>
  <c r="BL24" i="11" s="1"/>
  <c r="V23" i="11"/>
  <c r="BL23" i="11" s="1"/>
  <c r="V22" i="11"/>
  <c r="BL22" i="11" s="1"/>
  <c r="V21" i="11"/>
  <c r="BL21" i="11" s="1"/>
  <c r="V15" i="11"/>
  <c r="BL15" i="11" s="1"/>
  <c r="V14" i="11"/>
  <c r="BL14" i="11" s="1"/>
  <c r="V13" i="11"/>
  <c r="BL13" i="11" s="1"/>
  <c r="V12" i="11"/>
  <c r="BL12" i="11" s="1"/>
  <c r="V11" i="11"/>
  <c r="BL11" i="11" s="1"/>
  <c r="V50" i="11"/>
  <c r="BL50" i="11" s="1"/>
  <c r="V49" i="11"/>
  <c r="BL49" i="11" s="1"/>
  <c r="V48" i="11"/>
  <c r="BL48" i="11" s="1"/>
  <c r="V47" i="11"/>
  <c r="BL47" i="11" s="1"/>
  <c r="V46" i="11"/>
  <c r="BL46" i="11" s="1"/>
  <c r="V40" i="11"/>
  <c r="BL40" i="11" s="1"/>
  <c r="V39" i="11"/>
  <c r="BL39" i="11" s="1"/>
  <c r="V38" i="11"/>
  <c r="BL38" i="11" s="1"/>
  <c r="V37" i="11"/>
  <c r="BL37" i="11" s="1"/>
  <c r="V36" i="11"/>
  <c r="BL36" i="11" s="1"/>
  <c r="V30" i="11"/>
  <c r="BL30" i="11" s="1"/>
  <c r="V29" i="11"/>
  <c r="BL29" i="11" s="1"/>
  <c r="V28" i="11"/>
  <c r="BL28" i="11" s="1"/>
  <c r="V27" i="11"/>
  <c r="BL27" i="11" s="1"/>
  <c r="V26" i="11"/>
  <c r="BL26" i="11" s="1"/>
  <c r="V20" i="11"/>
  <c r="BL20" i="11" s="1"/>
  <c r="V19" i="11"/>
  <c r="BL19" i="11" s="1"/>
  <c r="V18" i="11"/>
  <c r="BL18" i="11" s="1"/>
  <c r="V17" i="11"/>
  <c r="BL17" i="11" s="1"/>
  <c r="V16" i="11"/>
  <c r="BL16" i="11" s="1"/>
  <c r="V10" i="11"/>
  <c r="BL10" i="11" s="1"/>
  <c r="V9" i="11"/>
  <c r="BL9" i="11" s="1"/>
  <c r="V8" i="11"/>
  <c r="BL8" i="11" s="1"/>
  <c r="V7" i="11"/>
  <c r="BL7" i="11" s="1"/>
  <c r="V6" i="11"/>
  <c r="BL6" i="11" s="1"/>
  <c r="U50" i="11"/>
  <c r="BK50" i="11" s="1"/>
  <c r="AP50" i="11" s="1"/>
  <c r="U49" i="11"/>
  <c r="BK49" i="11" s="1"/>
  <c r="AP49" i="11" s="1"/>
  <c r="U48" i="11"/>
  <c r="BK48" i="11" s="1"/>
  <c r="AP48" i="11" s="1"/>
  <c r="U47" i="11"/>
  <c r="BK47" i="11" s="1"/>
  <c r="AP47" i="11" s="1"/>
  <c r="DW47" i="11" s="1"/>
  <c r="U46" i="11"/>
  <c r="BK46" i="11" s="1"/>
  <c r="AP46" i="11" s="1"/>
  <c r="DW46" i="11" s="1"/>
  <c r="U40" i="11"/>
  <c r="BK40" i="11" s="1"/>
  <c r="AP40" i="11" s="1"/>
  <c r="U39" i="11"/>
  <c r="BK39" i="11" s="1"/>
  <c r="AP39" i="11" s="1"/>
  <c r="DW39" i="11" s="1"/>
  <c r="U38" i="11"/>
  <c r="BK38" i="11" s="1"/>
  <c r="AP38" i="11" s="1"/>
  <c r="DW38" i="11" s="1"/>
  <c r="U37" i="11"/>
  <c r="BK37" i="11" s="1"/>
  <c r="AP37" i="11" s="1"/>
  <c r="DW37" i="11" s="1"/>
  <c r="U36" i="11"/>
  <c r="BK36" i="11" s="1"/>
  <c r="AP36" i="11" s="1"/>
  <c r="DW36" i="11" s="1"/>
  <c r="U30" i="11"/>
  <c r="BK30" i="11" s="1"/>
  <c r="AP30" i="11" s="1"/>
  <c r="DW30" i="11" s="1"/>
  <c r="U29" i="11"/>
  <c r="BK29" i="11" s="1"/>
  <c r="AP29" i="11" s="1"/>
  <c r="U28" i="11"/>
  <c r="BK28" i="11" s="1"/>
  <c r="AP28" i="11" s="1"/>
  <c r="U27" i="11"/>
  <c r="BK27" i="11" s="1"/>
  <c r="AP27" i="11" s="1"/>
  <c r="U26" i="11"/>
  <c r="BK26" i="11" s="1"/>
  <c r="AP26" i="11" s="1"/>
  <c r="DW26" i="11" s="1"/>
  <c r="U20" i="11"/>
  <c r="BK20" i="11" s="1"/>
  <c r="AP20" i="11" s="1"/>
  <c r="DW20" i="11" s="1"/>
  <c r="U19" i="11"/>
  <c r="BK19" i="11" s="1"/>
  <c r="AP19" i="11" s="1"/>
  <c r="U18" i="11"/>
  <c r="BK18" i="11" s="1"/>
  <c r="AP18" i="11" s="1"/>
  <c r="DW18" i="11" s="1"/>
  <c r="U17" i="11"/>
  <c r="BK17" i="11" s="1"/>
  <c r="AP17" i="11" s="1"/>
  <c r="DW17" i="11" s="1"/>
  <c r="U16" i="11"/>
  <c r="BK16" i="11" s="1"/>
  <c r="AP16" i="11" s="1"/>
  <c r="DW16" i="11" s="1"/>
  <c r="U10" i="11"/>
  <c r="BK10" i="11" s="1"/>
  <c r="AP10" i="11" s="1"/>
  <c r="DW10" i="11" s="1"/>
  <c r="U9" i="11"/>
  <c r="BK9" i="11" s="1"/>
  <c r="AP9" i="11" s="1"/>
  <c r="U8" i="11"/>
  <c r="BK8" i="11" s="1"/>
  <c r="AP8" i="11" s="1"/>
  <c r="U7" i="11"/>
  <c r="BK7" i="11" s="1"/>
  <c r="AP7" i="11" s="1"/>
  <c r="DW7" i="11" s="1"/>
  <c r="U6" i="11"/>
  <c r="BK6" i="11" s="1"/>
  <c r="AP6" i="11" s="1"/>
  <c r="U55" i="11"/>
  <c r="BK55" i="11" s="1"/>
  <c r="AP55" i="11" s="1"/>
  <c r="DW55" i="11" s="1"/>
  <c r="U54" i="11"/>
  <c r="BK54" i="11" s="1"/>
  <c r="AP54" i="11" s="1"/>
  <c r="U53" i="11"/>
  <c r="BK53" i="11" s="1"/>
  <c r="AP53" i="11" s="1"/>
  <c r="U52" i="11"/>
  <c r="BK52" i="11" s="1"/>
  <c r="AP52" i="11" s="1"/>
  <c r="DW52" i="11" s="1"/>
  <c r="U51" i="11"/>
  <c r="BK51" i="11" s="1"/>
  <c r="AP51" i="11" s="1"/>
  <c r="DW51" i="11" s="1"/>
  <c r="U45" i="11"/>
  <c r="BK45" i="11" s="1"/>
  <c r="AP45" i="11" s="1"/>
  <c r="DW45" i="11" s="1"/>
  <c r="U44" i="11"/>
  <c r="BK44" i="11" s="1"/>
  <c r="AP44" i="11" s="1"/>
  <c r="U43" i="11"/>
  <c r="BK43" i="11" s="1"/>
  <c r="AP43" i="11" s="1"/>
  <c r="DW43" i="11" s="1"/>
  <c r="U42" i="11"/>
  <c r="BK42" i="11" s="1"/>
  <c r="AP42" i="11" s="1"/>
  <c r="DW42" i="11" s="1"/>
  <c r="U41" i="11"/>
  <c r="BK41" i="11" s="1"/>
  <c r="AP41" i="11" s="1"/>
  <c r="DW41" i="11" s="1"/>
  <c r="U35" i="11"/>
  <c r="BK35" i="11" s="1"/>
  <c r="AP35" i="11" s="1"/>
  <c r="DW35" i="11" s="1"/>
  <c r="U34" i="11"/>
  <c r="BK34" i="11" s="1"/>
  <c r="AP34" i="11" s="1"/>
  <c r="DW34" i="11" s="1"/>
  <c r="U33" i="11"/>
  <c r="BK33" i="11" s="1"/>
  <c r="AP33" i="11" s="1"/>
  <c r="DW33" i="11" s="1"/>
  <c r="U32" i="11"/>
  <c r="BK32" i="11" s="1"/>
  <c r="AP32" i="11" s="1"/>
  <c r="DW32" i="11" s="1"/>
  <c r="U31" i="11"/>
  <c r="BK31" i="11" s="1"/>
  <c r="AP31" i="11" s="1"/>
  <c r="DW31" i="11" s="1"/>
  <c r="U25" i="11"/>
  <c r="BK25" i="11" s="1"/>
  <c r="AP25" i="11" s="1"/>
  <c r="DW25" i="11" s="1"/>
  <c r="U24" i="11"/>
  <c r="BK24" i="11" s="1"/>
  <c r="AP24" i="11" s="1"/>
  <c r="DW24" i="11" s="1"/>
  <c r="U23" i="11"/>
  <c r="BK23" i="11" s="1"/>
  <c r="AP23" i="11" s="1"/>
  <c r="DW23" i="11" s="1"/>
  <c r="U22" i="11"/>
  <c r="BK22" i="11" s="1"/>
  <c r="AP22" i="11" s="1"/>
  <c r="DW22" i="11" s="1"/>
  <c r="U21" i="11"/>
  <c r="BK21" i="11" s="1"/>
  <c r="AP21" i="11" s="1"/>
  <c r="DW21" i="11" s="1"/>
  <c r="U15" i="11"/>
  <c r="BK15" i="11" s="1"/>
  <c r="AP15" i="11" s="1"/>
  <c r="DW15" i="11" s="1"/>
  <c r="U14" i="11"/>
  <c r="BK14" i="11" s="1"/>
  <c r="AP14" i="11" s="1"/>
  <c r="U13" i="11"/>
  <c r="BK13" i="11" s="1"/>
  <c r="AP13" i="11" s="1"/>
  <c r="DW13" i="11" s="1"/>
  <c r="U12" i="11"/>
  <c r="BK12" i="11" s="1"/>
  <c r="AP12" i="11" s="1"/>
  <c r="DW12" i="11" s="1"/>
  <c r="U11" i="11"/>
  <c r="BK11" i="11" s="1"/>
  <c r="AP11" i="11" s="1"/>
  <c r="DW11" i="11" s="1"/>
  <c r="T55" i="11"/>
  <c r="AM115" i="11" s="1"/>
  <c r="J775" i="11" s="1"/>
  <c r="T54" i="11"/>
  <c r="AM114" i="11" s="1"/>
  <c r="J774" i="11" s="1"/>
  <c r="T53" i="11"/>
  <c r="AM113" i="11" s="1"/>
  <c r="J773" i="11" s="1"/>
  <c r="T52" i="11"/>
  <c r="AM112" i="11" s="1"/>
  <c r="J772" i="11" s="1"/>
  <c r="T51" i="11"/>
  <c r="AM111" i="11" s="1"/>
  <c r="J771" i="11" s="1"/>
  <c r="T45" i="11"/>
  <c r="AM105" i="11" s="1"/>
  <c r="J765" i="11" s="1"/>
  <c r="T44" i="11"/>
  <c r="AM104" i="11" s="1"/>
  <c r="J764" i="11" s="1"/>
  <c r="T43" i="11"/>
  <c r="AM103" i="11" s="1"/>
  <c r="J763" i="11" s="1"/>
  <c r="T42" i="11"/>
  <c r="AM102" i="11" s="1"/>
  <c r="J762" i="11" s="1"/>
  <c r="T41" i="11"/>
  <c r="AM101" i="11" s="1"/>
  <c r="J761" i="11" s="1"/>
  <c r="T35" i="11"/>
  <c r="AM95" i="11" s="1"/>
  <c r="J755" i="11" s="1"/>
  <c r="T34" i="11"/>
  <c r="AM94" i="11" s="1"/>
  <c r="J754" i="11" s="1"/>
  <c r="T33" i="11"/>
  <c r="AM93" i="11" s="1"/>
  <c r="J753" i="11" s="1"/>
  <c r="T32" i="11"/>
  <c r="AM92" i="11" s="1"/>
  <c r="J752" i="11" s="1"/>
  <c r="T31" i="11"/>
  <c r="AM91" i="11" s="1"/>
  <c r="J751" i="11" s="1"/>
  <c r="T25" i="11"/>
  <c r="AM85" i="11" s="1"/>
  <c r="J745" i="11" s="1"/>
  <c r="T24" i="11"/>
  <c r="AM84" i="11" s="1"/>
  <c r="J744" i="11" s="1"/>
  <c r="T23" i="11"/>
  <c r="AM83" i="11" s="1"/>
  <c r="J743" i="11" s="1"/>
  <c r="T22" i="11"/>
  <c r="AM82" i="11" s="1"/>
  <c r="J742" i="11" s="1"/>
  <c r="T21" i="11"/>
  <c r="AM81" i="11" s="1"/>
  <c r="J741" i="11" s="1"/>
  <c r="T15" i="11"/>
  <c r="AM75" i="11" s="1"/>
  <c r="J735" i="11" s="1"/>
  <c r="T14" i="11"/>
  <c r="AM74" i="11" s="1"/>
  <c r="J734" i="11" s="1"/>
  <c r="T13" i="11"/>
  <c r="AM73" i="11" s="1"/>
  <c r="J733" i="11" s="1"/>
  <c r="T12" i="11"/>
  <c r="AM72" i="11" s="1"/>
  <c r="J732" i="11" s="1"/>
  <c r="T11" i="11"/>
  <c r="AM71" i="11" s="1"/>
  <c r="J731" i="11" s="1"/>
  <c r="T40" i="11"/>
  <c r="AM100" i="11" s="1"/>
  <c r="J760" i="11" s="1"/>
  <c r="T39" i="11"/>
  <c r="AM99" i="11" s="1"/>
  <c r="J759" i="11" s="1"/>
  <c r="T38" i="11"/>
  <c r="AM98" i="11" s="1"/>
  <c r="J758" i="11" s="1"/>
  <c r="T37" i="11"/>
  <c r="AM97" i="11" s="1"/>
  <c r="J757" i="11" s="1"/>
  <c r="T36" i="11"/>
  <c r="AM96" i="11" s="1"/>
  <c r="J756" i="11" s="1"/>
  <c r="T30" i="11"/>
  <c r="AM90" i="11" s="1"/>
  <c r="J750" i="11" s="1"/>
  <c r="T29" i="11"/>
  <c r="AM89" i="11" s="1"/>
  <c r="J749" i="11" s="1"/>
  <c r="T28" i="11"/>
  <c r="AM88" i="11" s="1"/>
  <c r="J748" i="11" s="1"/>
  <c r="T27" i="11"/>
  <c r="AM87" i="11" s="1"/>
  <c r="J747" i="11" s="1"/>
  <c r="T26" i="11"/>
  <c r="AM86" i="11" s="1"/>
  <c r="J746" i="11" s="1"/>
  <c r="T20" i="11"/>
  <c r="AM80" i="11" s="1"/>
  <c r="J740" i="11" s="1"/>
  <c r="T19" i="11"/>
  <c r="AM79" i="11" s="1"/>
  <c r="J739" i="11" s="1"/>
  <c r="T18" i="11"/>
  <c r="AM78" i="11" s="1"/>
  <c r="J738" i="11" s="1"/>
  <c r="T17" i="11"/>
  <c r="AM77" i="11" s="1"/>
  <c r="J737" i="11" s="1"/>
  <c r="T16" i="11"/>
  <c r="AM76" i="11" s="1"/>
  <c r="J736" i="11" s="1"/>
  <c r="T10" i="11"/>
  <c r="AM70" i="11" s="1"/>
  <c r="J730" i="11" s="1"/>
  <c r="T9" i="11"/>
  <c r="AM69" i="11" s="1"/>
  <c r="J729" i="11" s="1"/>
  <c r="T8" i="11"/>
  <c r="AM68" i="11" s="1"/>
  <c r="J728" i="11" s="1"/>
  <c r="T7" i="11"/>
  <c r="AM67" i="11" s="1"/>
  <c r="J727" i="11" s="1"/>
  <c r="T6" i="11"/>
  <c r="AM66" i="11" s="1"/>
  <c r="J726" i="11" s="1"/>
  <c r="T50" i="11"/>
  <c r="AM110" i="11" s="1"/>
  <c r="J770" i="11" s="1"/>
  <c r="T49" i="11"/>
  <c r="AM109" i="11" s="1"/>
  <c r="J769" i="11" s="1"/>
  <c r="T48" i="11"/>
  <c r="AM108" i="11" s="1"/>
  <c r="J768" i="11" s="1"/>
  <c r="T47" i="11"/>
  <c r="AM107" i="11" s="1"/>
  <c r="J767" i="11" s="1"/>
  <c r="T46" i="11"/>
  <c r="AM106" i="11" s="1"/>
  <c r="J766" i="11" s="1"/>
  <c r="CY60" i="11"/>
  <c r="CX60" i="11"/>
  <c r="CW60" i="11"/>
  <c r="CY59" i="11"/>
  <c r="CX59" i="11"/>
  <c r="CW59" i="11"/>
  <c r="CY58" i="11"/>
  <c r="CX58" i="11"/>
  <c r="CW58" i="11"/>
  <c r="CY57" i="11"/>
  <c r="CX57" i="11"/>
  <c r="CW57" i="11"/>
  <c r="CW56" i="11"/>
  <c r="CY55" i="11"/>
  <c r="CX55" i="11"/>
  <c r="CW55" i="11"/>
  <c r="CY54" i="11"/>
  <c r="CX54" i="11"/>
  <c r="CW54" i="11"/>
  <c r="CY53" i="11"/>
  <c r="CX53" i="11"/>
  <c r="CW53" i="11"/>
  <c r="CY52" i="11"/>
  <c r="CX52" i="11"/>
  <c r="CW52" i="11"/>
  <c r="CX51" i="11"/>
  <c r="CW51" i="11"/>
  <c r="CY50" i="11"/>
  <c r="CX50" i="11"/>
  <c r="CW50" i="11"/>
  <c r="CY49" i="11"/>
  <c r="CX49" i="11"/>
  <c r="CW49" i="11"/>
  <c r="CY48" i="11"/>
  <c r="CX48" i="11"/>
  <c r="CW48" i="11"/>
  <c r="CY47" i="11"/>
  <c r="CX47" i="11"/>
  <c r="CW47" i="11"/>
  <c r="CW46" i="11"/>
  <c r="CY45" i="11"/>
  <c r="CX45" i="11"/>
  <c r="CW45" i="11"/>
  <c r="CY44" i="11"/>
  <c r="CX44" i="11"/>
  <c r="CW44" i="11"/>
  <c r="CY43" i="11"/>
  <c r="CX43" i="11"/>
  <c r="CW43" i="11"/>
  <c r="CY42" i="11"/>
  <c r="CX42" i="11"/>
  <c r="CW42" i="11"/>
  <c r="CX41" i="11"/>
  <c r="CW41" i="11"/>
  <c r="CY40" i="11"/>
  <c r="CX40" i="11"/>
  <c r="CW40" i="11"/>
  <c r="CY39" i="11"/>
  <c r="CX39" i="11"/>
  <c r="CW39" i="11"/>
  <c r="CY38" i="11"/>
  <c r="CX38" i="11"/>
  <c r="CW38" i="11"/>
  <c r="CY37" i="11"/>
  <c r="CX37" i="11"/>
  <c r="CW37" i="11"/>
  <c r="CW36" i="11"/>
  <c r="CY35" i="11"/>
  <c r="CX35" i="11"/>
  <c r="CW35" i="11"/>
  <c r="CY34" i="11"/>
  <c r="CX34" i="11"/>
  <c r="CW34" i="11"/>
  <c r="CY33" i="11"/>
  <c r="CX33" i="11"/>
  <c r="CW33" i="11"/>
  <c r="CY32" i="11"/>
  <c r="CX32" i="11"/>
  <c r="CW32" i="11"/>
  <c r="CX31" i="11"/>
  <c r="CW31" i="11"/>
  <c r="CY30" i="11"/>
  <c r="CX30" i="11"/>
  <c r="CW30" i="11"/>
  <c r="CY29" i="11"/>
  <c r="CX29" i="11"/>
  <c r="CW29" i="11"/>
  <c r="CY28" i="11"/>
  <c r="CX28" i="11"/>
  <c r="CW28" i="11"/>
  <c r="CY27" i="11"/>
  <c r="CX27" i="11"/>
  <c r="CW27" i="11"/>
  <c r="CW26" i="11"/>
  <c r="CY25" i="11"/>
  <c r="CX25" i="11"/>
  <c r="CW25" i="11"/>
  <c r="CY24" i="11"/>
  <c r="CX24" i="11"/>
  <c r="CW24" i="11"/>
  <c r="CY23" i="11"/>
  <c r="CX23" i="11"/>
  <c r="CW23" i="11"/>
  <c r="CY22" i="11"/>
  <c r="CX22" i="11"/>
  <c r="CW22" i="11"/>
  <c r="CX21" i="11"/>
  <c r="CW21" i="11"/>
  <c r="CY20" i="11"/>
  <c r="CX20" i="11"/>
  <c r="CW20" i="11"/>
  <c r="CY19" i="11"/>
  <c r="CX19" i="11"/>
  <c r="CW19" i="11"/>
  <c r="CY18" i="11"/>
  <c r="CX18" i="11"/>
  <c r="CW18" i="11"/>
  <c r="CY17" i="11"/>
  <c r="CX17" i="11"/>
  <c r="CW17" i="11"/>
  <c r="CW16" i="11"/>
  <c r="CY15" i="11"/>
  <c r="CX15" i="11"/>
  <c r="CW15" i="11"/>
  <c r="CY14" i="11"/>
  <c r="CX14" i="11"/>
  <c r="CW14" i="11"/>
  <c r="CY13" i="11"/>
  <c r="CX13" i="11"/>
  <c r="CW13" i="11"/>
  <c r="CY12" i="11"/>
  <c r="CX12" i="11"/>
  <c r="CW12" i="11"/>
  <c r="CX11" i="11"/>
  <c r="CW11" i="11"/>
  <c r="CY10" i="11"/>
  <c r="CX10" i="11"/>
  <c r="CW10" i="11"/>
  <c r="CY9" i="11"/>
  <c r="CX9" i="11"/>
  <c r="CW9" i="11"/>
  <c r="CY8" i="11"/>
  <c r="CX8" i="11"/>
  <c r="CW8" i="11"/>
  <c r="CY7" i="11"/>
  <c r="CX7" i="11"/>
  <c r="CW7" i="11"/>
  <c r="CW6" i="11"/>
  <c r="BJ60" i="11"/>
  <c r="AO60" i="11" s="1"/>
  <c r="DV60" i="11" s="1"/>
  <c r="BI60" i="11"/>
  <c r="CD60" i="11" s="1"/>
  <c r="CU60" i="11" s="1"/>
  <c r="BH60" i="11"/>
  <c r="CC60" i="11" s="1"/>
  <c r="CT60" i="11" s="1"/>
  <c r="BG60" i="11"/>
  <c r="CB60" i="11" s="1"/>
  <c r="CS60" i="11" s="1"/>
  <c r="BF60" i="11"/>
  <c r="AK60" i="11" s="1"/>
  <c r="DR60" i="11" s="1"/>
  <c r="BE60" i="11"/>
  <c r="AJ60" i="11" s="1"/>
  <c r="DQ60" i="11" s="1"/>
  <c r="BD60" i="11"/>
  <c r="AI60" i="11" s="1"/>
  <c r="DP60" i="11" s="1"/>
  <c r="BC60" i="11"/>
  <c r="AH60" i="11" s="1"/>
  <c r="DO60" i="11" s="1"/>
  <c r="BB60" i="11"/>
  <c r="AG60" i="11" s="1"/>
  <c r="DN60" i="11" s="1"/>
  <c r="BA60" i="11"/>
  <c r="BV60" i="11" s="1"/>
  <c r="CM60" i="11" s="1"/>
  <c r="AZ60" i="11"/>
  <c r="BU60" i="11" s="1"/>
  <c r="CL60" i="11" s="1"/>
  <c r="AY60" i="11"/>
  <c r="BT60" i="11" s="1"/>
  <c r="CK60" i="11" s="1"/>
  <c r="AX60" i="11"/>
  <c r="AC60" i="11" s="1"/>
  <c r="DJ60" i="11" s="1"/>
  <c r="BJ59" i="11"/>
  <c r="AO59" i="11" s="1"/>
  <c r="DV59" i="11" s="1"/>
  <c r="BI59" i="11"/>
  <c r="AN59" i="11" s="1"/>
  <c r="DU59" i="11" s="1"/>
  <c r="BH59" i="11"/>
  <c r="AM59" i="11" s="1"/>
  <c r="DT59" i="11" s="1"/>
  <c r="BG59" i="11"/>
  <c r="AL59" i="11" s="1"/>
  <c r="DS59" i="11" s="1"/>
  <c r="BF59" i="11"/>
  <c r="CA59" i="11" s="1"/>
  <c r="CR59" i="11" s="1"/>
  <c r="BE59" i="11"/>
  <c r="BZ59" i="11" s="1"/>
  <c r="CQ59" i="11" s="1"/>
  <c r="BD59" i="11"/>
  <c r="BY59" i="11" s="1"/>
  <c r="CP59" i="11" s="1"/>
  <c r="BC59" i="11"/>
  <c r="AH59" i="11" s="1"/>
  <c r="DO59" i="11" s="1"/>
  <c r="BB59" i="11"/>
  <c r="AG59" i="11" s="1"/>
  <c r="DN59" i="11" s="1"/>
  <c r="BA59" i="11"/>
  <c r="AF59" i="11" s="1"/>
  <c r="DM59" i="11" s="1"/>
  <c r="AZ59" i="11"/>
  <c r="AE59" i="11" s="1"/>
  <c r="DL59" i="11" s="1"/>
  <c r="AY59" i="11"/>
  <c r="AD59" i="11" s="1"/>
  <c r="DK59" i="11" s="1"/>
  <c r="AX59" i="11"/>
  <c r="BS59" i="11" s="1"/>
  <c r="CJ59" i="11" s="1"/>
  <c r="DA59" i="11" s="1"/>
  <c r="BJ58" i="11"/>
  <c r="CE58" i="11" s="1"/>
  <c r="CV58" i="11" s="1"/>
  <c r="BI58" i="11"/>
  <c r="CD58" i="11" s="1"/>
  <c r="CU58" i="11" s="1"/>
  <c r="BH58" i="11"/>
  <c r="AM58" i="11" s="1"/>
  <c r="DT58" i="11" s="1"/>
  <c r="BG58" i="11"/>
  <c r="AL58" i="11" s="1"/>
  <c r="DS58" i="11" s="1"/>
  <c r="BF58" i="11"/>
  <c r="AK58" i="11" s="1"/>
  <c r="DR58" i="11" s="1"/>
  <c r="BE58" i="11"/>
  <c r="AJ58" i="11" s="1"/>
  <c r="DQ58" i="11" s="1"/>
  <c r="BD58" i="11"/>
  <c r="AI58" i="11" s="1"/>
  <c r="DP58" i="11" s="1"/>
  <c r="BC58" i="11"/>
  <c r="BX58" i="11" s="1"/>
  <c r="CO58" i="11" s="1"/>
  <c r="BB58" i="11"/>
  <c r="BW58" i="11" s="1"/>
  <c r="CN58" i="11" s="1"/>
  <c r="BA58" i="11"/>
  <c r="BV58" i="11" s="1"/>
  <c r="CM58" i="11" s="1"/>
  <c r="AZ58" i="11"/>
  <c r="AE58" i="11" s="1"/>
  <c r="DL58" i="11" s="1"/>
  <c r="AY58" i="11"/>
  <c r="AD58" i="11" s="1"/>
  <c r="DK58" i="11" s="1"/>
  <c r="AX58" i="11"/>
  <c r="AC58" i="11" s="1"/>
  <c r="DJ58" i="11" s="1"/>
  <c r="BJ57" i="11"/>
  <c r="AO57" i="11" s="1"/>
  <c r="DV57" i="11" s="1"/>
  <c r="BI57" i="11"/>
  <c r="AN57" i="11" s="1"/>
  <c r="DU57" i="11" s="1"/>
  <c r="BH57" i="11"/>
  <c r="CC57" i="11" s="1"/>
  <c r="CT57" i="11" s="1"/>
  <c r="BG57" i="11"/>
  <c r="CB57" i="11" s="1"/>
  <c r="CS57" i="11" s="1"/>
  <c r="BF57" i="11"/>
  <c r="CA57" i="11" s="1"/>
  <c r="CR57" i="11" s="1"/>
  <c r="BE57" i="11"/>
  <c r="AJ57" i="11" s="1"/>
  <c r="DQ57" i="11" s="1"/>
  <c r="BD57" i="11"/>
  <c r="AI57" i="11" s="1"/>
  <c r="DP57" i="11" s="1"/>
  <c r="BC57" i="11"/>
  <c r="AH57" i="11" s="1"/>
  <c r="DO57" i="11" s="1"/>
  <c r="BB57" i="11"/>
  <c r="AG57" i="11" s="1"/>
  <c r="DN57" i="11" s="1"/>
  <c r="BA57" i="11"/>
  <c r="AF57" i="11" s="1"/>
  <c r="DM57" i="11" s="1"/>
  <c r="AZ57" i="11"/>
  <c r="BU57" i="11" s="1"/>
  <c r="CL57" i="11" s="1"/>
  <c r="AY57" i="11"/>
  <c r="BT57" i="11" s="1"/>
  <c r="CK57" i="11" s="1"/>
  <c r="AX57" i="11"/>
  <c r="BS57" i="11" s="1"/>
  <c r="CJ57" i="11" s="1"/>
  <c r="DA57" i="11" s="1"/>
  <c r="BJ56" i="11"/>
  <c r="AO56" i="11" s="1"/>
  <c r="DV56" i="11" s="1"/>
  <c r="BI56" i="11"/>
  <c r="AN56" i="11" s="1"/>
  <c r="DU56" i="11" s="1"/>
  <c r="BH56" i="11"/>
  <c r="AM56" i="11" s="1"/>
  <c r="DT56" i="11" s="1"/>
  <c r="BG56" i="11"/>
  <c r="AL56" i="11" s="1"/>
  <c r="DS56" i="11" s="1"/>
  <c r="BF56" i="11"/>
  <c r="AK56" i="11" s="1"/>
  <c r="DR56" i="11" s="1"/>
  <c r="BE56" i="11"/>
  <c r="BZ56" i="11" s="1"/>
  <c r="CQ56" i="11" s="1"/>
  <c r="BD56" i="11"/>
  <c r="BY56" i="11" s="1"/>
  <c r="CP56" i="11" s="1"/>
  <c r="BC56" i="11"/>
  <c r="BX56" i="11" s="1"/>
  <c r="CO56" i="11" s="1"/>
  <c r="BB56" i="11"/>
  <c r="AG56" i="11" s="1"/>
  <c r="DN56" i="11" s="1"/>
  <c r="BA56" i="11"/>
  <c r="AF56" i="11" s="1"/>
  <c r="DM56" i="11" s="1"/>
  <c r="AZ56" i="11"/>
  <c r="AE56" i="11" s="1"/>
  <c r="DL56" i="11" s="1"/>
  <c r="AY56" i="11"/>
  <c r="AD56" i="11" s="1"/>
  <c r="DK56" i="11" s="1"/>
  <c r="AX56" i="11"/>
  <c r="AC56" i="11" s="1"/>
  <c r="DJ56" i="11" s="1"/>
  <c r="BI50" i="11"/>
  <c r="CD50" i="11" s="1"/>
  <c r="CU50" i="11" s="1"/>
  <c r="BH50" i="11"/>
  <c r="CC50" i="11" s="1"/>
  <c r="CT50" i="11" s="1"/>
  <c r="BG50" i="11"/>
  <c r="CB50" i="11" s="1"/>
  <c r="CS50" i="11" s="1"/>
  <c r="BE50" i="11"/>
  <c r="AJ50" i="11" s="1"/>
  <c r="DQ50" i="11" s="1"/>
  <c r="BD50" i="11"/>
  <c r="AI50" i="11" s="1"/>
  <c r="DP50" i="11" s="1"/>
  <c r="BC50" i="11"/>
  <c r="AH50" i="11" s="1"/>
  <c r="DO50" i="11" s="1"/>
  <c r="BB50" i="11"/>
  <c r="AG50" i="11" s="1"/>
  <c r="DN50" i="11" s="1"/>
  <c r="BA50" i="11"/>
  <c r="AF50" i="11" s="1"/>
  <c r="DM50" i="11" s="1"/>
  <c r="AY50" i="11"/>
  <c r="BT50" i="11" s="1"/>
  <c r="CK50" i="11" s="1"/>
  <c r="AX50" i="11"/>
  <c r="BS50" i="11" s="1"/>
  <c r="CJ50" i="11" s="1"/>
  <c r="DA50" i="11" s="1"/>
  <c r="AE125" i="11"/>
  <c r="J845" i="11" s="1"/>
  <c r="AD125" i="11"/>
  <c r="I845" i="11" s="1"/>
  <c r="C845" i="11" s="1"/>
  <c r="AE124" i="11"/>
  <c r="J844" i="11" s="1"/>
  <c r="AD124" i="11"/>
  <c r="I844" i="11" s="1"/>
  <c r="C844" i="11" s="1"/>
  <c r="AE123" i="11"/>
  <c r="J843" i="11" s="1"/>
  <c r="AD123" i="11"/>
  <c r="I843" i="11" s="1"/>
  <c r="C843" i="11" s="1"/>
  <c r="AE122" i="11"/>
  <c r="J842" i="11" s="1"/>
  <c r="AD122" i="11"/>
  <c r="I842" i="11" s="1"/>
  <c r="C842" i="11" s="1"/>
  <c r="D842" i="11" s="1"/>
  <c r="B842" i="11" s="1"/>
  <c r="AE121" i="11"/>
  <c r="J841" i="11" s="1"/>
  <c r="AD121" i="11"/>
  <c r="I841" i="11" s="1"/>
  <c r="C841" i="11" s="1"/>
  <c r="AE120" i="11"/>
  <c r="J840" i="11" s="1"/>
  <c r="AD120" i="11"/>
  <c r="I840" i="11" s="1"/>
  <c r="C840" i="11" s="1"/>
  <c r="AE119" i="11"/>
  <c r="J839" i="11" s="1"/>
  <c r="AD119" i="11"/>
  <c r="I839" i="11" s="1"/>
  <c r="C839" i="11" s="1"/>
  <c r="AE118" i="11"/>
  <c r="J838" i="11" s="1"/>
  <c r="AD118" i="11"/>
  <c r="I838" i="11" s="1"/>
  <c r="C838" i="11" s="1"/>
  <c r="A838" i="11" s="1"/>
  <c r="AE117" i="11"/>
  <c r="J837" i="11" s="1"/>
  <c r="AD117" i="11"/>
  <c r="I837" i="11" s="1"/>
  <c r="C837" i="11" s="1"/>
  <c r="AE116" i="11"/>
  <c r="J836" i="11" s="1"/>
  <c r="AD116" i="11"/>
  <c r="I836" i="11" s="1"/>
  <c r="C836" i="11" s="1"/>
  <c r="M116" i="11"/>
  <c r="N116" i="11"/>
  <c r="M117" i="11"/>
  <c r="N117" i="11"/>
  <c r="M118" i="11"/>
  <c r="N118" i="11"/>
  <c r="M119" i="11"/>
  <c r="N119" i="11"/>
  <c r="M120" i="11"/>
  <c r="N120" i="11"/>
  <c r="M121" i="11"/>
  <c r="N121" i="11"/>
  <c r="M122" i="11"/>
  <c r="N122" i="11"/>
  <c r="M123" i="11"/>
  <c r="N123" i="11"/>
  <c r="M124" i="11"/>
  <c r="N124" i="11"/>
  <c r="M125" i="11"/>
  <c r="N125" i="11"/>
  <c r="P55" i="11"/>
  <c r="BF55" i="11" s="1"/>
  <c r="CA55" i="11" s="1"/>
  <c r="CR55" i="11" s="1"/>
  <c r="P54" i="11"/>
  <c r="AD114" i="11" s="1"/>
  <c r="I834" i="11" s="1"/>
  <c r="C834" i="11" s="1"/>
  <c r="D834" i="11" s="1"/>
  <c r="B834" i="11" s="1"/>
  <c r="P53" i="11"/>
  <c r="AE113" i="11" s="1"/>
  <c r="J833" i="11" s="1"/>
  <c r="P52" i="11"/>
  <c r="BF52" i="11" s="1"/>
  <c r="CA52" i="11" s="1"/>
  <c r="P51" i="11"/>
  <c r="BF51" i="11" s="1"/>
  <c r="CA51" i="11" s="1"/>
  <c r="P45" i="11"/>
  <c r="AE105" i="11" s="1"/>
  <c r="J825" i="11" s="1"/>
  <c r="P44" i="11"/>
  <c r="BF44" i="11" s="1"/>
  <c r="CA44" i="11" s="1"/>
  <c r="P43" i="11"/>
  <c r="BF43" i="11" s="1"/>
  <c r="CA43" i="11" s="1"/>
  <c r="P42" i="11"/>
  <c r="BF42" i="11" s="1"/>
  <c r="P41" i="11"/>
  <c r="AE101" i="11" s="1"/>
  <c r="J821" i="11" s="1"/>
  <c r="P35" i="11"/>
  <c r="BF35" i="11" s="1"/>
  <c r="CA35" i="11" s="1"/>
  <c r="CR35" i="11" s="1"/>
  <c r="P34" i="11"/>
  <c r="BF34" i="11" s="1"/>
  <c r="P33" i="11"/>
  <c r="AE93" i="11" s="1"/>
  <c r="J813" i="11" s="1"/>
  <c r="P32" i="11"/>
  <c r="AE92" i="11" s="1"/>
  <c r="J812" i="11" s="1"/>
  <c r="P31" i="11"/>
  <c r="AE91" i="11" s="1"/>
  <c r="J811" i="11" s="1"/>
  <c r="P25" i="11"/>
  <c r="AE85" i="11" s="1"/>
  <c r="J805" i="11" s="1"/>
  <c r="P24" i="11"/>
  <c r="AE84" i="11" s="1"/>
  <c r="J804" i="11" s="1"/>
  <c r="P23" i="11"/>
  <c r="P22" i="11"/>
  <c r="BF22" i="11" s="1"/>
  <c r="CA22" i="11" s="1"/>
  <c r="P21" i="11"/>
  <c r="AE81" i="11" s="1"/>
  <c r="J801" i="11" s="1"/>
  <c r="P15" i="11"/>
  <c r="BF15" i="11" s="1"/>
  <c r="CA15" i="11" s="1"/>
  <c r="CR15" i="11" s="1"/>
  <c r="P14" i="11"/>
  <c r="P13" i="11"/>
  <c r="AE73" i="11" s="1"/>
  <c r="J793" i="11" s="1"/>
  <c r="P12" i="11"/>
  <c r="BF12" i="11" s="1"/>
  <c r="P11" i="11"/>
  <c r="BF11" i="11" s="1"/>
  <c r="P40" i="11"/>
  <c r="AE100" i="11" s="1"/>
  <c r="J820" i="11" s="1"/>
  <c r="P39" i="11"/>
  <c r="BF39" i="11" s="1"/>
  <c r="CA39" i="11" s="1"/>
  <c r="P38" i="11"/>
  <c r="P37" i="11"/>
  <c r="AE97" i="11" s="1"/>
  <c r="J817" i="11" s="1"/>
  <c r="P36" i="11"/>
  <c r="BF36" i="11" s="1"/>
  <c r="P30" i="11"/>
  <c r="AE90" i="11" s="1"/>
  <c r="J810" i="11" s="1"/>
  <c r="P29" i="11"/>
  <c r="AE89" i="11" s="1"/>
  <c r="J809" i="11" s="1"/>
  <c r="P28" i="11"/>
  <c r="BF28" i="11" s="1"/>
  <c r="P27" i="11"/>
  <c r="BF27" i="11" s="1"/>
  <c r="P26" i="11"/>
  <c r="BF26" i="11" s="1"/>
  <c r="CA26" i="11" s="1"/>
  <c r="P20" i="11"/>
  <c r="BF20" i="11" s="1"/>
  <c r="P19" i="11"/>
  <c r="BF19" i="11" s="1"/>
  <c r="CA19" i="11" s="1"/>
  <c r="P18" i="11"/>
  <c r="BF18" i="11" s="1"/>
  <c r="P17" i="11"/>
  <c r="AE77" i="11" s="1"/>
  <c r="J797" i="11" s="1"/>
  <c r="P16" i="11"/>
  <c r="AE76" i="11" s="1"/>
  <c r="J796" i="11" s="1"/>
  <c r="P10" i="11"/>
  <c r="BF10" i="11" s="1"/>
  <c r="P9" i="11"/>
  <c r="AE69" i="11" s="1"/>
  <c r="J789" i="11" s="1"/>
  <c r="P8" i="11"/>
  <c r="AE68" i="11" s="1"/>
  <c r="J788" i="11" s="1"/>
  <c r="P7" i="11"/>
  <c r="BF7" i="11" s="1"/>
  <c r="P6" i="11"/>
  <c r="AD66" i="11" s="1"/>
  <c r="I786" i="11" s="1"/>
  <c r="C786" i="11" s="1"/>
  <c r="D786" i="11" s="1"/>
  <c r="B786" i="11" s="1"/>
  <c r="P50" i="11"/>
  <c r="BF50" i="11" s="1"/>
  <c r="P49" i="11"/>
  <c r="AE109" i="11" s="1"/>
  <c r="J829" i="11" s="1"/>
  <c r="P48" i="11"/>
  <c r="AE108" i="11" s="1"/>
  <c r="J828" i="11" s="1"/>
  <c r="P47" i="11"/>
  <c r="BF47" i="11" s="1"/>
  <c r="P46" i="11"/>
  <c r="AE106" i="11" s="1"/>
  <c r="J826" i="11" s="1"/>
  <c r="J55" i="11"/>
  <c r="M115" i="11" s="1"/>
  <c r="J54" i="11"/>
  <c r="J53" i="11"/>
  <c r="N113" i="11" s="1"/>
  <c r="J52" i="11"/>
  <c r="M112" i="11" s="1"/>
  <c r="J51" i="11"/>
  <c r="M111" i="11" s="1"/>
  <c r="J50" i="11"/>
  <c r="M110" i="11" s="1"/>
  <c r="J49" i="11"/>
  <c r="M109" i="11" s="1"/>
  <c r="J48" i="11"/>
  <c r="M108" i="11" s="1"/>
  <c r="J47" i="11"/>
  <c r="M107" i="11" s="1"/>
  <c r="J46" i="11"/>
  <c r="J45" i="11"/>
  <c r="M105" i="11" s="1"/>
  <c r="J44" i="11"/>
  <c r="M104" i="11" s="1"/>
  <c r="J43" i="11"/>
  <c r="M103" i="11" s="1"/>
  <c r="J42" i="11"/>
  <c r="N102" i="11" s="1"/>
  <c r="J41" i="11"/>
  <c r="M101" i="11" s="1"/>
  <c r="J40" i="11"/>
  <c r="M100" i="11" s="1"/>
  <c r="J39" i="11"/>
  <c r="M99" i="11" s="1"/>
  <c r="J38" i="11"/>
  <c r="N98" i="11" s="1"/>
  <c r="J37" i="11"/>
  <c r="N97" i="11" s="1"/>
  <c r="J36" i="11"/>
  <c r="N96" i="11" s="1"/>
  <c r="J35" i="11"/>
  <c r="M95" i="11" s="1"/>
  <c r="J34" i="11"/>
  <c r="N94" i="11" s="1"/>
  <c r="J33" i="11"/>
  <c r="M93" i="11" s="1"/>
  <c r="J32" i="11"/>
  <c r="M92" i="11" s="1"/>
  <c r="J31" i="11"/>
  <c r="M91" i="11" s="1"/>
  <c r="J30" i="11"/>
  <c r="N90" i="11" s="1"/>
  <c r="J29" i="11"/>
  <c r="M89" i="11" s="1"/>
  <c r="J28" i="11"/>
  <c r="M88" i="11" s="1"/>
  <c r="J27" i="11"/>
  <c r="M87" i="11" s="1"/>
  <c r="J26" i="11"/>
  <c r="M86" i="11" s="1"/>
  <c r="J25" i="11"/>
  <c r="N85" i="11" s="1"/>
  <c r="J24" i="11"/>
  <c r="M84" i="11" s="1"/>
  <c r="J23" i="11"/>
  <c r="M83" i="11" s="1"/>
  <c r="J22" i="11"/>
  <c r="N82" i="11" s="1"/>
  <c r="J21" i="11"/>
  <c r="N81" i="11" s="1"/>
  <c r="J20" i="11"/>
  <c r="N80" i="11" s="1"/>
  <c r="J19" i="11"/>
  <c r="M79" i="11" s="1"/>
  <c r="J18" i="11"/>
  <c r="M78" i="11" s="1"/>
  <c r="J17" i="11"/>
  <c r="M77" i="11" s="1"/>
  <c r="J16" i="11"/>
  <c r="M76" i="11" s="1"/>
  <c r="J15" i="11"/>
  <c r="M75" i="11" s="1"/>
  <c r="J14" i="11"/>
  <c r="N74" i="11" s="1"/>
  <c r="J13" i="11"/>
  <c r="M73" i="11" s="1"/>
  <c r="J12" i="11"/>
  <c r="M72" i="11" s="1"/>
  <c r="J11" i="11"/>
  <c r="M71" i="11" s="1"/>
  <c r="J10" i="11"/>
  <c r="N70" i="11" s="1"/>
  <c r="J9" i="11"/>
  <c r="M69" i="11" s="1"/>
  <c r="J8" i="11"/>
  <c r="M68" i="11" s="1"/>
  <c r="J7" i="11"/>
  <c r="M67" i="11" s="1"/>
  <c r="J6" i="11"/>
  <c r="M66" i="11" s="1"/>
  <c r="S15" i="11"/>
  <c r="AJ75" i="11" s="1"/>
  <c r="I675" i="11" s="1"/>
  <c r="C675" i="11" s="1"/>
  <c r="D675" i="11" s="1"/>
  <c r="B675" i="11" s="1"/>
  <c r="R15" i="11"/>
  <c r="BH15" i="11" s="1"/>
  <c r="CC15" i="11" s="1"/>
  <c r="CT15" i="11" s="1"/>
  <c r="Q15" i="11"/>
  <c r="AG75" i="11" s="1"/>
  <c r="J555" i="11" s="1"/>
  <c r="O15" i="11"/>
  <c r="AC75" i="11" s="1"/>
  <c r="J495" i="11" s="1"/>
  <c r="N15" i="11"/>
  <c r="S14" i="11"/>
  <c r="AJ74" i="11" s="1"/>
  <c r="I674" i="11" s="1"/>
  <c r="C674" i="11" s="1"/>
  <c r="R14" i="11"/>
  <c r="AH74" i="11" s="1"/>
  <c r="I614" i="11" s="1"/>
  <c r="C614" i="11" s="1"/>
  <c r="Q14" i="11"/>
  <c r="AG74" i="11" s="1"/>
  <c r="J554" i="11" s="1"/>
  <c r="O14" i="11"/>
  <c r="AB74" i="11" s="1"/>
  <c r="I494" i="11" s="1"/>
  <c r="C494" i="11" s="1"/>
  <c r="D494" i="11" s="1"/>
  <c r="B494" i="11" s="1"/>
  <c r="N14" i="11"/>
  <c r="BD14" i="11" s="1"/>
  <c r="S13" i="11"/>
  <c r="BI13" i="11" s="1"/>
  <c r="AN13" i="11" s="1"/>
  <c r="DU13" i="11" s="1"/>
  <c r="R13" i="11"/>
  <c r="AH73" i="11" s="1"/>
  <c r="I613" i="11" s="1"/>
  <c r="C613" i="11" s="1"/>
  <c r="Q13" i="11"/>
  <c r="AF73" i="11" s="1"/>
  <c r="I553" i="11" s="1"/>
  <c r="C553" i="11" s="1"/>
  <c r="D553" i="11" s="1"/>
  <c r="B553" i="11" s="1"/>
  <c r="O13" i="11"/>
  <c r="AC73" i="11" s="1"/>
  <c r="J493" i="11" s="1"/>
  <c r="N13" i="11"/>
  <c r="Z73" i="11" s="1"/>
  <c r="I433" i="11" s="1"/>
  <c r="C433" i="11" s="1"/>
  <c r="S12" i="11"/>
  <c r="AK72" i="11" s="1"/>
  <c r="J672" i="11" s="1"/>
  <c r="R12" i="11"/>
  <c r="BH12" i="11" s="1"/>
  <c r="Q12" i="11"/>
  <c r="BG12" i="11" s="1"/>
  <c r="O12" i="11"/>
  <c r="AC72" i="11" s="1"/>
  <c r="J492" i="11" s="1"/>
  <c r="N12" i="11"/>
  <c r="Z72" i="11" s="1"/>
  <c r="I432" i="11" s="1"/>
  <c r="C432" i="11" s="1"/>
  <c r="AK125" i="11"/>
  <c r="J725" i="11" s="1"/>
  <c r="AJ125" i="11"/>
  <c r="I725" i="11" s="1"/>
  <c r="C725" i="11" s="1"/>
  <c r="D725" i="11" s="1"/>
  <c r="B725" i="11" s="1"/>
  <c r="AI125" i="11"/>
  <c r="J665" i="11" s="1"/>
  <c r="AH125" i="11"/>
  <c r="I665" i="11" s="1"/>
  <c r="C665" i="11" s="1"/>
  <c r="D665" i="11" s="1"/>
  <c r="B665" i="11" s="1"/>
  <c r="AG125" i="11"/>
  <c r="J605" i="11" s="1"/>
  <c r="AF125" i="11"/>
  <c r="I605" i="11" s="1"/>
  <c r="C605" i="11" s="1"/>
  <c r="D605" i="11" s="1"/>
  <c r="B605" i="11" s="1"/>
  <c r="AC125" i="11"/>
  <c r="J545" i="11" s="1"/>
  <c r="AB125" i="11"/>
  <c r="I545" i="11" s="1"/>
  <c r="C545" i="11" s="1"/>
  <c r="D545" i="11" s="1"/>
  <c r="B545" i="11" s="1"/>
  <c r="AA125" i="11"/>
  <c r="J485" i="11" s="1"/>
  <c r="Z125" i="11"/>
  <c r="I485" i="11" s="1"/>
  <c r="C485" i="11" s="1"/>
  <c r="T125" i="11"/>
  <c r="J425" i="11" s="1"/>
  <c r="S125" i="11"/>
  <c r="I425" i="11" s="1"/>
  <c r="C425" i="11" s="1"/>
  <c r="D425" i="11" s="1"/>
  <c r="B425" i="11" s="1"/>
  <c r="R125" i="11"/>
  <c r="J365" i="11" s="1"/>
  <c r="Q125" i="11"/>
  <c r="P125" i="11"/>
  <c r="AK124" i="11"/>
  <c r="J724" i="11" s="1"/>
  <c r="AJ124" i="11"/>
  <c r="I724" i="11" s="1"/>
  <c r="C724" i="11" s="1"/>
  <c r="D724" i="11" s="1"/>
  <c r="B724" i="11" s="1"/>
  <c r="AI124" i="11"/>
  <c r="J664" i="11" s="1"/>
  <c r="AH124" i="11"/>
  <c r="I664" i="11" s="1"/>
  <c r="C664" i="11" s="1"/>
  <c r="D664" i="11" s="1"/>
  <c r="B664" i="11" s="1"/>
  <c r="AG124" i="11"/>
  <c r="J604" i="11" s="1"/>
  <c r="AF124" i="11"/>
  <c r="I604" i="11" s="1"/>
  <c r="C604" i="11" s="1"/>
  <c r="D604" i="11" s="1"/>
  <c r="B604" i="11" s="1"/>
  <c r="AC124" i="11"/>
  <c r="J544" i="11" s="1"/>
  <c r="AB124" i="11"/>
  <c r="I544" i="11" s="1"/>
  <c r="C544" i="11" s="1"/>
  <c r="D544" i="11" s="1"/>
  <c r="B544" i="11" s="1"/>
  <c r="AA124" i="11"/>
  <c r="J484" i="11" s="1"/>
  <c r="Z124" i="11"/>
  <c r="I484" i="11" s="1"/>
  <c r="C484" i="11" s="1"/>
  <c r="T124" i="11"/>
  <c r="J424" i="11" s="1"/>
  <c r="S124" i="11"/>
  <c r="I424" i="11" s="1"/>
  <c r="C424" i="11" s="1"/>
  <c r="D424" i="11" s="1"/>
  <c r="B424" i="11" s="1"/>
  <c r="R124" i="11"/>
  <c r="J364" i="11" s="1"/>
  <c r="Q124" i="11"/>
  <c r="P124" i="11"/>
  <c r="AK123" i="11"/>
  <c r="J723" i="11" s="1"/>
  <c r="AJ123" i="11"/>
  <c r="I723" i="11" s="1"/>
  <c r="C723" i="11" s="1"/>
  <c r="D723" i="11" s="1"/>
  <c r="B723" i="11" s="1"/>
  <c r="AI123" i="11"/>
  <c r="J663" i="11" s="1"/>
  <c r="AH123" i="11"/>
  <c r="I663" i="11" s="1"/>
  <c r="C663" i="11" s="1"/>
  <c r="D663" i="11" s="1"/>
  <c r="B663" i="11" s="1"/>
  <c r="AG123" i="11"/>
  <c r="J603" i="11" s="1"/>
  <c r="AF123" i="11"/>
  <c r="I603" i="11" s="1"/>
  <c r="C603" i="11" s="1"/>
  <c r="D603" i="11" s="1"/>
  <c r="B603" i="11" s="1"/>
  <c r="AC123" i="11"/>
  <c r="J543" i="11" s="1"/>
  <c r="AB123" i="11"/>
  <c r="I543" i="11" s="1"/>
  <c r="C543" i="11" s="1"/>
  <c r="D543" i="11" s="1"/>
  <c r="B543" i="11" s="1"/>
  <c r="AA123" i="11"/>
  <c r="J483" i="11" s="1"/>
  <c r="Z123" i="11"/>
  <c r="I483" i="11" s="1"/>
  <c r="C483" i="11" s="1"/>
  <c r="D483" i="11" s="1"/>
  <c r="B483" i="11" s="1"/>
  <c r="T123" i="11"/>
  <c r="J423" i="11" s="1"/>
  <c r="S123" i="11"/>
  <c r="I423" i="11" s="1"/>
  <c r="C423" i="11" s="1"/>
  <c r="D423" i="11" s="1"/>
  <c r="B423" i="11" s="1"/>
  <c r="R123" i="11"/>
  <c r="J363" i="11" s="1"/>
  <c r="Q123" i="11"/>
  <c r="P123" i="11"/>
  <c r="AK122" i="11"/>
  <c r="J722" i="11" s="1"/>
  <c r="AJ122" i="11"/>
  <c r="I722" i="11" s="1"/>
  <c r="C722" i="11" s="1"/>
  <c r="D722" i="11" s="1"/>
  <c r="B722" i="11" s="1"/>
  <c r="AI122" i="11"/>
  <c r="J662" i="11" s="1"/>
  <c r="AH122" i="11"/>
  <c r="I662" i="11" s="1"/>
  <c r="C662" i="11" s="1"/>
  <c r="D662" i="11" s="1"/>
  <c r="B662" i="11" s="1"/>
  <c r="AG122" i="11"/>
  <c r="J602" i="11" s="1"/>
  <c r="AF122" i="11"/>
  <c r="I602" i="11" s="1"/>
  <c r="C602" i="11" s="1"/>
  <c r="D602" i="11" s="1"/>
  <c r="B602" i="11" s="1"/>
  <c r="AC122" i="11"/>
  <c r="J542" i="11" s="1"/>
  <c r="AB122" i="11"/>
  <c r="I542" i="11" s="1"/>
  <c r="C542" i="11" s="1"/>
  <c r="AA122" i="11"/>
  <c r="J482" i="11" s="1"/>
  <c r="Z122" i="11"/>
  <c r="I482" i="11" s="1"/>
  <c r="C482" i="11" s="1"/>
  <c r="D482" i="11" s="1"/>
  <c r="B482" i="11" s="1"/>
  <c r="T122" i="11"/>
  <c r="J422" i="11" s="1"/>
  <c r="S122" i="11"/>
  <c r="I422" i="11" s="1"/>
  <c r="C422" i="11" s="1"/>
  <c r="D422" i="11" s="1"/>
  <c r="B422" i="11" s="1"/>
  <c r="R122" i="11"/>
  <c r="J362" i="11" s="1"/>
  <c r="Q122" i="11"/>
  <c r="P122" i="11"/>
  <c r="AK121" i="11"/>
  <c r="J721" i="11" s="1"/>
  <c r="AJ121" i="11"/>
  <c r="I721" i="11" s="1"/>
  <c r="C721" i="11" s="1"/>
  <c r="D721" i="11" s="1"/>
  <c r="B721" i="11" s="1"/>
  <c r="AI121" i="11"/>
  <c r="J661" i="11" s="1"/>
  <c r="AH121" i="11"/>
  <c r="I661" i="11" s="1"/>
  <c r="C661" i="11" s="1"/>
  <c r="D661" i="11" s="1"/>
  <c r="B661" i="11" s="1"/>
  <c r="AG121" i="11"/>
  <c r="J601" i="11" s="1"/>
  <c r="AF121" i="11"/>
  <c r="I601" i="11" s="1"/>
  <c r="C601" i="11" s="1"/>
  <c r="D601" i="11" s="1"/>
  <c r="B601" i="11" s="1"/>
  <c r="AC121" i="11"/>
  <c r="J541" i="11" s="1"/>
  <c r="AB121" i="11"/>
  <c r="I541" i="11" s="1"/>
  <c r="C541" i="11" s="1"/>
  <c r="D541" i="11" s="1"/>
  <c r="B541" i="11" s="1"/>
  <c r="AA121" i="11"/>
  <c r="J481" i="11" s="1"/>
  <c r="Z121" i="11"/>
  <c r="I481" i="11" s="1"/>
  <c r="C481" i="11" s="1"/>
  <c r="D481" i="11" s="1"/>
  <c r="B481" i="11" s="1"/>
  <c r="T121" i="11"/>
  <c r="J421" i="11" s="1"/>
  <c r="S121" i="11"/>
  <c r="I421" i="11" s="1"/>
  <c r="C421" i="11" s="1"/>
  <c r="D421" i="11" s="1"/>
  <c r="B421" i="11" s="1"/>
  <c r="R121" i="11"/>
  <c r="J361" i="11" s="1"/>
  <c r="Q121" i="11"/>
  <c r="P121" i="11"/>
  <c r="AK120" i="11"/>
  <c r="J720" i="11" s="1"/>
  <c r="AJ120" i="11"/>
  <c r="I720" i="11" s="1"/>
  <c r="C720" i="11" s="1"/>
  <c r="D720" i="11" s="1"/>
  <c r="B720" i="11" s="1"/>
  <c r="AI120" i="11"/>
  <c r="J660" i="11" s="1"/>
  <c r="AH120" i="11"/>
  <c r="I660" i="11" s="1"/>
  <c r="C660" i="11" s="1"/>
  <c r="D660" i="11" s="1"/>
  <c r="B660" i="11" s="1"/>
  <c r="AG120" i="11"/>
  <c r="J600" i="11" s="1"/>
  <c r="AF120" i="11"/>
  <c r="I600" i="11" s="1"/>
  <c r="C600" i="11" s="1"/>
  <c r="D600" i="11" s="1"/>
  <c r="B600" i="11" s="1"/>
  <c r="AC120" i="11"/>
  <c r="J540" i="11" s="1"/>
  <c r="AB120" i="11"/>
  <c r="I540" i="11" s="1"/>
  <c r="C540" i="11" s="1"/>
  <c r="D540" i="11" s="1"/>
  <c r="B540" i="11" s="1"/>
  <c r="AA120" i="11"/>
  <c r="J480" i="11" s="1"/>
  <c r="Z120" i="11"/>
  <c r="I480" i="11" s="1"/>
  <c r="C480" i="11" s="1"/>
  <c r="D480" i="11" s="1"/>
  <c r="B480" i="11" s="1"/>
  <c r="T120" i="11"/>
  <c r="J420" i="11" s="1"/>
  <c r="S120" i="11"/>
  <c r="I420" i="11" s="1"/>
  <c r="C420" i="11" s="1"/>
  <c r="D420" i="11" s="1"/>
  <c r="B420" i="11" s="1"/>
  <c r="R120" i="11"/>
  <c r="J360" i="11" s="1"/>
  <c r="Q120" i="11"/>
  <c r="P120" i="11"/>
  <c r="AK119" i="11"/>
  <c r="J719" i="11" s="1"/>
  <c r="AJ119" i="11"/>
  <c r="I719" i="11" s="1"/>
  <c r="C719" i="11" s="1"/>
  <c r="D719" i="11" s="1"/>
  <c r="B719" i="11" s="1"/>
  <c r="AI119" i="11"/>
  <c r="J659" i="11" s="1"/>
  <c r="AH119" i="11"/>
  <c r="I659" i="11" s="1"/>
  <c r="C659" i="11" s="1"/>
  <c r="D659" i="11" s="1"/>
  <c r="B659" i="11" s="1"/>
  <c r="AG119" i="11"/>
  <c r="J599" i="11" s="1"/>
  <c r="AF119" i="11"/>
  <c r="I599" i="11" s="1"/>
  <c r="C599" i="11" s="1"/>
  <c r="D599" i="11" s="1"/>
  <c r="B599" i="11" s="1"/>
  <c r="AC119" i="11"/>
  <c r="J539" i="11" s="1"/>
  <c r="AB119" i="11"/>
  <c r="I539" i="11" s="1"/>
  <c r="C539" i="11" s="1"/>
  <c r="D539" i="11" s="1"/>
  <c r="B539" i="11" s="1"/>
  <c r="AA119" i="11"/>
  <c r="J479" i="11" s="1"/>
  <c r="Z119" i="11"/>
  <c r="I479" i="11" s="1"/>
  <c r="C479" i="11" s="1"/>
  <c r="D479" i="11" s="1"/>
  <c r="B479" i="11" s="1"/>
  <c r="T119" i="11"/>
  <c r="J419" i="11" s="1"/>
  <c r="S119" i="11"/>
  <c r="I419" i="11" s="1"/>
  <c r="C419" i="11" s="1"/>
  <c r="D419" i="11" s="1"/>
  <c r="B419" i="11" s="1"/>
  <c r="R119" i="11"/>
  <c r="J359" i="11" s="1"/>
  <c r="Q119" i="11"/>
  <c r="P119" i="11"/>
  <c r="AK118" i="11"/>
  <c r="J718" i="11" s="1"/>
  <c r="AJ118" i="11"/>
  <c r="I718" i="11" s="1"/>
  <c r="C718" i="11" s="1"/>
  <c r="D718" i="11" s="1"/>
  <c r="B718" i="11" s="1"/>
  <c r="AI118" i="11"/>
  <c r="J658" i="11" s="1"/>
  <c r="AH118" i="11"/>
  <c r="I658" i="11" s="1"/>
  <c r="C658" i="11" s="1"/>
  <c r="D658" i="11" s="1"/>
  <c r="B658" i="11" s="1"/>
  <c r="AG118" i="11"/>
  <c r="J598" i="11" s="1"/>
  <c r="AF118" i="11"/>
  <c r="I598" i="11" s="1"/>
  <c r="C598" i="11" s="1"/>
  <c r="D598" i="11" s="1"/>
  <c r="B598" i="11" s="1"/>
  <c r="AC118" i="11"/>
  <c r="J538" i="11" s="1"/>
  <c r="AB118" i="11"/>
  <c r="I538" i="11" s="1"/>
  <c r="C538" i="11" s="1"/>
  <c r="D538" i="11" s="1"/>
  <c r="B538" i="11" s="1"/>
  <c r="AA118" i="11"/>
  <c r="J478" i="11" s="1"/>
  <c r="Z118" i="11"/>
  <c r="I478" i="11" s="1"/>
  <c r="C478" i="11" s="1"/>
  <c r="T118" i="11"/>
  <c r="J418" i="11" s="1"/>
  <c r="S118" i="11"/>
  <c r="I418" i="11" s="1"/>
  <c r="C418" i="11" s="1"/>
  <c r="D418" i="11" s="1"/>
  <c r="B418" i="11" s="1"/>
  <c r="R118" i="11"/>
  <c r="J358" i="11" s="1"/>
  <c r="Q118" i="11"/>
  <c r="P118" i="11"/>
  <c r="AK117" i="11"/>
  <c r="J717" i="11" s="1"/>
  <c r="AJ117" i="11"/>
  <c r="I717" i="11" s="1"/>
  <c r="C717" i="11" s="1"/>
  <c r="D717" i="11" s="1"/>
  <c r="B717" i="11" s="1"/>
  <c r="AI117" i="11"/>
  <c r="J657" i="11" s="1"/>
  <c r="AH117" i="11"/>
  <c r="I657" i="11" s="1"/>
  <c r="C657" i="11" s="1"/>
  <c r="D657" i="11" s="1"/>
  <c r="B657" i="11" s="1"/>
  <c r="AG117" i="11"/>
  <c r="J597" i="11" s="1"/>
  <c r="AF117" i="11"/>
  <c r="I597" i="11" s="1"/>
  <c r="C597" i="11" s="1"/>
  <c r="D597" i="11" s="1"/>
  <c r="B597" i="11" s="1"/>
  <c r="AC117" i="11"/>
  <c r="J537" i="11" s="1"/>
  <c r="AB117" i="11"/>
  <c r="I537" i="11" s="1"/>
  <c r="C537" i="11" s="1"/>
  <c r="D537" i="11" s="1"/>
  <c r="B537" i="11" s="1"/>
  <c r="AA117" i="11"/>
  <c r="J477" i="11" s="1"/>
  <c r="Z117" i="11"/>
  <c r="I477" i="11" s="1"/>
  <c r="C477" i="11" s="1"/>
  <c r="D477" i="11" s="1"/>
  <c r="B477" i="11" s="1"/>
  <c r="T117" i="11"/>
  <c r="J417" i="11" s="1"/>
  <c r="S117" i="11"/>
  <c r="I417" i="11" s="1"/>
  <c r="C417" i="11" s="1"/>
  <c r="D417" i="11" s="1"/>
  <c r="B417" i="11" s="1"/>
  <c r="R117" i="11"/>
  <c r="J357" i="11" s="1"/>
  <c r="Q117" i="11"/>
  <c r="P117" i="11"/>
  <c r="AK116" i="11"/>
  <c r="J716" i="11" s="1"/>
  <c r="AJ116" i="11"/>
  <c r="I716" i="11" s="1"/>
  <c r="C716" i="11" s="1"/>
  <c r="D716" i="11" s="1"/>
  <c r="B716" i="11" s="1"/>
  <c r="AI116" i="11"/>
  <c r="J656" i="11" s="1"/>
  <c r="AH116" i="11"/>
  <c r="I656" i="11" s="1"/>
  <c r="C656" i="11" s="1"/>
  <c r="D656" i="11" s="1"/>
  <c r="B656" i="11" s="1"/>
  <c r="AG116" i="11"/>
  <c r="J596" i="11" s="1"/>
  <c r="AF116" i="11"/>
  <c r="I596" i="11" s="1"/>
  <c r="C596" i="11" s="1"/>
  <c r="D596" i="11" s="1"/>
  <c r="B596" i="11" s="1"/>
  <c r="AC116" i="11"/>
  <c r="J536" i="11" s="1"/>
  <c r="AB116" i="11"/>
  <c r="I536" i="11" s="1"/>
  <c r="C536" i="11" s="1"/>
  <c r="D536" i="11" s="1"/>
  <c r="B536" i="11" s="1"/>
  <c r="AA116" i="11"/>
  <c r="J476" i="11" s="1"/>
  <c r="Z116" i="11"/>
  <c r="I476" i="11" s="1"/>
  <c r="C476" i="11" s="1"/>
  <c r="D476" i="11" s="1"/>
  <c r="B476" i="11" s="1"/>
  <c r="T116" i="11"/>
  <c r="J416" i="11" s="1"/>
  <c r="S116" i="11"/>
  <c r="I416" i="11" s="1"/>
  <c r="C416" i="11" s="1"/>
  <c r="D416" i="11" s="1"/>
  <c r="B416" i="11" s="1"/>
  <c r="R116" i="11"/>
  <c r="J356" i="11" s="1"/>
  <c r="Q116" i="11"/>
  <c r="P116" i="11"/>
  <c r="AK110" i="11"/>
  <c r="J710" i="11" s="1"/>
  <c r="AJ110" i="11"/>
  <c r="I710" i="11" s="1"/>
  <c r="C710" i="11" s="1"/>
  <c r="D710" i="11" s="1"/>
  <c r="B710" i="11" s="1"/>
  <c r="AI110" i="11"/>
  <c r="J650" i="11" s="1"/>
  <c r="AH110" i="11"/>
  <c r="I650" i="11" s="1"/>
  <c r="C650" i="11" s="1"/>
  <c r="D650" i="11" s="1"/>
  <c r="B650" i="11" s="1"/>
  <c r="AG110" i="11"/>
  <c r="J590" i="11" s="1"/>
  <c r="AF110" i="11"/>
  <c r="I590" i="11" s="1"/>
  <c r="C590" i="11" s="1"/>
  <c r="D590" i="11" s="1"/>
  <c r="B590" i="11" s="1"/>
  <c r="AC110" i="11"/>
  <c r="J530" i="11" s="1"/>
  <c r="AB110" i="11"/>
  <c r="I530" i="11" s="1"/>
  <c r="C530" i="11" s="1"/>
  <c r="D530" i="11" s="1"/>
  <c r="B530" i="11" s="1"/>
  <c r="AA110" i="11"/>
  <c r="J470" i="11" s="1"/>
  <c r="Z110" i="11"/>
  <c r="I470" i="11" s="1"/>
  <c r="C470" i="11" s="1"/>
  <c r="D470" i="11" s="1"/>
  <c r="B470" i="11" s="1"/>
  <c r="T110" i="11"/>
  <c r="J410" i="11" s="1"/>
  <c r="S110" i="11"/>
  <c r="I410" i="11" s="1"/>
  <c r="C410" i="11" s="1"/>
  <c r="A410" i="11" s="1"/>
  <c r="R110" i="11"/>
  <c r="J350" i="11" s="1"/>
  <c r="Q110" i="11"/>
  <c r="P110" i="11"/>
  <c r="L117" i="11"/>
  <c r="J177" i="11" s="1"/>
  <c r="L116" i="11"/>
  <c r="J176" i="11" s="1"/>
  <c r="L110" i="11"/>
  <c r="J170" i="11" s="1"/>
  <c r="J125" i="11"/>
  <c r="J124" i="11"/>
  <c r="J123" i="11"/>
  <c r="J122" i="11"/>
  <c r="J121" i="11"/>
  <c r="J120" i="11"/>
  <c r="J119" i="11"/>
  <c r="J118" i="11"/>
  <c r="J117" i="11"/>
  <c r="J116" i="11"/>
  <c r="J110" i="11"/>
  <c r="L125" i="11"/>
  <c r="J185" i="11" s="1"/>
  <c r="K125" i="11"/>
  <c r="I185" i="11" s="1"/>
  <c r="C185" i="11" s="1"/>
  <c r="A185" i="11" s="1"/>
  <c r="I125" i="11"/>
  <c r="C125" i="11" s="1"/>
  <c r="L124" i="11"/>
  <c r="J184" i="11" s="1"/>
  <c r="K124" i="11"/>
  <c r="I184" i="11" s="1"/>
  <c r="C184" i="11" s="1"/>
  <c r="D184" i="11" s="1"/>
  <c r="B184" i="11" s="1"/>
  <c r="I124" i="11"/>
  <c r="C124" i="11" s="1"/>
  <c r="D124" i="11" s="1"/>
  <c r="B124" i="11" s="1"/>
  <c r="L123" i="11"/>
  <c r="J183" i="11" s="1"/>
  <c r="K123" i="11"/>
  <c r="I183" i="11" s="1"/>
  <c r="C183" i="11" s="1"/>
  <c r="D183" i="11" s="1"/>
  <c r="B183" i="11" s="1"/>
  <c r="I123" i="11"/>
  <c r="C123" i="11" s="1"/>
  <c r="D123" i="11" s="1"/>
  <c r="B123" i="11" s="1"/>
  <c r="L122" i="11"/>
  <c r="J182" i="11" s="1"/>
  <c r="K122" i="11"/>
  <c r="I182" i="11" s="1"/>
  <c r="C182" i="11" s="1"/>
  <c r="D182" i="11" s="1"/>
  <c r="B182" i="11" s="1"/>
  <c r="I122" i="11"/>
  <c r="C122" i="11" s="1"/>
  <c r="D122" i="11" s="1"/>
  <c r="B122" i="11" s="1"/>
  <c r="L121" i="11"/>
  <c r="J181" i="11" s="1"/>
  <c r="K121" i="11"/>
  <c r="I181" i="11" s="1"/>
  <c r="C181" i="11" s="1"/>
  <c r="D181" i="11" s="1"/>
  <c r="B181" i="11" s="1"/>
  <c r="I121" i="11"/>
  <c r="C121" i="11" s="1"/>
  <c r="D121" i="11" s="1"/>
  <c r="B121" i="11" s="1"/>
  <c r="L120" i="11"/>
  <c r="J180" i="11" s="1"/>
  <c r="K120" i="11"/>
  <c r="I180" i="11" s="1"/>
  <c r="C180" i="11" s="1"/>
  <c r="I120" i="11"/>
  <c r="C120" i="11" s="1"/>
  <c r="D120" i="11" s="1"/>
  <c r="B120" i="11" s="1"/>
  <c r="L119" i="11"/>
  <c r="J179" i="11" s="1"/>
  <c r="K119" i="11"/>
  <c r="I179" i="11" s="1"/>
  <c r="C179" i="11" s="1"/>
  <c r="D179" i="11" s="1"/>
  <c r="B179" i="11" s="1"/>
  <c r="I119" i="11"/>
  <c r="C119" i="11" s="1"/>
  <c r="A119" i="11" s="1"/>
  <c r="L118" i="11"/>
  <c r="J178" i="11" s="1"/>
  <c r="K118" i="11"/>
  <c r="I178" i="11" s="1"/>
  <c r="C178" i="11" s="1"/>
  <c r="D178" i="11" s="1"/>
  <c r="B178" i="11" s="1"/>
  <c r="I118" i="11"/>
  <c r="C118" i="11" s="1"/>
  <c r="D118" i="11" s="1"/>
  <c r="B118" i="11" s="1"/>
  <c r="K117" i="11"/>
  <c r="I177" i="11" s="1"/>
  <c r="C177" i="11" s="1"/>
  <c r="D177" i="11" s="1"/>
  <c r="B177" i="11" s="1"/>
  <c r="I117" i="11"/>
  <c r="C117" i="11" s="1"/>
  <c r="D117" i="11" s="1"/>
  <c r="B117" i="11" s="1"/>
  <c r="O116" i="11"/>
  <c r="K116" i="11"/>
  <c r="I176" i="11" s="1"/>
  <c r="C176" i="11" s="1"/>
  <c r="D176" i="11" s="1"/>
  <c r="B176" i="11" s="1"/>
  <c r="I116" i="11"/>
  <c r="C116" i="11" s="1"/>
  <c r="O110" i="11"/>
  <c r="K110" i="11"/>
  <c r="I170" i="11" s="1"/>
  <c r="C170" i="11" s="1"/>
  <c r="I110" i="11"/>
  <c r="C110" i="11" s="1"/>
  <c r="A110" i="11" s="1"/>
  <c r="BJ55" i="11" l="1"/>
  <c r="AO55" i="11" s="1"/>
  <c r="DV55" i="11" s="1"/>
  <c r="I350" i="11"/>
  <c r="C350" i="11" s="1"/>
  <c r="I362" i="11"/>
  <c r="C362" i="11" s="1"/>
  <c r="J194" i="11"/>
  <c r="I211" i="11"/>
  <c r="C779" i="11"/>
  <c r="D779" i="11" s="1"/>
  <c r="B779" i="11" s="1"/>
  <c r="I239" i="11"/>
  <c r="C239" i="11" s="1"/>
  <c r="D239" i="11" s="1"/>
  <c r="B239" i="11" s="1"/>
  <c r="I212" i="11"/>
  <c r="BJ34" i="11"/>
  <c r="AO34" i="11" s="1"/>
  <c r="DV34" i="11" s="1"/>
  <c r="AL94" i="11"/>
  <c r="I754" i="11" s="1"/>
  <c r="I356" i="11"/>
  <c r="C356" i="11" s="1"/>
  <c r="I364" i="11"/>
  <c r="C364" i="11" s="1"/>
  <c r="I192" i="11"/>
  <c r="J200" i="11"/>
  <c r="I208" i="11"/>
  <c r="J216" i="11"/>
  <c r="I224" i="11"/>
  <c r="I232" i="11"/>
  <c r="J244" i="11"/>
  <c r="J240" i="11"/>
  <c r="J236" i="11"/>
  <c r="BJ48" i="11"/>
  <c r="AO48" i="11" s="1"/>
  <c r="AL108" i="11"/>
  <c r="I768" i="11" s="1"/>
  <c r="C768" i="11" s="1"/>
  <c r="A768" i="11" s="1"/>
  <c r="BJ16" i="11"/>
  <c r="AO16" i="11" s="1"/>
  <c r="DV16" i="11" s="1"/>
  <c r="AL76" i="11"/>
  <c r="I736" i="11" s="1"/>
  <c r="BJ29" i="11"/>
  <c r="CE29" i="11" s="1"/>
  <c r="AL89" i="11"/>
  <c r="I749" i="11" s="1"/>
  <c r="BJ12" i="11"/>
  <c r="CE12" i="11" s="1"/>
  <c r="AL72" i="11"/>
  <c r="I732" i="11" s="1"/>
  <c r="C732" i="11" s="1"/>
  <c r="A732" i="11" s="1"/>
  <c r="BJ25" i="11"/>
  <c r="CE25" i="11" s="1"/>
  <c r="CV25" i="11" s="1"/>
  <c r="AL85" i="11"/>
  <c r="I745" i="11" s="1"/>
  <c r="BJ43" i="11"/>
  <c r="CE43" i="11" s="1"/>
  <c r="AL103" i="11"/>
  <c r="I763" i="11" s="1"/>
  <c r="C763" i="11" s="1"/>
  <c r="A763" i="11" s="1"/>
  <c r="J217" i="11"/>
  <c r="C784" i="11"/>
  <c r="D784" i="11" s="1"/>
  <c r="B784" i="11" s="1"/>
  <c r="I244" i="11"/>
  <c r="C244" i="11" s="1"/>
  <c r="D244" i="11" s="1"/>
  <c r="B244" i="11" s="1"/>
  <c r="C780" i="11"/>
  <c r="D780" i="11" s="1"/>
  <c r="B780" i="11" s="1"/>
  <c r="I240" i="11"/>
  <c r="C240" i="11" s="1"/>
  <c r="D240" i="11" s="1"/>
  <c r="B240" i="11" s="1"/>
  <c r="C776" i="11"/>
  <c r="I236" i="11"/>
  <c r="BJ49" i="11"/>
  <c r="CE49" i="11" s="1"/>
  <c r="AL109" i="11"/>
  <c r="I769" i="11" s="1"/>
  <c r="C769" i="11" s="1"/>
  <c r="D769" i="11" s="1"/>
  <c r="B769" i="11" s="1"/>
  <c r="BJ17" i="11"/>
  <c r="AO17" i="11" s="1"/>
  <c r="DV17" i="11" s="1"/>
  <c r="AL77" i="11"/>
  <c r="I737" i="11" s="1"/>
  <c r="C737" i="11" s="1"/>
  <c r="BJ30" i="11"/>
  <c r="AO30" i="11" s="1"/>
  <c r="DV30" i="11" s="1"/>
  <c r="AL90" i="11"/>
  <c r="I750" i="11" s="1"/>
  <c r="BJ13" i="11"/>
  <c r="AO13" i="11" s="1"/>
  <c r="DV13" i="11" s="1"/>
  <c r="AL73" i="11"/>
  <c r="I733" i="11" s="1"/>
  <c r="C733" i="11" s="1"/>
  <c r="BJ31" i="11"/>
  <c r="CE31" i="11" s="1"/>
  <c r="AL91" i="11"/>
  <c r="I751" i="11" s="1"/>
  <c r="C751" i="11" s="1"/>
  <c r="BJ44" i="11"/>
  <c r="AO44" i="11" s="1"/>
  <c r="DV44" i="11" s="1"/>
  <c r="AL104" i="11"/>
  <c r="I764" i="11" s="1"/>
  <c r="C764" i="11" s="1"/>
  <c r="A764" i="11" s="1"/>
  <c r="I225" i="11"/>
  <c r="J202" i="11"/>
  <c r="BJ50" i="11"/>
  <c r="CE50" i="11" s="1"/>
  <c r="CV50" i="11" s="1"/>
  <c r="AL110" i="11"/>
  <c r="I770" i="11" s="1"/>
  <c r="BJ18" i="11"/>
  <c r="AO18" i="11" s="1"/>
  <c r="AL78" i="11"/>
  <c r="I738" i="11" s="1"/>
  <c r="BJ36" i="11"/>
  <c r="AO36" i="11" s="1"/>
  <c r="DV36" i="11" s="1"/>
  <c r="AL96" i="11"/>
  <c r="I756" i="11" s="1"/>
  <c r="BJ14" i="11"/>
  <c r="CE14" i="11" s="1"/>
  <c r="AL74" i="11"/>
  <c r="I734" i="11" s="1"/>
  <c r="BJ32" i="11"/>
  <c r="AO32" i="11" s="1"/>
  <c r="DV32" i="11" s="1"/>
  <c r="AL92" i="11"/>
  <c r="I752" i="11" s="1"/>
  <c r="C752" i="11" s="1"/>
  <c r="BJ45" i="11"/>
  <c r="AL105" i="11"/>
  <c r="I765" i="11" s="1"/>
  <c r="C765" i="11" s="1"/>
  <c r="D765" i="11" s="1"/>
  <c r="B765" i="11" s="1"/>
  <c r="BJ6" i="11"/>
  <c r="CE6" i="11" s="1"/>
  <c r="AL66" i="11"/>
  <c r="I726" i="11" s="1"/>
  <c r="C726" i="11" s="1"/>
  <c r="D726" i="11" s="1"/>
  <c r="B726" i="11" s="1"/>
  <c r="BJ19" i="11"/>
  <c r="AO19" i="11" s="1"/>
  <c r="DV19" i="11" s="1"/>
  <c r="AL79" i="11"/>
  <c r="I739" i="11" s="1"/>
  <c r="C739" i="11" s="1"/>
  <c r="BJ37" i="11"/>
  <c r="CE37" i="11" s="1"/>
  <c r="AL97" i="11"/>
  <c r="I757" i="11" s="1"/>
  <c r="BJ15" i="11"/>
  <c r="AL75" i="11"/>
  <c r="I735" i="11" s="1"/>
  <c r="BJ33" i="11"/>
  <c r="CE33" i="11" s="1"/>
  <c r="AL93" i="11"/>
  <c r="I753" i="11" s="1"/>
  <c r="C753" i="11" s="1"/>
  <c r="BJ51" i="11"/>
  <c r="AO51" i="11" s="1"/>
  <c r="DV51" i="11" s="1"/>
  <c r="AL111" i="11"/>
  <c r="I771" i="11" s="1"/>
  <c r="C771" i="11" s="1"/>
  <c r="BJ38" i="11"/>
  <c r="AO38" i="11" s="1"/>
  <c r="DV38" i="11" s="1"/>
  <c r="AL98" i="11"/>
  <c r="I758" i="11" s="1"/>
  <c r="J201" i="11"/>
  <c r="J233" i="11"/>
  <c r="J218" i="11"/>
  <c r="J243" i="11"/>
  <c r="I187" i="11"/>
  <c r="I219" i="11"/>
  <c r="I235" i="11"/>
  <c r="C736" i="11"/>
  <c r="A736" i="11" s="1"/>
  <c r="I196" i="11"/>
  <c r="I228" i="11"/>
  <c r="BJ7" i="11"/>
  <c r="AO7" i="11" s="1"/>
  <c r="AL67" i="11"/>
  <c r="I727" i="11" s="1"/>
  <c r="C727" i="11" s="1"/>
  <c r="A727" i="11" s="1"/>
  <c r="C359" i="11"/>
  <c r="I359" i="11"/>
  <c r="I189" i="11"/>
  <c r="I197" i="11"/>
  <c r="J205" i="11"/>
  <c r="I213" i="11"/>
  <c r="I221" i="11"/>
  <c r="I229" i="11"/>
  <c r="C782" i="11"/>
  <c r="D782" i="11" s="1"/>
  <c r="B782" i="11" s="1"/>
  <c r="I242" i="11"/>
  <c r="C242" i="11" s="1"/>
  <c r="D242" i="11" s="1"/>
  <c r="B242" i="11" s="1"/>
  <c r="C778" i="11"/>
  <c r="A778" i="11" s="1"/>
  <c r="I238" i="11"/>
  <c r="C238" i="11" s="1"/>
  <c r="D238" i="11" s="1"/>
  <c r="B238" i="11" s="1"/>
  <c r="BJ8" i="11"/>
  <c r="AO8" i="11" s="1"/>
  <c r="AL68" i="11"/>
  <c r="I728" i="11" s="1"/>
  <c r="C728" i="11" s="1"/>
  <c r="BJ26" i="11"/>
  <c r="CE26" i="11" s="1"/>
  <c r="AL86" i="11"/>
  <c r="I746" i="11" s="1"/>
  <c r="BJ39" i="11"/>
  <c r="AL99" i="11"/>
  <c r="I759" i="11" s="1"/>
  <c r="C759" i="11" s="1"/>
  <c r="BJ22" i="11"/>
  <c r="CE22" i="11" s="1"/>
  <c r="AL82" i="11"/>
  <c r="I742" i="11" s="1"/>
  <c r="BJ35" i="11"/>
  <c r="CE35" i="11" s="1"/>
  <c r="CV35" i="11" s="1"/>
  <c r="AL95" i="11"/>
  <c r="I755" i="11" s="1"/>
  <c r="C755" i="11" s="1"/>
  <c r="D755" i="11" s="1"/>
  <c r="B755" i="11" s="1"/>
  <c r="BJ53" i="11"/>
  <c r="AO53" i="11" s="1"/>
  <c r="AL113" i="11"/>
  <c r="I773" i="11" s="1"/>
  <c r="C363" i="11"/>
  <c r="D363" i="11" s="1"/>
  <c r="B363" i="11" s="1"/>
  <c r="I363" i="11"/>
  <c r="I203" i="11"/>
  <c r="C783" i="11"/>
  <c r="I243" i="11"/>
  <c r="C243" i="11" s="1"/>
  <c r="D243" i="11" s="1"/>
  <c r="B243" i="11" s="1"/>
  <c r="I360" i="11"/>
  <c r="C360" i="11" s="1"/>
  <c r="I204" i="11"/>
  <c r="J238" i="11"/>
  <c r="BJ20" i="11"/>
  <c r="AO20" i="11" s="1"/>
  <c r="DV20" i="11" s="1"/>
  <c r="AL80" i="11"/>
  <c r="I740" i="11" s="1"/>
  <c r="BJ21" i="11"/>
  <c r="CE21" i="11" s="1"/>
  <c r="AL81" i="11"/>
  <c r="I741" i="11" s="1"/>
  <c r="BJ52" i="11"/>
  <c r="CE52" i="11" s="1"/>
  <c r="AL112" i="11"/>
  <c r="I772" i="11" s="1"/>
  <c r="C772" i="11" s="1"/>
  <c r="D772" i="11" s="1"/>
  <c r="B772" i="11" s="1"/>
  <c r="C358" i="11"/>
  <c r="I358" i="11"/>
  <c r="J190" i="11"/>
  <c r="C738" i="11"/>
  <c r="A738" i="11" s="1"/>
  <c r="I198" i="11"/>
  <c r="C746" i="11"/>
  <c r="D746" i="11" s="1"/>
  <c r="B746" i="11" s="1"/>
  <c r="I206" i="11"/>
  <c r="J214" i="11"/>
  <c r="J222" i="11"/>
  <c r="C770" i="11"/>
  <c r="D770" i="11" s="1"/>
  <c r="B770" i="11" s="1"/>
  <c r="I230" i="11"/>
  <c r="C230" i="11" s="1"/>
  <c r="J245" i="11"/>
  <c r="J241" i="11"/>
  <c r="J237" i="11"/>
  <c r="BJ46" i="11"/>
  <c r="AO46" i="11" s="1"/>
  <c r="AL106" i="11"/>
  <c r="I766" i="11" s="1"/>
  <c r="BJ9" i="11"/>
  <c r="AO9" i="11" s="1"/>
  <c r="AL69" i="11"/>
  <c r="I729" i="11" s="1"/>
  <c r="C729" i="11" s="1"/>
  <c r="D729" i="11" s="1"/>
  <c r="B729" i="11" s="1"/>
  <c r="BJ27" i="11"/>
  <c r="CE27" i="11" s="1"/>
  <c r="AL87" i="11"/>
  <c r="I747" i="11" s="1"/>
  <c r="C747" i="11" s="1"/>
  <c r="D747" i="11" s="1"/>
  <c r="B747" i="11" s="1"/>
  <c r="BJ40" i="11"/>
  <c r="AO40" i="11" s="1"/>
  <c r="DV40" i="11" s="1"/>
  <c r="AL100" i="11"/>
  <c r="I760" i="11" s="1"/>
  <c r="C760" i="11" s="1"/>
  <c r="BJ23" i="11"/>
  <c r="AO23" i="11" s="1"/>
  <c r="DV23" i="11" s="1"/>
  <c r="AL83" i="11"/>
  <c r="I743" i="11" s="1"/>
  <c r="C743" i="11" s="1"/>
  <c r="A743" i="11" s="1"/>
  <c r="BJ41" i="11"/>
  <c r="CE41" i="11" s="1"/>
  <c r="AL101" i="11"/>
  <c r="I761" i="11" s="1"/>
  <c r="C761" i="11" s="1"/>
  <c r="BJ54" i="11"/>
  <c r="CE54" i="11" s="1"/>
  <c r="AL114" i="11"/>
  <c r="I774" i="11" s="1"/>
  <c r="I193" i="11"/>
  <c r="C749" i="11"/>
  <c r="D749" i="11" s="1"/>
  <c r="B749" i="11" s="1"/>
  <c r="I209" i="11"/>
  <c r="I186" i="11"/>
  <c r="J210" i="11"/>
  <c r="J239" i="11"/>
  <c r="I361" i="11"/>
  <c r="C361" i="11" s="1"/>
  <c r="C735" i="11"/>
  <c r="D735" i="11" s="1"/>
  <c r="B735" i="11" s="1"/>
  <c r="I195" i="11"/>
  <c r="I227" i="11"/>
  <c r="I188" i="11"/>
  <c r="I220" i="11"/>
  <c r="J242" i="11"/>
  <c r="C236" i="11"/>
  <c r="D236" i="11" s="1"/>
  <c r="B236" i="11" s="1"/>
  <c r="I357" i="11"/>
  <c r="C357" i="11" s="1"/>
  <c r="C365" i="11"/>
  <c r="D365" i="11" s="1"/>
  <c r="B365" i="11" s="1"/>
  <c r="I365" i="11"/>
  <c r="I191" i="11"/>
  <c r="I199" i="11"/>
  <c r="I207" i="11"/>
  <c r="I215" i="11"/>
  <c r="I223" i="11"/>
  <c r="I231" i="11"/>
  <c r="C785" i="11"/>
  <c r="D785" i="11" s="1"/>
  <c r="B785" i="11" s="1"/>
  <c r="I245" i="11"/>
  <c r="C245" i="11" s="1"/>
  <c r="C781" i="11"/>
  <c r="D781" i="11" s="1"/>
  <c r="B781" i="11" s="1"/>
  <c r="I241" i="11"/>
  <c r="C241" i="11" s="1"/>
  <c r="D241" i="11" s="1"/>
  <c r="B241" i="11" s="1"/>
  <c r="C777" i="11"/>
  <c r="D777" i="11" s="1"/>
  <c r="B777" i="11" s="1"/>
  <c r="I237" i="11"/>
  <c r="C237" i="11" s="1"/>
  <c r="D237" i="11" s="1"/>
  <c r="B237" i="11" s="1"/>
  <c r="BJ47" i="11"/>
  <c r="AO47" i="11" s="1"/>
  <c r="DV47" i="11" s="1"/>
  <c r="AL107" i="11"/>
  <c r="I767" i="11" s="1"/>
  <c r="C767" i="11" s="1"/>
  <c r="BJ10" i="11"/>
  <c r="CE10" i="11" s="1"/>
  <c r="CV10" i="11" s="1"/>
  <c r="AL70" i="11"/>
  <c r="I730" i="11" s="1"/>
  <c r="BJ28" i="11"/>
  <c r="AO28" i="11" s="1"/>
  <c r="AL88" i="11"/>
  <c r="I748" i="11" s="1"/>
  <c r="C748" i="11" s="1"/>
  <c r="BJ11" i="11"/>
  <c r="CE11" i="11" s="1"/>
  <c r="AL71" i="11"/>
  <c r="I731" i="11" s="1"/>
  <c r="C731" i="11" s="1"/>
  <c r="BJ24" i="11"/>
  <c r="CE24" i="11" s="1"/>
  <c r="AL84" i="11"/>
  <c r="I744" i="11" s="1"/>
  <c r="C744" i="11" s="1"/>
  <c r="D744" i="11" s="1"/>
  <c r="B744" i="11" s="1"/>
  <c r="BJ42" i="11"/>
  <c r="AO42" i="11" s="1"/>
  <c r="DV42" i="11" s="1"/>
  <c r="AL102" i="11"/>
  <c r="I762" i="11" s="1"/>
  <c r="AL115" i="11"/>
  <c r="I775" i="11" s="1"/>
  <c r="C775" i="11" s="1"/>
  <c r="AT57" i="11"/>
  <c r="EA57" i="11" s="1"/>
  <c r="AT50" i="11"/>
  <c r="EA50" i="11" s="1"/>
  <c r="AT59" i="11"/>
  <c r="EA59" i="11" s="1"/>
  <c r="BV50" i="11"/>
  <c r="CM50" i="11" s="1"/>
  <c r="BS56" i="11"/>
  <c r="AT56" i="11" s="1"/>
  <c r="EA56" i="11" s="1"/>
  <c r="CA56" i="11"/>
  <c r="CR56" i="11" s="1"/>
  <c r="BV57" i="11"/>
  <c r="CM57" i="11" s="1"/>
  <c r="CD57" i="11"/>
  <c r="CU57" i="11" s="1"/>
  <c r="BY58" i="11"/>
  <c r="CP58" i="11" s="1"/>
  <c r="BT59" i="11"/>
  <c r="CK59" i="11" s="1"/>
  <c r="CB59" i="11"/>
  <c r="CS59" i="11" s="1"/>
  <c r="BW60" i="11"/>
  <c r="CN60" i="11" s="1"/>
  <c r="CE60" i="11"/>
  <c r="CV60" i="11" s="1"/>
  <c r="AL50" i="11"/>
  <c r="DS50" i="11" s="1"/>
  <c r="AH56" i="11"/>
  <c r="DO56" i="11" s="1"/>
  <c r="AC57" i="11"/>
  <c r="DJ57" i="11" s="1"/>
  <c r="AK57" i="11"/>
  <c r="DR57" i="11" s="1"/>
  <c r="AF58" i="11"/>
  <c r="DM58" i="11" s="1"/>
  <c r="AN58" i="11"/>
  <c r="DU58" i="11" s="1"/>
  <c r="AI59" i="11"/>
  <c r="DP59" i="11" s="1"/>
  <c r="AD60" i="11"/>
  <c r="DK60" i="11" s="1"/>
  <c r="AL60" i="11"/>
  <c r="DS60" i="11" s="1"/>
  <c r="BW50" i="11"/>
  <c r="CN50" i="11" s="1"/>
  <c r="BT56" i="11"/>
  <c r="CK56" i="11" s="1"/>
  <c r="CB56" i="11"/>
  <c r="CS56" i="11" s="1"/>
  <c r="BW57" i="11"/>
  <c r="CN57" i="11" s="1"/>
  <c r="CE57" i="11"/>
  <c r="CV57" i="11" s="1"/>
  <c r="BZ58" i="11"/>
  <c r="CQ58" i="11" s="1"/>
  <c r="BU59" i="11"/>
  <c r="CL59" i="11" s="1"/>
  <c r="CC59" i="11"/>
  <c r="CT59" i="11" s="1"/>
  <c r="BX60" i="11"/>
  <c r="CO60" i="11" s="1"/>
  <c r="AC50" i="11"/>
  <c r="DJ50" i="11" s="1"/>
  <c r="AM50" i="11"/>
  <c r="DT50" i="11" s="1"/>
  <c r="AI56" i="11"/>
  <c r="DP56" i="11" s="1"/>
  <c r="AD57" i="11"/>
  <c r="DK57" i="11" s="1"/>
  <c r="AL57" i="11"/>
  <c r="DS57" i="11" s="1"/>
  <c r="AG58" i="11"/>
  <c r="DN58" i="11" s="1"/>
  <c r="AO58" i="11"/>
  <c r="DV58" i="11" s="1"/>
  <c r="AJ59" i="11"/>
  <c r="DQ59" i="11" s="1"/>
  <c r="AE60" i="11"/>
  <c r="DL60" i="11" s="1"/>
  <c r="AM60" i="11"/>
  <c r="DT60" i="11" s="1"/>
  <c r="BX50" i="11"/>
  <c r="CO50" i="11" s="1"/>
  <c r="BU56" i="11"/>
  <c r="CL56" i="11" s="1"/>
  <c r="CC56" i="11"/>
  <c r="CT56" i="11" s="1"/>
  <c r="BX57" i="11"/>
  <c r="CO57" i="11" s="1"/>
  <c r="BS58" i="11"/>
  <c r="AT58" i="11" s="1"/>
  <c r="EA58" i="11" s="1"/>
  <c r="CA58" i="11"/>
  <c r="CR58" i="11" s="1"/>
  <c r="BV59" i="11"/>
  <c r="CM59" i="11" s="1"/>
  <c r="CD59" i="11"/>
  <c r="CU59" i="11" s="1"/>
  <c r="BY60" i="11"/>
  <c r="CP60" i="11" s="1"/>
  <c r="AD50" i="11"/>
  <c r="DK50" i="11" s="1"/>
  <c r="AN50" i="11"/>
  <c r="DU50" i="11" s="1"/>
  <c r="AJ56" i="11"/>
  <c r="DQ56" i="11" s="1"/>
  <c r="AE57" i="11"/>
  <c r="DL57" i="11" s="1"/>
  <c r="AM57" i="11"/>
  <c r="DT57" i="11" s="1"/>
  <c r="AH58" i="11"/>
  <c r="DO58" i="11" s="1"/>
  <c r="AC59" i="11"/>
  <c r="DJ59" i="11" s="1"/>
  <c r="AK59" i="11"/>
  <c r="DR59" i="11" s="1"/>
  <c r="AF60" i="11"/>
  <c r="DM60" i="11" s="1"/>
  <c r="AN60" i="11"/>
  <c r="DU60" i="11" s="1"/>
  <c r="BY50" i="11"/>
  <c r="CP50" i="11" s="1"/>
  <c r="BV56" i="11"/>
  <c r="CM56" i="11" s="1"/>
  <c r="CD56" i="11"/>
  <c r="CU56" i="11" s="1"/>
  <c r="BY57" i="11"/>
  <c r="CP57" i="11" s="1"/>
  <c r="BT58" i="11"/>
  <c r="CK58" i="11" s="1"/>
  <c r="CB58" i="11"/>
  <c r="CS58" i="11" s="1"/>
  <c r="BW59" i="11"/>
  <c r="CN59" i="11" s="1"/>
  <c r="CE59" i="11"/>
  <c r="CV59" i="11" s="1"/>
  <c r="BZ60" i="11"/>
  <c r="CQ60" i="11" s="1"/>
  <c r="BZ50" i="11"/>
  <c r="BW56" i="11"/>
  <c r="CN56" i="11" s="1"/>
  <c r="CE56" i="11"/>
  <c r="CV56" i="11" s="1"/>
  <c r="BZ57" i="11"/>
  <c r="CQ57" i="11" s="1"/>
  <c r="BU58" i="11"/>
  <c r="CL58" i="11" s="1"/>
  <c r="CC58" i="11"/>
  <c r="CT58" i="11" s="1"/>
  <c r="BX59" i="11"/>
  <c r="CO59" i="11" s="1"/>
  <c r="BS60" i="11"/>
  <c r="AT60" i="11" s="1"/>
  <c r="EA60" i="11" s="1"/>
  <c r="CA60" i="11"/>
  <c r="CR60" i="11" s="1"/>
  <c r="BF17" i="11"/>
  <c r="CA17" i="11" s="1"/>
  <c r="BF29" i="11"/>
  <c r="CA29" i="11" s="1"/>
  <c r="CE18" i="11"/>
  <c r="AK26" i="11"/>
  <c r="DR26" i="11" s="1"/>
  <c r="AK43" i="11"/>
  <c r="BF31" i="11"/>
  <c r="CA31" i="11" s="1"/>
  <c r="CE30" i="11"/>
  <c r="CV30" i="11" s="1"/>
  <c r="AK19" i="11"/>
  <c r="AO29" i="11"/>
  <c r="DV29" i="11" s="1"/>
  <c r="AK51" i="11"/>
  <c r="DR51" i="11" s="1"/>
  <c r="BH13" i="11"/>
  <c r="AM13" i="11" s="1"/>
  <c r="AK22" i="11"/>
  <c r="DR22" i="11" s="1"/>
  <c r="AK35" i="11"/>
  <c r="DR35" i="11" s="1"/>
  <c r="AK44" i="11"/>
  <c r="CD13" i="11"/>
  <c r="CE38" i="11"/>
  <c r="AK15" i="11"/>
  <c r="DR15" i="11" s="1"/>
  <c r="AK39" i="11"/>
  <c r="DR39" i="11" s="1"/>
  <c r="AO33" i="11"/>
  <c r="DV33" i="11" s="1"/>
  <c r="CE19" i="11"/>
  <c r="AM12" i="11"/>
  <c r="DT12" i="11" s="1"/>
  <c r="CC12" i="11"/>
  <c r="AO45" i="11"/>
  <c r="DV45" i="11" s="1"/>
  <c r="CE45" i="11"/>
  <c r="CV45" i="11" s="1"/>
  <c r="CE39" i="11"/>
  <c r="AO39" i="11"/>
  <c r="DV39" i="11" s="1"/>
  <c r="CE9" i="11"/>
  <c r="BI15" i="11"/>
  <c r="AM15" i="11"/>
  <c r="DT15" i="11" s="1"/>
  <c r="AO15" i="11"/>
  <c r="DV15" i="11" s="1"/>
  <c r="CE15" i="11"/>
  <c r="CV15" i="11" s="1"/>
  <c r="BG13" i="11"/>
  <c r="AL12" i="11"/>
  <c r="DS12" i="11" s="1"/>
  <c r="CB12" i="11"/>
  <c r="AO22" i="11"/>
  <c r="DV22" i="11" s="1"/>
  <c r="CE13" i="11"/>
  <c r="CE20" i="11"/>
  <c r="CV20" i="11" s="1"/>
  <c r="CE32" i="11"/>
  <c r="CE36" i="11"/>
  <c r="CE48" i="11"/>
  <c r="AO25" i="11"/>
  <c r="DV25" i="11" s="1"/>
  <c r="BI12" i="11"/>
  <c r="CE55" i="11"/>
  <c r="CV55" i="11" s="1"/>
  <c r="CA50" i="11"/>
  <c r="AK50" i="11"/>
  <c r="AK55" i="11"/>
  <c r="DR55" i="11" s="1"/>
  <c r="BF9" i="11"/>
  <c r="CA36" i="11"/>
  <c r="AK36" i="11"/>
  <c r="DR36" i="11" s="1"/>
  <c r="AK52" i="11"/>
  <c r="DR52" i="11" s="1"/>
  <c r="CA20" i="11"/>
  <c r="AK20" i="11"/>
  <c r="CA18" i="11"/>
  <c r="AK18" i="11"/>
  <c r="DR18" i="11" s="1"/>
  <c r="CA7" i="11"/>
  <c r="AK7" i="11"/>
  <c r="DR7" i="11" s="1"/>
  <c r="AD98" i="11"/>
  <c r="I818" i="11" s="1"/>
  <c r="C818" i="11" s="1"/>
  <c r="D818" i="11" s="1"/>
  <c r="B818" i="11" s="1"/>
  <c r="BF38" i="11"/>
  <c r="CA10" i="11"/>
  <c r="AK10" i="11"/>
  <c r="DR10" i="11" s="1"/>
  <c r="Z75" i="11"/>
  <c r="I435" i="11" s="1"/>
  <c r="C435" i="11" s="1"/>
  <c r="D435" i="11" s="1"/>
  <c r="B435" i="11" s="1"/>
  <c r="BD15" i="11"/>
  <c r="CA34" i="11"/>
  <c r="AK34" i="11"/>
  <c r="DR34" i="11" s="1"/>
  <c r="CA27" i="11"/>
  <c r="AK27" i="11"/>
  <c r="DR27" i="11" s="1"/>
  <c r="AE83" i="11"/>
  <c r="J803" i="11" s="1"/>
  <c r="BF23" i="11"/>
  <c r="CA47" i="11"/>
  <c r="AK47" i="11"/>
  <c r="DR47" i="11" s="1"/>
  <c r="CA42" i="11"/>
  <c r="AK42" i="11"/>
  <c r="DR42" i="11" s="1"/>
  <c r="BF21" i="11"/>
  <c r="CA28" i="11"/>
  <c r="AK28" i="11"/>
  <c r="DR28" i="11" s="1"/>
  <c r="CA11" i="11"/>
  <c r="AK11" i="11"/>
  <c r="CA12" i="11"/>
  <c r="AK12" i="11"/>
  <c r="DR12" i="11" s="1"/>
  <c r="BY14" i="11"/>
  <c r="AI14" i="11"/>
  <c r="AD74" i="11"/>
  <c r="I794" i="11" s="1"/>
  <c r="C794" i="11" s="1"/>
  <c r="D794" i="11" s="1"/>
  <c r="B794" i="11" s="1"/>
  <c r="BF14" i="11"/>
  <c r="BF24" i="11"/>
  <c r="BF32" i="11"/>
  <c r="BD12" i="11"/>
  <c r="BF13" i="11"/>
  <c r="BF16" i="11"/>
  <c r="BF25" i="11"/>
  <c r="BF30" i="11"/>
  <c r="AZ52" i="11"/>
  <c r="BG14" i="11"/>
  <c r="BH14" i="11"/>
  <c r="BI14" i="11"/>
  <c r="BG15" i="11"/>
  <c r="BF37" i="11"/>
  <c r="BD13" i="11"/>
  <c r="BF40" i="11"/>
  <c r="BE12" i="11"/>
  <c r="BE13" i="11"/>
  <c r="BE14" i="11"/>
  <c r="BE15" i="11"/>
  <c r="BF33" i="11"/>
  <c r="BF6" i="11"/>
  <c r="BF8" i="11"/>
  <c r="BF53" i="11"/>
  <c r="BF54" i="11"/>
  <c r="BF41" i="11"/>
  <c r="BF45" i="11"/>
  <c r="BF46" i="11"/>
  <c r="BF48" i="11"/>
  <c r="BF49" i="11"/>
  <c r="N106" i="11"/>
  <c r="AZ46" i="11"/>
  <c r="N114" i="11"/>
  <c r="AZ54" i="11"/>
  <c r="AZ6" i="11"/>
  <c r="AZ21" i="11"/>
  <c r="AZ29" i="11"/>
  <c r="AZ38" i="11"/>
  <c r="AZ53" i="11"/>
  <c r="AZ55" i="11"/>
  <c r="AZ8" i="11"/>
  <c r="AZ13" i="11"/>
  <c r="AZ18" i="11"/>
  <c r="AZ26" i="11"/>
  <c r="AZ36" i="11"/>
  <c r="AZ40" i="11"/>
  <c r="AZ42" i="11"/>
  <c r="AZ10" i="11"/>
  <c r="AZ23" i="11"/>
  <c r="AZ31" i="11"/>
  <c r="AZ44" i="11"/>
  <c r="AZ48" i="11"/>
  <c r="AZ15" i="11"/>
  <c r="AZ20" i="11"/>
  <c r="AZ28" i="11"/>
  <c r="AZ33" i="11"/>
  <c r="AZ50" i="11"/>
  <c r="AZ7" i="11"/>
  <c r="AZ12" i="11"/>
  <c r="AZ17" i="11"/>
  <c r="AZ25" i="11"/>
  <c r="AZ35" i="11"/>
  <c r="AZ37" i="11"/>
  <c r="AZ9" i="11"/>
  <c r="AZ22" i="11"/>
  <c r="AZ30" i="11"/>
  <c r="AZ39" i="11"/>
  <c r="AZ41" i="11"/>
  <c r="AZ43" i="11"/>
  <c r="AZ14" i="11"/>
  <c r="AZ19" i="11"/>
  <c r="AZ27" i="11"/>
  <c r="AZ45" i="11"/>
  <c r="AZ47" i="11"/>
  <c r="AZ11" i="11"/>
  <c r="AZ16" i="11"/>
  <c r="AZ24" i="11"/>
  <c r="AZ32" i="11"/>
  <c r="AZ34" i="11"/>
  <c r="AZ49" i="11"/>
  <c r="AZ51" i="11"/>
  <c r="D845" i="11"/>
  <c r="B845" i="11" s="1"/>
  <c r="A845" i="11"/>
  <c r="D837" i="11"/>
  <c r="B837" i="11" s="1"/>
  <c r="A837" i="11"/>
  <c r="D841" i="11"/>
  <c r="B841" i="11" s="1"/>
  <c r="A841" i="11"/>
  <c r="A785" i="11"/>
  <c r="AE114" i="11"/>
  <c r="J834" i="11" s="1"/>
  <c r="AD115" i="11"/>
  <c r="I835" i="11" s="1"/>
  <c r="C835" i="11" s="1"/>
  <c r="A835" i="11" s="1"/>
  <c r="AE115" i="11"/>
  <c r="J835" i="11" s="1"/>
  <c r="AD83" i="11"/>
  <c r="I803" i="11" s="1"/>
  <c r="C803" i="11" s="1"/>
  <c r="A803" i="11" s="1"/>
  <c r="AD87" i="11"/>
  <c r="I807" i="11" s="1"/>
  <c r="C807" i="11" s="1"/>
  <c r="A807" i="11" s="1"/>
  <c r="AE87" i="11"/>
  <c r="J807" i="11" s="1"/>
  <c r="A843" i="11"/>
  <c r="D843" i="11"/>
  <c r="B843" i="11" s="1"/>
  <c r="D844" i="11"/>
  <c r="B844" i="11" s="1"/>
  <c r="A844" i="11"/>
  <c r="D836" i="11"/>
  <c r="B836" i="11" s="1"/>
  <c r="A836" i="11"/>
  <c r="A839" i="11"/>
  <c r="D839" i="11"/>
  <c r="B839" i="11" s="1"/>
  <c r="D840" i="11"/>
  <c r="B840" i="11" s="1"/>
  <c r="A840" i="11"/>
  <c r="D838" i="11"/>
  <c r="B838" i="11" s="1"/>
  <c r="A786" i="11"/>
  <c r="A834" i="11"/>
  <c r="A842" i="11"/>
  <c r="A783" i="11"/>
  <c r="D783" i="11"/>
  <c r="B783" i="11" s="1"/>
  <c r="A784" i="11"/>
  <c r="D776" i="11"/>
  <c r="B776" i="11" s="1"/>
  <c r="A776" i="11"/>
  <c r="D778" i="11"/>
  <c r="B778" i="11" s="1"/>
  <c r="AD99" i="11"/>
  <c r="I819" i="11" s="1"/>
  <c r="C819" i="11" s="1"/>
  <c r="A819" i="11" s="1"/>
  <c r="AD100" i="11"/>
  <c r="I820" i="11" s="1"/>
  <c r="C820" i="11" s="1"/>
  <c r="D820" i="11" s="1"/>
  <c r="B820" i="11" s="1"/>
  <c r="AD101" i="11"/>
  <c r="I821" i="11" s="1"/>
  <c r="C821" i="11" s="1"/>
  <c r="D821" i="11" s="1"/>
  <c r="B821" i="11" s="1"/>
  <c r="AE71" i="11"/>
  <c r="J791" i="11" s="1"/>
  <c r="AD106" i="11"/>
  <c r="I826" i="11" s="1"/>
  <c r="C826" i="11" s="1"/>
  <c r="D826" i="11" s="1"/>
  <c r="B826" i="11" s="1"/>
  <c r="AE99" i="11"/>
  <c r="J819" i="11" s="1"/>
  <c r="AE66" i="11"/>
  <c r="J786" i="11" s="1"/>
  <c r="AD86" i="11"/>
  <c r="I806" i="11" s="1"/>
  <c r="C806" i="11" s="1"/>
  <c r="D806" i="11" s="1"/>
  <c r="B806" i="11" s="1"/>
  <c r="AD67" i="11"/>
  <c r="I787" i="11" s="1"/>
  <c r="C787" i="11" s="1"/>
  <c r="D787" i="11" s="1"/>
  <c r="B787" i="11" s="1"/>
  <c r="AD81" i="11"/>
  <c r="I801" i="11" s="1"/>
  <c r="C801" i="11" s="1"/>
  <c r="D801" i="11" s="1"/>
  <c r="B801" i="11" s="1"/>
  <c r="AD88" i="11"/>
  <c r="I808" i="11" s="1"/>
  <c r="C808" i="11" s="1"/>
  <c r="A808" i="11" s="1"/>
  <c r="AD82" i="11"/>
  <c r="I802" i="11" s="1"/>
  <c r="C802" i="11" s="1"/>
  <c r="D802" i="11" s="1"/>
  <c r="B802" i="11" s="1"/>
  <c r="AE95" i="11"/>
  <c r="J815" i="11" s="1"/>
  <c r="AD107" i="11"/>
  <c r="I827" i="11" s="1"/>
  <c r="C827" i="11" s="1"/>
  <c r="A827" i="11" s="1"/>
  <c r="AE82" i="11"/>
  <c r="J802" i="11" s="1"/>
  <c r="AE98" i="11"/>
  <c r="J818" i="11" s="1"/>
  <c r="AE107" i="11"/>
  <c r="J827" i="11" s="1"/>
  <c r="AE70" i="11"/>
  <c r="J790" i="11" s="1"/>
  <c r="AE79" i="11"/>
  <c r="J799" i="11" s="1"/>
  <c r="AD71" i="11"/>
  <c r="I791" i="11" s="1"/>
  <c r="C791" i="11" s="1"/>
  <c r="D791" i="11" s="1"/>
  <c r="B791" i="11" s="1"/>
  <c r="AD80" i="11"/>
  <c r="I800" i="11" s="1"/>
  <c r="C800" i="11" s="1"/>
  <c r="D800" i="11" s="1"/>
  <c r="B800" i="11" s="1"/>
  <c r="AE86" i="11"/>
  <c r="J806" i="11" s="1"/>
  <c r="AE74" i="11"/>
  <c r="J794" i="11" s="1"/>
  <c r="AD75" i="11"/>
  <c r="I795" i="11" s="1"/>
  <c r="C795" i="11" s="1"/>
  <c r="D795" i="11" s="1"/>
  <c r="B795" i="11" s="1"/>
  <c r="AE110" i="11"/>
  <c r="J830" i="11" s="1"/>
  <c r="AE67" i="11"/>
  <c r="J787" i="11" s="1"/>
  <c r="AE75" i="11"/>
  <c r="J795" i="11" s="1"/>
  <c r="AD94" i="11"/>
  <c r="I814" i="11" s="1"/>
  <c r="C814" i="11" s="1"/>
  <c r="D814" i="11" s="1"/>
  <c r="B814" i="11" s="1"/>
  <c r="AD111" i="11"/>
  <c r="I831" i="11" s="1"/>
  <c r="C831" i="11" s="1"/>
  <c r="A831" i="11" s="1"/>
  <c r="AD68" i="11"/>
  <c r="I788" i="11" s="1"/>
  <c r="C788" i="11" s="1"/>
  <c r="A788" i="11" s="1"/>
  <c r="AE78" i="11"/>
  <c r="J798" i="11" s="1"/>
  <c r="AE94" i="11"/>
  <c r="J814" i="11" s="1"/>
  <c r="AE111" i="11"/>
  <c r="J831" i="11" s="1"/>
  <c r="AD69" i="11"/>
  <c r="I789" i="11" s="1"/>
  <c r="C789" i="11" s="1"/>
  <c r="D789" i="11" s="1"/>
  <c r="B789" i="11" s="1"/>
  <c r="AD79" i="11"/>
  <c r="I799" i="11" s="1"/>
  <c r="C799" i="11" s="1"/>
  <c r="A799" i="11" s="1"/>
  <c r="AD84" i="11"/>
  <c r="I804" i="11" s="1"/>
  <c r="C804" i="11" s="1"/>
  <c r="D804" i="11" s="1"/>
  <c r="B804" i="11" s="1"/>
  <c r="AD95" i="11"/>
  <c r="I815" i="11" s="1"/>
  <c r="C815" i="11" s="1"/>
  <c r="A815" i="11" s="1"/>
  <c r="AE102" i="11"/>
  <c r="J822" i="11" s="1"/>
  <c r="AD112" i="11"/>
  <c r="I832" i="11" s="1"/>
  <c r="C832" i="11" s="1"/>
  <c r="A832" i="11" s="1"/>
  <c r="AD91" i="11"/>
  <c r="I811" i="11" s="1"/>
  <c r="C811" i="11" s="1"/>
  <c r="A811" i="11" s="1"/>
  <c r="AD103" i="11"/>
  <c r="I823" i="11" s="1"/>
  <c r="C823" i="11" s="1"/>
  <c r="A823" i="11" s="1"/>
  <c r="AD70" i="11"/>
  <c r="I790" i="11" s="1"/>
  <c r="C790" i="11" s="1"/>
  <c r="A790" i="11" s="1"/>
  <c r="AD78" i="11"/>
  <c r="I798" i="11" s="1"/>
  <c r="C798" i="11" s="1"/>
  <c r="D798" i="11" s="1"/>
  <c r="B798" i="11" s="1"/>
  <c r="AD90" i="11"/>
  <c r="I810" i="11" s="1"/>
  <c r="C810" i="11" s="1"/>
  <c r="A810" i="11" s="1"/>
  <c r="AD102" i="11"/>
  <c r="I822" i="11" s="1"/>
  <c r="C822" i="11" s="1"/>
  <c r="A822" i="11" s="1"/>
  <c r="AD110" i="11"/>
  <c r="I830" i="11" s="1"/>
  <c r="C830" i="11" s="1"/>
  <c r="D830" i="11" s="1"/>
  <c r="B830" i="11" s="1"/>
  <c r="AE103" i="11"/>
  <c r="J823" i="11" s="1"/>
  <c r="AD76" i="11"/>
  <c r="I796" i="11" s="1"/>
  <c r="C796" i="11" s="1"/>
  <c r="D796" i="11" s="1"/>
  <c r="B796" i="11" s="1"/>
  <c r="AD104" i="11"/>
  <c r="I824" i="11" s="1"/>
  <c r="C824" i="11" s="1"/>
  <c r="D824" i="11" s="1"/>
  <c r="B824" i="11" s="1"/>
  <c r="AD108" i="11"/>
  <c r="I828" i="11" s="1"/>
  <c r="C828" i="11" s="1"/>
  <c r="D828" i="11" s="1"/>
  <c r="B828" i="11" s="1"/>
  <c r="AD72" i="11"/>
  <c r="I792" i="11" s="1"/>
  <c r="C792" i="11" s="1"/>
  <c r="D792" i="11" s="1"/>
  <c r="B792" i="11" s="1"/>
  <c r="AD92" i="11"/>
  <c r="I812" i="11" s="1"/>
  <c r="C812" i="11" s="1"/>
  <c r="D812" i="11" s="1"/>
  <c r="B812" i="11" s="1"/>
  <c r="AE72" i="11"/>
  <c r="J792" i="11" s="1"/>
  <c r="AE80" i="11"/>
  <c r="J800" i="11" s="1"/>
  <c r="AE88" i="11"/>
  <c r="J808" i="11" s="1"/>
  <c r="AE96" i="11"/>
  <c r="J816" i="11" s="1"/>
  <c r="AE104" i="11"/>
  <c r="J824" i="11" s="1"/>
  <c r="AE112" i="11"/>
  <c r="J832" i="11" s="1"/>
  <c r="AD96" i="11"/>
  <c r="I816" i="11" s="1"/>
  <c r="C816" i="11" s="1"/>
  <c r="D816" i="11" s="1"/>
  <c r="B816" i="11" s="1"/>
  <c r="AD73" i="11"/>
  <c r="I793" i="11" s="1"/>
  <c r="C793" i="11" s="1"/>
  <c r="AD77" i="11"/>
  <c r="I797" i="11" s="1"/>
  <c r="C797" i="11" s="1"/>
  <c r="AD85" i="11"/>
  <c r="I805" i="11" s="1"/>
  <c r="C805" i="11" s="1"/>
  <c r="AD89" i="11"/>
  <c r="I809" i="11" s="1"/>
  <c r="C809" i="11" s="1"/>
  <c r="AD93" i="11"/>
  <c r="I813" i="11" s="1"/>
  <c r="C813" i="11" s="1"/>
  <c r="AD97" i="11"/>
  <c r="I817" i="11" s="1"/>
  <c r="C817" i="11" s="1"/>
  <c r="AD105" i="11"/>
  <c r="I825" i="11" s="1"/>
  <c r="C825" i="11" s="1"/>
  <c r="AD109" i="11"/>
  <c r="I829" i="11" s="1"/>
  <c r="C829" i="11" s="1"/>
  <c r="AD113" i="11"/>
  <c r="I833" i="11" s="1"/>
  <c r="C833" i="11" s="1"/>
  <c r="D833" i="11" s="1"/>
  <c r="B833" i="11" s="1"/>
  <c r="M102" i="11"/>
  <c r="M70" i="11"/>
  <c r="N101" i="11"/>
  <c r="N69" i="11"/>
  <c r="M85" i="11"/>
  <c r="M94" i="11"/>
  <c r="N93" i="11"/>
  <c r="N110" i="11"/>
  <c r="N78" i="11"/>
  <c r="N108" i="11"/>
  <c r="N76" i="11"/>
  <c r="M106" i="11"/>
  <c r="M74" i="11"/>
  <c r="N84" i="11"/>
  <c r="M114" i="11"/>
  <c r="M82" i="11"/>
  <c r="N92" i="11"/>
  <c r="M90" i="11"/>
  <c r="N66" i="11"/>
  <c r="N109" i="11"/>
  <c r="N100" i="11"/>
  <c r="N86" i="11"/>
  <c r="N77" i="11"/>
  <c r="N68" i="11"/>
  <c r="M98" i="11"/>
  <c r="N105" i="11"/>
  <c r="N89" i="11"/>
  <c r="N73" i="11"/>
  <c r="AI74" i="11"/>
  <c r="J614" i="11" s="1"/>
  <c r="M113" i="11"/>
  <c r="M97" i="11"/>
  <c r="M81" i="11"/>
  <c r="N112" i="11"/>
  <c r="N88" i="11"/>
  <c r="N104" i="11"/>
  <c r="N72" i="11"/>
  <c r="M96" i="11"/>
  <c r="M80" i="11"/>
  <c r="N115" i="11"/>
  <c r="N111" i="11"/>
  <c r="N107" i="11"/>
  <c r="N103" i="11"/>
  <c r="N99" i="11"/>
  <c r="N95" i="11"/>
  <c r="N91" i="11"/>
  <c r="N87" i="11"/>
  <c r="N83" i="11"/>
  <c r="N79" i="11"/>
  <c r="N75" i="11"/>
  <c r="N71" i="11"/>
  <c r="N67" i="11"/>
  <c r="AA73" i="11"/>
  <c r="J433" i="11" s="1"/>
  <c r="AF74" i="11"/>
  <c r="I554" i="11" s="1"/>
  <c r="C554" i="11" s="1"/>
  <c r="D554" i="11" s="1"/>
  <c r="B554" i="11" s="1"/>
  <c r="A236" i="11"/>
  <c r="A418" i="11"/>
  <c r="A476" i="11"/>
  <c r="A541" i="11"/>
  <c r="A650" i="11"/>
  <c r="A122" i="11"/>
  <c r="A656" i="11"/>
  <c r="A179" i="11"/>
  <c r="A662" i="11"/>
  <c r="A124" i="11"/>
  <c r="A363" i="11"/>
  <c r="A605" i="11"/>
  <c r="A237" i="11"/>
  <c r="A470" i="11"/>
  <c r="A244" i="11"/>
  <c r="A477" i="11"/>
  <c r="A663" i="11"/>
  <c r="A483" i="11"/>
  <c r="A664" i="11"/>
  <c r="A540" i="11"/>
  <c r="A719" i="11"/>
  <c r="D358" i="11"/>
  <c r="B358" i="11" s="1"/>
  <c r="A358" i="11"/>
  <c r="D542" i="11"/>
  <c r="B542" i="11" s="1"/>
  <c r="A542" i="11"/>
  <c r="D245" i="11"/>
  <c r="B245" i="11" s="1"/>
  <c r="A245" i="11"/>
  <c r="D170" i="11"/>
  <c r="B170" i="11" s="1"/>
  <c r="A170" i="11"/>
  <c r="D116" i="11"/>
  <c r="B116" i="11" s="1"/>
  <c r="A116" i="11"/>
  <c r="D485" i="11"/>
  <c r="B485" i="11" s="1"/>
  <c r="A485" i="11"/>
  <c r="D359" i="11"/>
  <c r="B359" i="11" s="1"/>
  <c r="A359" i="11"/>
  <c r="D180" i="11"/>
  <c r="B180" i="11" s="1"/>
  <c r="A180" i="11"/>
  <c r="D478" i="11"/>
  <c r="B478" i="11" s="1"/>
  <c r="A478" i="11"/>
  <c r="D125" i="11"/>
  <c r="B125" i="11" s="1"/>
  <c r="A125" i="11"/>
  <c r="D484" i="11"/>
  <c r="B484" i="11" s="1"/>
  <c r="A484" i="11"/>
  <c r="A420" i="11"/>
  <c r="A599" i="11"/>
  <c r="D410" i="11"/>
  <c r="B410" i="11" s="1"/>
  <c r="A121" i="11"/>
  <c r="A178" i="11"/>
  <c r="A243" i="11"/>
  <c r="A417" i="11"/>
  <c r="A425" i="11"/>
  <c r="A482" i="11"/>
  <c r="A539" i="11"/>
  <c r="A596" i="11"/>
  <c r="A604" i="11"/>
  <c r="A661" i="11"/>
  <c r="A718" i="11"/>
  <c r="A597" i="11"/>
  <c r="A598" i="11"/>
  <c r="A720" i="11"/>
  <c r="A721" i="11"/>
  <c r="D110" i="11"/>
  <c r="B110" i="11" s="1"/>
  <c r="A117" i="11"/>
  <c r="A182" i="11"/>
  <c r="A239" i="11"/>
  <c r="A421" i="11"/>
  <c r="A530" i="11"/>
  <c r="A543" i="11"/>
  <c r="A600" i="11"/>
  <c r="A657" i="11"/>
  <c r="A665" i="11"/>
  <c r="A722" i="11"/>
  <c r="A419" i="11"/>
  <c r="A181" i="11"/>
  <c r="D119" i="11"/>
  <c r="B119" i="11" s="1"/>
  <c r="A118" i="11"/>
  <c r="A183" i="11"/>
  <c r="A240" i="11"/>
  <c r="A365" i="11"/>
  <c r="A422" i="11"/>
  <c r="A479" i="11"/>
  <c r="A536" i="11"/>
  <c r="A544" i="11"/>
  <c r="A601" i="11"/>
  <c r="A658" i="11"/>
  <c r="A710" i="11"/>
  <c r="A723" i="11"/>
  <c r="A123" i="11"/>
  <c r="D185" i="11"/>
  <c r="B185" i="11" s="1"/>
  <c r="A176" i="11"/>
  <c r="A184" i="11"/>
  <c r="A241" i="11"/>
  <c r="A423" i="11"/>
  <c r="A480" i="11"/>
  <c r="A537" i="11"/>
  <c r="A545" i="11"/>
  <c r="A602" i="11"/>
  <c r="A659" i="11"/>
  <c r="A716" i="11"/>
  <c r="A724" i="11"/>
  <c r="A238" i="11"/>
  <c r="A120" i="11"/>
  <c r="A177" i="11"/>
  <c r="A416" i="11"/>
  <c r="A424" i="11"/>
  <c r="A481" i="11"/>
  <c r="A538" i="11"/>
  <c r="A590" i="11"/>
  <c r="A603" i="11"/>
  <c r="A660" i="11"/>
  <c r="A717" i="11"/>
  <c r="A725" i="11"/>
  <c r="AJ72" i="11"/>
  <c r="I672" i="11" s="1"/>
  <c r="C672" i="11" s="1"/>
  <c r="A672" i="11" s="1"/>
  <c r="AF75" i="11"/>
  <c r="I555" i="11" s="1"/>
  <c r="C555" i="11" s="1"/>
  <c r="A555" i="11" s="1"/>
  <c r="AB72" i="11"/>
  <c r="I492" i="11" s="1"/>
  <c r="C492" i="11" s="1"/>
  <c r="D492" i="11" s="1"/>
  <c r="B492" i="11" s="1"/>
  <c r="D433" i="11"/>
  <c r="B433" i="11" s="1"/>
  <c r="A433" i="11"/>
  <c r="D432" i="11"/>
  <c r="B432" i="11" s="1"/>
  <c r="A432" i="11"/>
  <c r="D674" i="11"/>
  <c r="B674" i="11" s="1"/>
  <c r="A674" i="11"/>
  <c r="D613" i="11"/>
  <c r="B613" i="11" s="1"/>
  <c r="A613" i="11"/>
  <c r="A494" i="11"/>
  <c r="A675" i="11"/>
  <c r="D614" i="11"/>
  <c r="B614" i="11" s="1"/>
  <c r="A614" i="11"/>
  <c r="A553" i="11"/>
  <c r="AC74" i="11"/>
  <c r="J494" i="11" s="1"/>
  <c r="AH72" i="11"/>
  <c r="I612" i="11" s="1"/>
  <c r="C612" i="11" s="1"/>
  <c r="AI72" i="11"/>
  <c r="J612" i="11" s="1"/>
  <c r="AJ73" i="11"/>
  <c r="I673" i="11" s="1"/>
  <c r="C673" i="11" s="1"/>
  <c r="AK73" i="11"/>
  <c r="J673" i="11" s="1"/>
  <c r="AK75" i="11"/>
  <c r="J675" i="11" s="1"/>
  <c r="AG72" i="11"/>
  <c r="J552" i="11" s="1"/>
  <c r="AF72" i="11"/>
  <c r="I552" i="11" s="1"/>
  <c r="C552" i="11" s="1"/>
  <c r="AA74" i="11"/>
  <c r="J434" i="11" s="1"/>
  <c r="Z74" i="11"/>
  <c r="I434" i="11" s="1"/>
  <c r="C434" i="11" s="1"/>
  <c r="AI75" i="11"/>
  <c r="J615" i="11" s="1"/>
  <c r="AH75" i="11"/>
  <c r="I615" i="11" s="1"/>
  <c r="C615" i="11" s="1"/>
  <c r="AK74" i="11"/>
  <c r="J674" i="11" s="1"/>
  <c r="AA72" i="11"/>
  <c r="J432" i="11" s="1"/>
  <c r="AI73" i="11"/>
  <c r="J613" i="11" s="1"/>
  <c r="AA75" i="11"/>
  <c r="J435" i="11" s="1"/>
  <c r="AB73" i="11"/>
  <c r="I493" i="11" s="1"/>
  <c r="C493" i="11" s="1"/>
  <c r="AG73" i="11"/>
  <c r="J553" i="11" s="1"/>
  <c r="AB75" i="11"/>
  <c r="I495" i="11" s="1"/>
  <c r="C495" i="11" s="1"/>
  <c r="S11" i="11"/>
  <c r="BI11" i="11" s="1"/>
  <c r="R11" i="11"/>
  <c r="BH11" i="11" s="1"/>
  <c r="Q11" i="11"/>
  <c r="BG11" i="11" s="1"/>
  <c r="O11" i="11"/>
  <c r="BE11" i="11" s="1"/>
  <c r="N11" i="11"/>
  <c r="BD11" i="11" s="1"/>
  <c r="M11" i="11"/>
  <c r="BC11" i="11" s="1"/>
  <c r="L11" i="11"/>
  <c r="BB11" i="11" s="1"/>
  <c r="K11" i="11"/>
  <c r="BA11" i="11" s="1"/>
  <c r="S55" i="11"/>
  <c r="BI55" i="11" s="1"/>
  <c r="R55" i="11"/>
  <c r="BH55" i="11" s="1"/>
  <c r="Q55" i="11"/>
  <c r="BG55" i="11" s="1"/>
  <c r="O55" i="11"/>
  <c r="BE55" i="11" s="1"/>
  <c r="N55" i="11"/>
  <c r="BD55" i="11" s="1"/>
  <c r="M55" i="11"/>
  <c r="BC55" i="11" s="1"/>
  <c r="L55" i="11"/>
  <c r="BB55" i="11" s="1"/>
  <c r="K55" i="11"/>
  <c r="BA55" i="11" s="1"/>
  <c r="I55" i="11"/>
  <c r="S54" i="11"/>
  <c r="BI54" i="11" s="1"/>
  <c r="R54" i="11"/>
  <c r="BH54" i="11" s="1"/>
  <c r="Q54" i="11"/>
  <c r="BG54" i="11" s="1"/>
  <c r="O54" i="11"/>
  <c r="BE54" i="11" s="1"/>
  <c r="N54" i="11"/>
  <c r="BD54" i="11" s="1"/>
  <c r="M54" i="11"/>
  <c r="BC54" i="11" s="1"/>
  <c r="L54" i="11"/>
  <c r="BB54" i="11" s="1"/>
  <c r="K54" i="11"/>
  <c r="BA54" i="11" s="1"/>
  <c r="I54" i="11"/>
  <c r="AY54" i="11" s="1"/>
  <c r="S53" i="11"/>
  <c r="BI53" i="11" s="1"/>
  <c r="R53" i="11"/>
  <c r="BH53" i="11" s="1"/>
  <c r="Q53" i="11"/>
  <c r="BG53" i="11" s="1"/>
  <c r="O53" i="11"/>
  <c r="BE53" i="11" s="1"/>
  <c r="N53" i="11"/>
  <c r="BD53" i="11" s="1"/>
  <c r="M53" i="11"/>
  <c r="BC53" i="11" s="1"/>
  <c r="L53" i="11"/>
  <c r="BB53" i="11" s="1"/>
  <c r="K53" i="11"/>
  <c r="BA53" i="11" s="1"/>
  <c r="I53" i="11"/>
  <c r="AY53" i="11" s="1"/>
  <c r="S52" i="11"/>
  <c r="BI52" i="11" s="1"/>
  <c r="R52" i="11"/>
  <c r="BH52" i="11" s="1"/>
  <c r="Q52" i="11"/>
  <c r="BG52" i="11" s="1"/>
  <c r="O52" i="11"/>
  <c r="BE52" i="11" s="1"/>
  <c r="N52" i="11"/>
  <c r="BD52" i="11" s="1"/>
  <c r="M52" i="11"/>
  <c r="BC52" i="11" s="1"/>
  <c r="L52" i="11"/>
  <c r="BB52" i="11" s="1"/>
  <c r="K52" i="11"/>
  <c r="BA52" i="11" s="1"/>
  <c r="I52" i="11"/>
  <c r="AY52" i="11" s="1"/>
  <c r="S51" i="11"/>
  <c r="BI51" i="11" s="1"/>
  <c r="R51" i="11"/>
  <c r="BH51" i="11" s="1"/>
  <c r="Q51" i="11"/>
  <c r="BG51" i="11" s="1"/>
  <c r="O51" i="11"/>
  <c r="BE51" i="11" s="1"/>
  <c r="N51" i="11"/>
  <c r="BD51" i="11" s="1"/>
  <c r="M51" i="11"/>
  <c r="BC51" i="11" s="1"/>
  <c r="L51" i="11"/>
  <c r="BB51" i="11" s="1"/>
  <c r="K51" i="11"/>
  <c r="BA51" i="11" s="1"/>
  <c r="I51" i="11"/>
  <c r="AY51" i="11" s="1"/>
  <c r="S45" i="11"/>
  <c r="BI45" i="11" s="1"/>
  <c r="R45" i="11"/>
  <c r="BH45" i="11" s="1"/>
  <c r="Q45" i="11"/>
  <c r="BG45" i="11" s="1"/>
  <c r="O45" i="11"/>
  <c r="BE45" i="11" s="1"/>
  <c r="N45" i="11"/>
  <c r="BD45" i="11" s="1"/>
  <c r="M45" i="11"/>
  <c r="BC45" i="11" s="1"/>
  <c r="L45" i="11"/>
  <c r="BB45" i="11" s="1"/>
  <c r="K45" i="11"/>
  <c r="BA45" i="11" s="1"/>
  <c r="I45" i="11"/>
  <c r="AY45" i="11" s="1"/>
  <c r="S44" i="11"/>
  <c r="BI44" i="11" s="1"/>
  <c r="R44" i="11"/>
  <c r="BH44" i="11" s="1"/>
  <c r="Q44" i="11"/>
  <c r="BG44" i="11" s="1"/>
  <c r="O44" i="11"/>
  <c r="BE44" i="11" s="1"/>
  <c r="N44" i="11"/>
  <c r="BD44" i="11" s="1"/>
  <c r="M44" i="11"/>
  <c r="BC44" i="11" s="1"/>
  <c r="L44" i="11"/>
  <c r="BB44" i="11" s="1"/>
  <c r="K44" i="11"/>
  <c r="BA44" i="11" s="1"/>
  <c r="I44" i="11"/>
  <c r="AY44" i="11" s="1"/>
  <c r="S43" i="11"/>
  <c r="BI43" i="11" s="1"/>
  <c r="R43" i="11"/>
  <c r="BH43" i="11" s="1"/>
  <c r="Q43" i="11"/>
  <c r="BG43" i="11" s="1"/>
  <c r="O43" i="11"/>
  <c r="BE43" i="11" s="1"/>
  <c r="N43" i="11"/>
  <c r="BD43" i="11" s="1"/>
  <c r="M43" i="11"/>
  <c r="BC43" i="11" s="1"/>
  <c r="L43" i="11"/>
  <c r="BB43" i="11" s="1"/>
  <c r="K43" i="11"/>
  <c r="BA43" i="11" s="1"/>
  <c r="I43" i="11"/>
  <c r="AY43" i="11" s="1"/>
  <c r="S42" i="11"/>
  <c r="BI42" i="11" s="1"/>
  <c r="R42" i="11"/>
  <c r="BH42" i="11" s="1"/>
  <c r="Q42" i="11"/>
  <c r="BG42" i="11" s="1"/>
  <c r="O42" i="11"/>
  <c r="BE42" i="11" s="1"/>
  <c r="N42" i="11"/>
  <c r="BD42" i="11" s="1"/>
  <c r="M42" i="11"/>
  <c r="BC42" i="11" s="1"/>
  <c r="L42" i="11"/>
  <c r="BB42" i="11" s="1"/>
  <c r="K42" i="11"/>
  <c r="BA42" i="11" s="1"/>
  <c r="I42" i="11"/>
  <c r="AY42" i="11" s="1"/>
  <c r="S41" i="11"/>
  <c r="BI41" i="11" s="1"/>
  <c r="R41" i="11"/>
  <c r="BH41" i="11" s="1"/>
  <c r="Q41" i="11"/>
  <c r="BG41" i="11" s="1"/>
  <c r="O41" i="11"/>
  <c r="BE41" i="11" s="1"/>
  <c r="N41" i="11"/>
  <c r="BD41" i="11" s="1"/>
  <c r="M41" i="11"/>
  <c r="BC41" i="11" s="1"/>
  <c r="L41" i="11"/>
  <c r="BB41" i="11" s="1"/>
  <c r="K41" i="11"/>
  <c r="BA41" i="11" s="1"/>
  <c r="I41" i="11"/>
  <c r="AY41" i="11" s="1"/>
  <c r="S35" i="11"/>
  <c r="BI35" i="11" s="1"/>
  <c r="R35" i="11"/>
  <c r="BH35" i="11" s="1"/>
  <c r="Q35" i="11"/>
  <c r="BG35" i="11" s="1"/>
  <c r="O35" i="11"/>
  <c r="BE35" i="11" s="1"/>
  <c r="N35" i="11"/>
  <c r="BD35" i="11" s="1"/>
  <c r="M35" i="11"/>
  <c r="BC35" i="11" s="1"/>
  <c r="L35" i="11"/>
  <c r="BB35" i="11" s="1"/>
  <c r="K35" i="11"/>
  <c r="BA35" i="11" s="1"/>
  <c r="I35" i="11"/>
  <c r="AY35" i="11" s="1"/>
  <c r="S34" i="11"/>
  <c r="BI34" i="11" s="1"/>
  <c r="R34" i="11"/>
  <c r="BH34" i="11" s="1"/>
  <c r="Q34" i="11"/>
  <c r="BG34" i="11" s="1"/>
  <c r="O34" i="11"/>
  <c r="BE34" i="11" s="1"/>
  <c r="N34" i="11"/>
  <c r="BD34" i="11" s="1"/>
  <c r="M34" i="11"/>
  <c r="BC34" i="11" s="1"/>
  <c r="L34" i="11"/>
  <c r="BB34" i="11" s="1"/>
  <c r="K34" i="11"/>
  <c r="BA34" i="11" s="1"/>
  <c r="I34" i="11"/>
  <c r="AY34" i="11" s="1"/>
  <c r="S33" i="11"/>
  <c r="BI33" i="11" s="1"/>
  <c r="R33" i="11"/>
  <c r="BH33" i="11" s="1"/>
  <c r="Q33" i="11"/>
  <c r="BG33" i="11" s="1"/>
  <c r="O33" i="11"/>
  <c r="BE33" i="11" s="1"/>
  <c r="N33" i="11"/>
  <c r="BD33" i="11" s="1"/>
  <c r="M33" i="11"/>
  <c r="BC33" i="11" s="1"/>
  <c r="L33" i="11"/>
  <c r="BB33" i="11" s="1"/>
  <c r="K33" i="11"/>
  <c r="BA33" i="11" s="1"/>
  <c r="I33" i="11"/>
  <c r="AY33" i="11" s="1"/>
  <c r="S32" i="11"/>
  <c r="BI32" i="11" s="1"/>
  <c r="R32" i="11"/>
  <c r="BH32" i="11" s="1"/>
  <c r="Q32" i="11"/>
  <c r="BG32" i="11" s="1"/>
  <c r="O32" i="11"/>
  <c r="BE32" i="11" s="1"/>
  <c r="N32" i="11"/>
  <c r="BD32" i="11" s="1"/>
  <c r="M32" i="11"/>
  <c r="BC32" i="11" s="1"/>
  <c r="L32" i="11"/>
  <c r="BB32" i="11" s="1"/>
  <c r="K32" i="11"/>
  <c r="BA32" i="11" s="1"/>
  <c r="I32" i="11"/>
  <c r="AY32" i="11" s="1"/>
  <c r="S31" i="11"/>
  <c r="BI31" i="11" s="1"/>
  <c r="R31" i="11"/>
  <c r="BH31" i="11" s="1"/>
  <c r="Q31" i="11"/>
  <c r="BG31" i="11" s="1"/>
  <c r="O31" i="11"/>
  <c r="BE31" i="11" s="1"/>
  <c r="N31" i="11"/>
  <c r="BD31" i="11" s="1"/>
  <c r="M31" i="11"/>
  <c r="BC31" i="11" s="1"/>
  <c r="L31" i="11"/>
  <c r="BB31" i="11" s="1"/>
  <c r="K31" i="11"/>
  <c r="BA31" i="11" s="1"/>
  <c r="I31" i="11"/>
  <c r="AY31" i="11" s="1"/>
  <c r="S25" i="11"/>
  <c r="BI25" i="11" s="1"/>
  <c r="R25" i="11"/>
  <c r="BH25" i="11" s="1"/>
  <c r="Q25" i="11"/>
  <c r="BG25" i="11" s="1"/>
  <c r="O25" i="11"/>
  <c r="BE25" i="11" s="1"/>
  <c r="N25" i="11"/>
  <c r="BD25" i="11" s="1"/>
  <c r="M25" i="11"/>
  <c r="BC25" i="11" s="1"/>
  <c r="L25" i="11"/>
  <c r="BB25" i="11" s="1"/>
  <c r="K25" i="11"/>
  <c r="BA25" i="11" s="1"/>
  <c r="I25" i="11"/>
  <c r="AY25" i="11" s="1"/>
  <c r="S24" i="11"/>
  <c r="BI24" i="11" s="1"/>
  <c r="R24" i="11"/>
  <c r="BH24" i="11" s="1"/>
  <c r="Q24" i="11"/>
  <c r="BG24" i="11" s="1"/>
  <c r="O24" i="11"/>
  <c r="BE24" i="11" s="1"/>
  <c r="N24" i="11"/>
  <c r="BD24" i="11" s="1"/>
  <c r="M24" i="11"/>
  <c r="BC24" i="11" s="1"/>
  <c r="L24" i="11"/>
  <c r="BB24" i="11" s="1"/>
  <c r="K24" i="11"/>
  <c r="BA24" i="11" s="1"/>
  <c r="I24" i="11"/>
  <c r="AY24" i="11" s="1"/>
  <c r="S23" i="11"/>
  <c r="BI23" i="11" s="1"/>
  <c r="R23" i="11"/>
  <c r="BH23" i="11" s="1"/>
  <c r="Q23" i="11"/>
  <c r="BG23" i="11" s="1"/>
  <c r="O23" i="11"/>
  <c r="BE23" i="11" s="1"/>
  <c r="N23" i="11"/>
  <c r="BD23" i="11" s="1"/>
  <c r="M23" i="11"/>
  <c r="BC23" i="11" s="1"/>
  <c r="L23" i="11"/>
  <c r="BB23" i="11" s="1"/>
  <c r="K23" i="11"/>
  <c r="BA23" i="11" s="1"/>
  <c r="I23" i="11"/>
  <c r="AY23" i="11" s="1"/>
  <c r="S22" i="11"/>
  <c r="BI22" i="11" s="1"/>
  <c r="R22" i="11"/>
  <c r="BH22" i="11" s="1"/>
  <c r="Q22" i="11"/>
  <c r="BG22" i="11" s="1"/>
  <c r="O22" i="11"/>
  <c r="BE22" i="11" s="1"/>
  <c r="N22" i="11"/>
  <c r="BD22" i="11" s="1"/>
  <c r="M22" i="11"/>
  <c r="BC22" i="11" s="1"/>
  <c r="L22" i="11"/>
  <c r="BB22" i="11" s="1"/>
  <c r="K22" i="11"/>
  <c r="BA22" i="11" s="1"/>
  <c r="I22" i="11"/>
  <c r="AY22" i="11" s="1"/>
  <c r="S21" i="11"/>
  <c r="BI21" i="11" s="1"/>
  <c r="R21" i="11"/>
  <c r="BH21" i="11" s="1"/>
  <c r="Q21" i="11"/>
  <c r="BG21" i="11" s="1"/>
  <c r="O21" i="11"/>
  <c r="BE21" i="11" s="1"/>
  <c r="N21" i="11"/>
  <c r="BD21" i="11" s="1"/>
  <c r="M21" i="11"/>
  <c r="BC21" i="11" s="1"/>
  <c r="L21" i="11"/>
  <c r="BB21" i="11" s="1"/>
  <c r="K21" i="11"/>
  <c r="BA21" i="11" s="1"/>
  <c r="I21" i="11"/>
  <c r="AY21" i="11" s="1"/>
  <c r="M15" i="11"/>
  <c r="BC15" i="11" s="1"/>
  <c r="M14" i="11"/>
  <c r="BC14" i="11" s="1"/>
  <c r="M13" i="11"/>
  <c r="BC13" i="11" s="1"/>
  <c r="M12" i="11"/>
  <c r="BC12" i="11" s="1"/>
  <c r="L15" i="11"/>
  <c r="BB15" i="11" s="1"/>
  <c r="L14" i="11"/>
  <c r="BB14" i="11" s="1"/>
  <c r="L13" i="11"/>
  <c r="BB13" i="11" s="1"/>
  <c r="L12" i="11"/>
  <c r="BB12" i="11" s="1"/>
  <c r="K15" i="11"/>
  <c r="BA15" i="11" s="1"/>
  <c r="K14" i="11"/>
  <c r="BA14" i="11" s="1"/>
  <c r="K13" i="11"/>
  <c r="BA13" i="11" s="1"/>
  <c r="K12" i="11"/>
  <c r="BA12" i="11" s="1"/>
  <c r="I15" i="11"/>
  <c r="AY15" i="11" s="1"/>
  <c r="I14" i="11"/>
  <c r="AY14" i="11" s="1"/>
  <c r="I13" i="11"/>
  <c r="AY13" i="11" s="1"/>
  <c r="I12" i="11"/>
  <c r="AY12" i="11" s="1"/>
  <c r="I11" i="11"/>
  <c r="AY11" i="11" s="1"/>
  <c r="H55" i="11"/>
  <c r="H54" i="11"/>
  <c r="H53" i="11"/>
  <c r="H52" i="11"/>
  <c r="H45" i="11"/>
  <c r="H44" i="11"/>
  <c r="H43" i="11"/>
  <c r="H42" i="11"/>
  <c r="H51" i="11"/>
  <c r="H41" i="11"/>
  <c r="H35" i="11"/>
  <c r="H34" i="11"/>
  <c r="H33" i="11"/>
  <c r="H32" i="11"/>
  <c r="H31" i="11"/>
  <c r="H25" i="11"/>
  <c r="H24" i="11"/>
  <c r="H23" i="11"/>
  <c r="H22" i="11"/>
  <c r="H21" i="11"/>
  <c r="H15" i="11"/>
  <c r="H14" i="11"/>
  <c r="H13" i="11"/>
  <c r="H12" i="11"/>
  <c r="H11" i="11"/>
  <c r="S49" i="11"/>
  <c r="BI49" i="11" s="1"/>
  <c r="R49" i="11"/>
  <c r="BH49" i="11" s="1"/>
  <c r="Q49" i="11"/>
  <c r="BG49" i="11" s="1"/>
  <c r="O49" i="11"/>
  <c r="BE49" i="11" s="1"/>
  <c r="N49" i="11"/>
  <c r="BD49" i="11" s="1"/>
  <c r="M49" i="11"/>
  <c r="BC49" i="11" s="1"/>
  <c r="L49" i="11"/>
  <c r="BB49" i="11" s="1"/>
  <c r="K49" i="11"/>
  <c r="BA49" i="11" s="1"/>
  <c r="I49" i="11"/>
  <c r="AY49" i="11" s="1"/>
  <c r="H49" i="11"/>
  <c r="S48" i="11"/>
  <c r="BI48" i="11" s="1"/>
  <c r="R48" i="11"/>
  <c r="BH48" i="11" s="1"/>
  <c r="Q48" i="11"/>
  <c r="BG48" i="11" s="1"/>
  <c r="O48" i="11"/>
  <c r="BE48" i="11" s="1"/>
  <c r="N48" i="11"/>
  <c r="BD48" i="11" s="1"/>
  <c r="M48" i="11"/>
  <c r="BC48" i="11" s="1"/>
  <c r="L48" i="11"/>
  <c r="BB48" i="11" s="1"/>
  <c r="K48" i="11"/>
  <c r="BA48" i="11" s="1"/>
  <c r="I48" i="11"/>
  <c r="AY48" i="11" s="1"/>
  <c r="H48" i="11"/>
  <c r="S47" i="11"/>
  <c r="BI47" i="11" s="1"/>
  <c r="R47" i="11"/>
  <c r="BH47" i="11" s="1"/>
  <c r="Q47" i="11"/>
  <c r="BG47" i="11" s="1"/>
  <c r="O47" i="11"/>
  <c r="BE47" i="11" s="1"/>
  <c r="N47" i="11"/>
  <c r="BD47" i="11" s="1"/>
  <c r="M47" i="11"/>
  <c r="BC47" i="11" s="1"/>
  <c r="L47" i="11"/>
  <c r="BB47" i="11" s="1"/>
  <c r="K47" i="11"/>
  <c r="BA47" i="11" s="1"/>
  <c r="I47" i="11"/>
  <c r="AY47" i="11" s="1"/>
  <c r="H47" i="11"/>
  <c r="S46" i="11"/>
  <c r="BI46" i="11" s="1"/>
  <c r="R46" i="11"/>
  <c r="BH46" i="11" s="1"/>
  <c r="Q46" i="11"/>
  <c r="BG46" i="11" s="1"/>
  <c r="O46" i="11"/>
  <c r="BE46" i="11" s="1"/>
  <c r="N46" i="11"/>
  <c r="BD46" i="11" s="1"/>
  <c r="M46" i="11"/>
  <c r="BC46" i="11" s="1"/>
  <c r="L46" i="11"/>
  <c r="BB46" i="11" s="1"/>
  <c r="K46" i="11"/>
  <c r="BA46" i="11" s="1"/>
  <c r="I46" i="11"/>
  <c r="AY46" i="11" s="1"/>
  <c r="H46" i="11"/>
  <c r="S40" i="11"/>
  <c r="BI40" i="11" s="1"/>
  <c r="R40" i="11"/>
  <c r="BH40" i="11" s="1"/>
  <c r="Q40" i="11"/>
  <c r="BG40" i="11" s="1"/>
  <c r="O40" i="11"/>
  <c r="BE40" i="11" s="1"/>
  <c r="N40" i="11"/>
  <c r="BD40" i="11" s="1"/>
  <c r="M40" i="11"/>
  <c r="BC40" i="11" s="1"/>
  <c r="L40" i="11"/>
  <c r="BB40" i="11" s="1"/>
  <c r="K40" i="11"/>
  <c r="BA40" i="11" s="1"/>
  <c r="I40" i="11"/>
  <c r="AY40" i="11" s="1"/>
  <c r="H40" i="11"/>
  <c r="S39" i="11"/>
  <c r="BI39" i="11" s="1"/>
  <c r="R39" i="11"/>
  <c r="BH39" i="11" s="1"/>
  <c r="Q39" i="11"/>
  <c r="BG39" i="11" s="1"/>
  <c r="O39" i="11"/>
  <c r="BE39" i="11" s="1"/>
  <c r="N39" i="11"/>
  <c r="BD39" i="11" s="1"/>
  <c r="M39" i="11"/>
  <c r="BC39" i="11" s="1"/>
  <c r="L39" i="11"/>
  <c r="BB39" i="11" s="1"/>
  <c r="K39" i="11"/>
  <c r="BA39" i="11" s="1"/>
  <c r="I39" i="11"/>
  <c r="AY39" i="11" s="1"/>
  <c r="H39" i="11"/>
  <c r="S38" i="11"/>
  <c r="BI38" i="11" s="1"/>
  <c r="R38" i="11"/>
  <c r="BH38" i="11" s="1"/>
  <c r="Q38" i="11"/>
  <c r="BG38" i="11" s="1"/>
  <c r="O38" i="11"/>
  <c r="BE38" i="11" s="1"/>
  <c r="N38" i="11"/>
  <c r="BD38" i="11" s="1"/>
  <c r="M38" i="11"/>
  <c r="BC38" i="11" s="1"/>
  <c r="L38" i="11"/>
  <c r="BB38" i="11" s="1"/>
  <c r="K38" i="11"/>
  <c r="BA38" i="11" s="1"/>
  <c r="I38" i="11"/>
  <c r="AY38" i="11" s="1"/>
  <c r="H38" i="11"/>
  <c r="S37" i="11"/>
  <c r="BI37" i="11" s="1"/>
  <c r="R37" i="11"/>
  <c r="BH37" i="11" s="1"/>
  <c r="Q37" i="11"/>
  <c r="BG37" i="11" s="1"/>
  <c r="O37" i="11"/>
  <c r="BE37" i="11" s="1"/>
  <c r="N37" i="11"/>
  <c r="BD37" i="11" s="1"/>
  <c r="M37" i="11"/>
  <c r="BC37" i="11" s="1"/>
  <c r="L37" i="11"/>
  <c r="BB37" i="11" s="1"/>
  <c r="K37" i="11"/>
  <c r="BA37" i="11" s="1"/>
  <c r="I37" i="11"/>
  <c r="AY37" i="11" s="1"/>
  <c r="H37" i="11"/>
  <c r="S36" i="11"/>
  <c r="BI36" i="11" s="1"/>
  <c r="R36" i="11"/>
  <c r="BH36" i="11" s="1"/>
  <c r="Q36" i="11"/>
  <c r="BG36" i="11" s="1"/>
  <c r="O36" i="11"/>
  <c r="BE36" i="11" s="1"/>
  <c r="N36" i="11"/>
  <c r="BD36" i="11" s="1"/>
  <c r="M36" i="11"/>
  <c r="BC36" i="11" s="1"/>
  <c r="L36" i="11"/>
  <c r="BB36" i="11" s="1"/>
  <c r="K36" i="11"/>
  <c r="BA36" i="11" s="1"/>
  <c r="I36" i="11"/>
  <c r="AY36" i="11" s="1"/>
  <c r="H36" i="11"/>
  <c r="S30" i="11"/>
  <c r="BI30" i="11" s="1"/>
  <c r="R30" i="11"/>
  <c r="BH30" i="11" s="1"/>
  <c r="Q30" i="11"/>
  <c r="BG30" i="11" s="1"/>
  <c r="O30" i="11"/>
  <c r="BE30" i="11" s="1"/>
  <c r="N30" i="11"/>
  <c r="BD30" i="11" s="1"/>
  <c r="M30" i="11"/>
  <c r="BC30" i="11" s="1"/>
  <c r="L30" i="11"/>
  <c r="BB30" i="11" s="1"/>
  <c r="K30" i="11"/>
  <c r="BA30" i="11" s="1"/>
  <c r="I30" i="11"/>
  <c r="AY30" i="11" s="1"/>
  <c r="H30" i="11"/>
  <c r="S29" i="11"/>
  <c r="BI29" i="11" s="1"/>
  <c r="R29" i="11"/>
  <c r="BH29" i="11" s="1"/>
  <c r="Q29" i="11"/>
  <c r="BG29" i="11" s="1"/>
  <c r="O29" i="11"/>
  <c r="BE29" i="11" s="1"/>
  <c r="N29" i="11"/>
  <c r="BD29" i="11" s="1"/>
  <c r="M29" i="11"/>
  <c r="BC29" i="11" s="1"/>
  <c r="L29" i="11"/>
  <c r="BB29" i="11" s="1"/>
  <c r="K29" i="11"/>
  <c r="BA29" i="11" s="1"/>
  <c r="I29" i="11"/>
  <c r="AY29" i="11" s="1"/>
  <c r="H29" i="11"/>
  <c r="S28" i="11"/>
  <c r="BI28" i="11" s="1"/>
  <c r="R28" i="11"/>
  <c r="BH28" i="11" s="1"/>
  <c r="Q28" i="11"/>
  <c r="BG28" i="11" s="1"/>
  <c r="O28" i="11"/>
  <c r="BE28" i="11" s="1"/>
  <c r="N28" i="11"/>
  <c r="BD28" i="11" s="1"/>
  <c r="M28" i="11"/>
  <c r="BC28" i="11" s="1"/>
  <c r="L28" i="11"/>
  <c r="BB28" i="11" s="1"/>
  <c r="K28" i="11"/>
  <c r="BA28" i="11" s="1"/>
  <c r="I28" i="11"/>
  <c r="AY28" i="11" s="1"/>
  <c r="H28" i="11"/>
  <c r="S27" i="11"/>
  <c r="BI27" i="11" s="1"/>
  <c r="R27" i="11"/>
  <c r="BH27" i="11" s="1"/>
  <c r="Q27" i="11"/>
  <c r="BG27" i="11" s="1"/>
  <c r="O27" i="11"/>
  <c r="BE27" i="11" s="1"/>
  <c r="N27" i="11"/>
  <c r="BD27" i="11" s="1"/>
  <c r="M27" i="11"/>
  <c r="BC27" i="11" s="1"/>
  <c r="L27" i="11"/>
  <c r="BB27" i="11" s="1"/>
  <c r="K27" i="11"/>
  <c r="BA27" i="11" s="1"/>
  <c r="I27" i="11"/>
  <c r="AY27" i="11" s="1"/>
  <c r="H27" i="11"/>
  <c r="S26" i="11"/>
  <c r="BI26" i="11" s="1"/>
  <c r="R26" i="11"/>
  <c r="BH26" i="11" s="1"/>
  <c r="Q26" i="11"/>
  <c r="BG26" i="11" s="1"/>
  <c r="O26" i="11"/>
  <c r="BE26" i="11" s="1"/>
  <c r="N26" i="11"/>
  <c r="BD26" i="11" s="1"/>
  <c r="M26" i="11"/>
  <c r="BC26" i="11" s="1"/>
  <c r="L26" i="11"/>
  <c r="BB26" i="11" s="1"/>
  <c r="K26" i="11"/>
  <c r="BA26" i="11" s="1"/>
  <c r="I26" i="11"/>
  <c r="AY26" i="11" s="1"/>
  <c r="H26" i="11"/>
  <c r="S20" i="11"/>
  <c r="BI20" i="11" s="1"/>
  <c r="R20" i="11"/>
  <c r="BH20" i="11" s="1"/>
  <c r="Q20" i="11"/>
  <c r="BG20" i="11" s="1"/>
  <c r="O20" i="11"/>
  <c r="BE20" i="11" s="1"/>
  <c r="N20" i="11"/>
  <c r="BD20" i="11" s="1"/>
  <c r="M20" i="11"/>
  <c r="BC20" i="11" s="1"/>
  <c r="L20" i="11"/>
  <c r="BB20" i="11" s="1"/>
  <c r="K20" i="11"/>
  <c r="BA20" i="11" s="1"/>
  <c r="I20" i="11"/>
  <c r="AY20" i="11" s="1"/>
  <c r="H20" i="11"/>
  <c r="S19" i="11"/>
  <c r="BI19" i="11" s="1"/>
  <c r="R19" i="11"/>
  <c r="BH19" i="11" s="1"/>
  <c r="Q19" i="11"/>
  <c r="BG19" i="11" s="1"/>
  <c r="O19" i="11"/>
  <c r="BE19" i="11" s="1"/>
  <c r="N19" i="11"/>
  <c r="BD19" i="11" s="1"/>
  <c r="M19" i="11"/>
  <c r="BC19" i="11" s="1"/>
  <c r="L19" i="11"/>
  <c r="BB19" i="11" s="1"/>
  <c r="K19" i="11"/>
  <c r="BA19" i="11" s="1"/>
  <c r="I19" i="11"/>
  <c r="AY19" i="11" s="1"/>
  <c r="H19" i="11"/>
  <c r="S18" i="11"/>
  <c r="BI18" i="11" s="1"/>
  <c r="R18" i="11"/>
  <c r="BH18" i="11" s="1"/>
  <c r="Q18" i="11"/>
  <c r="BG18" i="11" s="1"/>
  <c r="O18" i="11"/>
  <c r="BE18" i="11" s="1"/>
  <c r="N18" i="11"/>
  <c r="BD18" i="11" s="1"/>
  <c r="M18" i="11"/>
  <c r="BC18" i="11" s="1"/>
  <c r="L18" i="11"/>
  <c r="BB18" i="11" s="1"/>
  <c r="K18" i="11"/>
  <c r="I18" i="11"/>
  <c r="AY18" i="11" s="1"/>
  <c r="H18" i="11"/>
  <c r="S17" i="11"/>
  <c r="BI17" i="11" s="1"/>
  <c r="R17" i="11"/>
  <c r="BH17" i="11" s="1"/>
  <c r="Q17" i="11"/>
  <c r="BG17" i="11" s="1"/>
  <c r="O17" i="11"/>
  <c r="BE17" i="11" s="1"/>
  <c r="N17" i="11"/>
  <c r="BD17" i="11" s="1"/>
  <c r="M17" i="11"/>
  <c r="BC17" i="11" s="1"/>
  <c r="L17" i="11"/>
  <c r="BB17" i="11" s="1"/>
  <c r="K17" i="11"/>
  <c r="I17" i="11"/>
  <c r="AY17" i="11" s="1"/>
  <c r="H17" i="11"/>
  <c r="S16" i="11"/>
  <c r="BI16" i="11" s="1"/>
  <c r="R16" i="11"/>
  <c r="BH16" i="11" s="1"/>
  <c r="Q16" i="11"/>
  <c r="BG16" i="11" s="1"/>
  <c r="O16" i="11"/>
  <c r="BE16" i="11" s="1"/>
  <c r="N16" i="11"/>
  <c r="BD16" i="11" s="1"/>
  <c r="M16" i="11"/>
  <c r="BC16" i="11" s="1"/>
  <c r="L16" i="11"/>
  <c r="BB16" i="11" s="1"/>
  <c r="K16" i="11"/>
  <c r="BA16" i="11" s="1"/>
  <c r="I16" i="11"/>
  <c r="AY16" i="11" s="1"/>
  <c r="H16" i="11"/>
  <c r="S10" i="11"/>
  <c r="BI10" i="11" s="1"/>
  <c r="R10" i="11"/>
  <c r="BH10" i="11" s="1"/>
  <c r="Q10" i="11"/>
  <c r="BG10" i="11" s="1"/>
  <c r="O10" i="11"/>
  <c r="BE10" i="11" s="1"/>
  <c r="N10" i="11"/>
  <c r="BD10" i="11" s="1"/>
  <c r="M10" i="11"/>
  <c r="BC10" i="11" s="1"/>
  <c r="L10" i="11"/>
  <c r="BB10" i="11" s="1"/>
  <c r="K10" i="11"/>
  <c r="BA10" i="11" s="1"/>
  <c r="I10" i="11"/>
  <c r="AY10" i="11" s="1"/>
  <c r="H10" i="11"/>
  <c r="S9" i="11"/>
  <c r="BI9" i="11" s="1"/>
  <c r="R9" i="11"/>
  <c r="BH9" i="11" s="1"/>
  <c r="Q9" i="11"/>
  <c r="BG9" i="11" s="1"/>
  <c r="O9" i="11"/>
  <c r="BE9" i="11" s="1"/>
  <c r="N9" i="11"/>
  <c r="BD9" i="11" s="1"/>
  <c r="M9" i="11"/>
  <c r="BC9" i="11" s="1"/>
  <c r="L9" i="11"/>
  <c r="BB9" i="11" s="1"/>
  <c r="K9" i="11"/>
  <c r="BA9" i="11" s="1"/>
  <c r="I9" i="11"/>
  <c r="AY9" i="11" s="1"/>
  <c r="H9" i="11"/>
  <c r="S8" i="11"/>
  <c r="BI8" i="11" s="1"/>
  <c r="R8" i="11"/>
  <c r="BH8" i="11" s="1"/>
  <c r="Q8" i="11"/>
  <c r="BG8" i="11" s="1"/>
  <c r="O8" i="11"/>
  <c r="BE8" i="11" s="1"/>
  <c r="N8" i="11"/>
  <c r="BD8" i="11" s="1"/>
  <c r="M8" i="11"/>
  <c r="BC8" i="11" s="1"/>
  <c r="L8" i="11"/>
  <c r="BB8" i="11" s="1"/>
  <c r="K8" i="11"/>
  <c r="BA8" i="11" s="1"/>
  <c r="I8" i="11"/>
  <c r="AY8" i="11" s="1"/>
  <c r="H8" i="11"/>
  <c r="S7" i="11"/>
  <c r="BI7" i="11" s="1"/>
  <c r="R7" i="11"/>
  <c r="BH7" i="11" s="1"/>
  <c r="Q7" i="11"/>
  <c r="BG7" i="11" s="1"/>
  <c r="O7" i="11"/>
  <c r="BE7" i="11" s="1"/>
  <c r="N7" i="11"/>
  <c r="BD7" i="11" s="1"/>
  <c r="M7" i="11"/>
  <c r="BC7" i="11" s="1"/>
  <c r="L7" i="11"/>
  <c r="BB7" i="11" s="1"/>
  <c r="K7" i="11"/>
  <c r="BA7" i="11" s="1"/>
  <c r="I7" i="11"/>
  <c r="AY7" i="11" s="1"/>
  <c r="H7" i="11"/>
  <c r="S6" i="11"/>
  <c r="BI6" i="11" s="1"/>
  <c r="R6" i="11"/>
  <c r="BH6" i="11" s="1"/>
  <c r="Q6" i="11"/>
  <c r="BG6" i="11" s="1"/>
  <c r="O6" i="11"/>
  <c r="BE6" i="11" s="1"/>
  <c r="N6" i="11"/>
  <c r="BD6" i="11" s="1"/>
  <c r="M6" i="11"/>
  <c r="BC6" i="11" s="1"/>
  <c r="L6" i="11"/>
  <c r="BB6" i="11" s="1"/>
  <c r="K6" i="11"/>
  <c r="BA6" i="11" s="1"/>
  <c r="I6" i="11"/>
  <c r="H6" i="11"/>
  <c r="D771" i="11" l="1"/>
  <c r="B771" i="11" s="1"/>
  <c r="A771" i="11"/>
  <c r="CE7" i="11"/>
  <c r="AO26" i="11"/>
  <c r="DV26" i="11" s="1"/>
  <c r="AO21" i="11"/>
  <c r="DV21" i="11" s="1"/>
  <c r="A739" i="11"/>
  <c r="D739" i="11"/>
  <c r="B739" i="11" s="1"/>
  <c r="CE17" i="11"/>
  <c r="AO50" i="11"/>
  <c r="DV50" i="11" s="1"/>
  <c r="AO41" i="11"/>
  <c r="DV41" i="11" s="1"/>
  <c r="AO37" i="11"/>
  <c r="DV37" i="11" s="1"/>
  <c r="AO6" i="11"/>
  <c r="DV6" i="11" s="1"/>
  <c r="CE53" i="11"/>
  <c r="D736" i="11"/>
  <c r="B736" i="11" s="1"/>
  <c r="AO11" i="11"/>
  <c r="DV11" i="11" s="1"/>
  <c r="D733" i="11"/>
  <c r="B733" i="11" s="1"/>
  <c r="A733" i="11"/>
  <c r="A770" i="11"/>
  <c r="AO12" i="11"/>
  <c r="DV12" i="11" s="1"/>
  <c r="A735" i="11"/>
  <c r="CE16" i="11"/>
  <c r="AO27" i="11"/>
  <c r="CE47" i="11"/>
  <c r="AO43" i="11"/>
  <c r="DV43" i="11" s="1"/>
  <c r="AO52" i="11"/>
  <c r="CE51" i="11"/>
  <c r="CE46" i="11"/>
  <c r="CE23" i="11"/>
  <c r="D753" i="11"/>
  <c r="B753" i="11" s="1"/>
  <c r="A753" i="11"/>
  <c r="CE42" i="11"/>
  <c r="D731" i="11"/>
  <c r="B731" i="11" s="1"/>
  <c r="A731" i="11"/>
  <c r="D775" i="11"/>
  <c r="B775" i="11" s="1"/>
  <c r="A775" i="11"/>
  <c r="D738" i="11"/>
  <c r="B738" i="11" s="1"/>
  <c r="D737" i="11"/>
  <c r="B737" i="11" s="1"/>
  <c r="A737" i="11"/>
  <c r="A794" i="11"/>
  <c r="AO49" i="11"/>
  <c r="CE44" i="11"/>
  <c r="CE8" i="11"/>
  <c r="D728" i="11"/>
  <c r="B728" i="11" s="1"/>
  <c r="A728" i="11"/>
  <c r="A752" i="11"/>
  <c r="D752" i="11"/>
  <c r="B752" i="11" s="1"/>
  <c r="D748" i="11"/>
  <c r="B748" i="11" s="1"/>
  <c r="A748" i="11"/>
  <c r="A767" i="11"/>
  <c r="D767" i="11"/>
  <c r="B767" i="11" s="1"/>
  <c r="D759" i="11"/>
  <c r="B759" i="11" s="1"/>
  <c r="A759" i="11"/>
  <c r="A761" i="11"/>
  <c r="D761" i="11"/>
  <c r="B761" i="11" s="1"/>
  <c r="A760" i="11"/>
  <c r="D760" i="11"/>
  <c r="B760" i="11" s="1"/>
  <c r="D751" i="11"/>
  <c r="B751" i="11" s="1"/>
  <c r="A751" i="11"/>
  <c r="AO10" i="11"/>
  <c r="DV10" i="11" s="1"/>
  <c r="A769" i="11"/>
  <c r="A726" i="11"/>
  <c r="A755" i="11"/>
  <c r="A779" i="11"/>
  <c r="A772" i="11"/>
  <c r="A747" i="11"/>
  <c r="D768" i="11"/>
  <c r="B768" i="11" s="1"/>
  <c r="D732" i="11"/>
  <c r="B732" i="11" s="1"/>
  <c r="A765" i="11"/>
  <c r="D727" i="11"/>
  <c r="B727" i="11" s="1"/>
  <c r="A729" i="11"/>
  <c r="A781" i="11"/>
  <c r="D743" i="11"/>
  <c r="B743" i="11" s="1"/>
  <c r="A744" i="11"/>
  <c r="D764" i="11"/>
  <c r="B764" i="11" s="1"/>
  <c r="A746" i="11"/>
  <c r="A749" i="11"/>
  <c r="D356" i="11"/>
  <c r="B356" i="11" s="1"/>
  <c r="A356" i="11"/>
  <c r="D360" i="11"/>
  <c r="B360" i="11" s="1"/>
  <c r="A360" i="11"/>
  <c r="D364" i="11"/>
  <c r="B364" i="11" s="1"/>
  <c r="A364" i="11"/>
  <c r="D230" i="11"/>
  <c r="B230" i="11" s="1"/>
  <c r="A230" i="11"/>
  <c r="D362" i="11"/>
  <c r="B362" i="11" s="1"/>
  <c r="A362" i="11"/>
  <c r="A357" i="11"/>
  <c r="D357" i="11"/>
  <c r="B357" i="11" s="1"/>
  <c r="D361" i="11"/>
  <c r="B361" i="11" s="1"/>
  <c r="A361" i="11"/>
  <c r="D350" i="11"/>
  <c r="B350" i="11" s="1"/>
  <c r="A350" i="11"/>
  <c r="J199" i="11"/>
  <c r="J188" i="11"/>
  <c r="J215" i="11"/>
  <c r="J192" i="11"/>
  <c r="J193" i="11"/>
  <c r="J229" i="11"/>
  <c r="C766" i="11"/>
  <c r="A766" i="11" s="1"/>
  <c r="I226" i="11"/>
  <c r="J189" i="11"/>
  <c r="A782" i="11"/>
  <c r="A777" i="11"/>
  <c r="CE40" i="11"/>
  <c r="CV40" i="11" s="1"/>
  <c r="J187" i="11"/>
  <c r="J219" i="11"/>
  <c r="J224" i="11"/>
  <c r="J209" i="11"/>
  <c r="J186" i="11"/>
  <c r="J196" i="11"/>
  <c r="J221" i="11"/>
  <c r="J191" i="11"/>
  <c r="J223" i="11"/>
  <c r="J208" i="11"/>
  <c r="J225" i="11"/>
  <c r="C750" i="11"/>
  <c r="D750" i="11" s="1"/>
  <c r="B750" i="11" s="1"/>
  <c r="I210" i="11"/>
  <c r="J228" i="11"/>
  <c r="C730" i="11"/>
  <c r="A730" i="11" s="1"/>
  <c r="I190" i="11"/>
  <c r="J234" i="11"/>
  <c r="J232" i="11"/>
  <c r="C758" i="11"/>
  <c r="D758" i="11" s="1"/>
  <c r="B758" i="11" s="1"/>
  <c r="I218" i="11"/>
  <c r="J212" i="11"/>
  <c r="J198" i="11"/>
  <c r="C762" i="11"/>
  <c r="D762" i="11" s="1"/>
  <c r="B762" i="11" s="1"/>
  <c r="I222" i="11"/>
  <c r="CE28" i="11"/>
  <c r="AO54" i="11"/>
  <c r="J226" i="11"/>
  <c r="J227" i="11"/>
  <c r="J203" i="11"/>
  <c r="J235" i="11"/>
  <c r="C757" i="11"/>
  <c r="D757" i="11" s="1"/>
  <c r="B757" i="11" s="1"/>
  <c r="I217" i="11"/>
  <c r="J197" i="11"/>
  <c r="C774" i="11"/>
  <c r="D774" i="11" s="1"/>
  <c r="B774" i="11" s="1"/>
  <c r="I234" i="11"/>
  <c r="J213" i="11"/>
  <c r="AO31" i="11"/>
  <c r="DV31" i="11" s="1"/>
  <c r="AO35" i="11"/>
  <c r="DV35" i="11" s="1"/>
  <c r="AO14" i="11"/>
  <c r="J195" i="11"/>
  <c r="C741" i="11"/>
  <c r="D741" i="11" s="1"/>
  <c r="B741" i="11" s="1"/>
  <c r="I201" i="11"/>
  <c r="C742" i="11"/>
  <c r="D742" i="11" s="1"/>
  <c r="B742" i="11" s="1"/>
  <c r="I202" i="11"/>
  <c r="J230" i="11"/>
  <c r="A242" i="11"/>
  <c r="J207" i="11"/>
  <c r="C740" i="11"/>
  <c r="D740" i="11" s="1"/>
  <c r="B740" i="11" s="1"/>
  <c r="I200" i="11"/>
  <c r="C773" i="11"/>
  <c r="D773" i="11" s="1"/>
  <c r="B773" i="11" s="1"/>
  <c r="I233" i="11"/>
  <c r="J206" i="11"/>
  <c r="J204" i="11"/>
  <c r="C754" i="11"/>
  <c r="D754" i="11" s="1"/>
  <c r="B754" i="11" s="1"/>
  <c r="I214" i="11"/>
  <c r="A780" i="11"/>
  <c r="D763" i="11"/>
  <c r="B763" i="11" s="1"/>
  <c r="AO24" i="11"/>
  <c r="DV24" i="11" s="1"/>
  <c r="CE34" i="11"/>
  <c r="J231" i="11"/>
  <c r="J211" i="11"/>
  <c r="C756" i="11"/>
  <c r="D756" i="11" s="1"/>
  <c r="B756" i="11" s="1"/>
  <c r="I216" i="11"/>
  <c r="J220" i="11"/>
  <c r="C734" i="11"/>
  <c r="D734" i="11" s="1"/>
  <c r="B734" i="11" s="1"/>
  <c r="I194" i="11"/>
  <c r="C745" i="11"/>
  <c r="I205" i="11"/>
  <c r="A435" i="11"/>
  <c r="CJ58" i="11"/>
  <c r="DA58" i="11" s="1"/>
  <c r="CZ58" i="11"/>
  <c r="CJ60" i="11"/>
  <c r="DA60" i="11" s="1"/>
  <c r="CZ60" i="11"/>
  <c r="CJ56" i="11"/>
  <c r="DA56" i="11" s="1"/>
  <c r="CZ56" i="11"/>
  <c r="CY56" i="11"/>
  <c r="CX56" i="11"/>
  <c r="CZ57" i="11"/>
  <c r="CZ59" i="11"/>
  <c r="A818" i="11"/>
  <c r="AK17" i="11"/>
  <c r="DR17" i="11" s="1"/>
  <c r="AK31" i="11"/>
  <c r="AK29" i="11"/>
  <c r="CC13" i="11"/>
  <c r="AM55" i="11"/>
  <c r="DT55" i="11" s="1"/>
  <c r="CC55" i="11"/>
  <c r="CT55" i="11" s="1"/>
  <c r="CB13" i="11"/>
  <c r="AL13" i="11"/>
  <c r="DS13" i="11" s="1"/>
  <c r="CD16" i="11"/>
  <c r="AN16" i="11"/>
  <c r="DU16" i="11" s="1"/>
  <c r="AN29" i="11"/>
  <c r="CD29" i="11"/>
  <c r="AN47" i="11"/>
  <c r="CD47" i="11"/>
  <c r="AM23" i="11"/>
  <c r="DT23" i="11" s="1"/>
  <c r="CC23" i="11"/>
  <c r="AN35" i="11"/>
  <c r="DU35" i="11" s="1"/>
  <c r="CD35" i="11"/>
  <c r="CU35" i="11" s="1"/>
  <c r="AM54" i="11"/>
  <c r="DT54" i="11" s="1"/>
  <c r="CC54" i="11"/>
  <c r="CC30" i="11"/>
  <c r="AM30" i="11"/>
  <c r="DT30" i="11" s="1"/>
  <c r="AM48" i="11"/>
  <c r="CC48" i="11"/>
  <c r="CD41" i="11"/>
  <c r="AN41" i="11"/>
  <c r="DU41" i="11" s="1"/>
  <c r="AL18" i="11"/>
  <c r="CB18" i="11"/>
  <c r="CD30" i="11"/>
  <c r="CU30" i="11" s="1"/>
  <c r="AN30" i="11"/>
  <c r="DU30" i="11" s="1"/>
  <c r="AN48" i="11"/>
  <c r="CD48" i="11"/>
  <c r="AL31" i="11"/>
  <c r="DS31" i="11" s="1"/>
  <c r="CB31" i="11"/>
  <c r="AL44" i="11"/>
  <c r="CB44" i="11"/>
  <c r="AN55" i="11"/>
  <c r="DU55" i="11" s="1"/>
  <c r="CD55" i="11"/>
  <c r="CU55" i="11" s="1"/>
  <c r="AN11" i="11"/>
  <c r="DU11" i="11" s="1"/>
  <c r="CD11" i="11"/>
  <c r="CB15" i="11"/>
  <c r="CS15" i="11" s="1"/>
  <c r="AL15" i="11"/>
  <c r="DS15" i="11" s="1"/>
  <c r="AM9" i="11"/>
  <c r="DT9" i="11" s="1"/>
  <c r="CC9" i="11"/>
  <c r="CC18" i="11"/>
  <c r="AM18" i="11"/>
  <c r="AM27" i="11"/>
  <c r="DT27" i="11" s="1"/>
  <c r="CC27" i="11"/>
  <c r="CC36" i="11"/>
  <c r="AM36" i="11"/>
  <c r="CC40" i="11"/>
  <c r="AM40" i="11"/>
  <c r="AM49" i="11"/>
  <c r="DT49" i="11" s="1"/>
  <c r="CC49" i="11"/>
  <c r="AN25" i="11"/>
  <c r="DU25" i="11" s="1"/>
  <c r="CD25" i="11"/>
  <c r="CU25" i="11" s="1"/>
  <c r="AM31" i="11"/>
  <c r="DT31" i="11" s="1"/>
  <c r="CC31" i="11"/>
  <c r="CB32" i="11"/>
  <c r="AL32" i="11"/>
  <c r="DS32" i="11" s="1"/>
  <c r="AN43" i="11"/>
  <c r="DU43" i="11" s="1"/>
  <c r="CD43" i="11"/>
  <c r="AM44" i="11"/>
  <c r="CC44" i="11"/>
  <c r="AL45" i="11"/>
  <c r="DS45" i="11" s="1"/>
  <c r="CB45" i="11"/>
  <c r="CS45" i="11" s="1"/>
  <c r="AN14" i="11"/>
  <c r="DU14" i="11" s="1"/>
  <c r="CD14" i="11"/>
  <c r="AL17" i="11"/>
  <c r="DS17" i="11" s="1"/>
  <c r="CB17" i="11"/>
  <c r="CB30" i="11"/>
  <c r="AL30" i="11"/>
  <c r="AL48" i="11"/>
  <c r="CB48" i="11"/>
  <c r="AM41" i="11"/>
  <c r="DT41" i="11" s="1"/>
  <c r="CC41" i="11"/>
  <c r="AL55" i="11"/>
  <c r="DS55" i="11" s="1"/>
  <c r="CB55" i="11"/>
  <c r="CS55" i="11" s="1"/>
  <c r="CC26" i="11"/>
  <c r="AM26" i="11"/>
  <c r="CC24" i="11"/>
  <c r="AM24" i="11"/>
  <c r="DT24" i="11" s="1"/>
  <c r="CC42" i="11"/>
  <c r="AM42" i="11"/>
  <c r="DT42" i="11" s="1"/>
  <c r="CC11" i="11"/>
  <c r="AM11" i="11"/>
  <c r="DT11" i="11" s="1"/>
  <c r="CB9" i="11"/>
  <c r="AL9" i="11"/>
  <c r="DW9" i="11" s="1"/>
  <c r="CD26" i="11"/>
  <c r="AN26" i="11"/>
  <c r="DU26" i="11" s="1"/>
  <c r="CB40" i="11"/>
  <c r="AL40" i="11"/>
  <c r="AN42" i="11"/>
  <c r="DU42" i="11" s="1"/>
  <c r="CD42" i="11"/>
  <c r="AN9" i="11"/>
  <c r="CD9" i="11"/>
  <c r="AN27" i="11"/>
  <c r="CD27" i="11"/>
  <c r="AL37" i="11"/>
  <c r="DS37" i="11" s="1"/>
  <c r="CB37" i="11"/>
  <c r="CD49" i="11"/>
  <c r="AN49" i="11"/>
  <c r="DU49" i="11" s="1"/>
  <c r="CC32" i="11"/>
  <c r="AM32" i="11"/>
  <c r="DT32" i="11" s="1"/>
  <c r="AL51" i="11"/>
  <c r="DS51" i="11" s="1"/>
  <c r="CB51" i="11"/>
  <c r="AM14" i="11"/>
  <c r="DT14" i="11" s="1"/>
  <c r="CC14" i="11"/>
  <c r="AM6" i="11"/>
  <c r="CC6" i="11"/>
  <c r="AM10" i="11"/>
  <c r="DT10" i="11" s="1"/>
  <c r="CC10" i="11"/>
  <c r="AM19" i="11"/>
  <c r="CC19" i="11"/>
  <c r="CC28" i="11"/>
  <c r="AM28" i="11"/>
  <c r="DT28" i="11" s="1"/>
  <c r="AM37" i="11"/>
  <c r="DT37" i="11" s="1"/>
  <c r="CC37" i="11"/>
  <c r="AM46" i="11"/>
  <c r="DT46" i="11" s="1"/>
  <c r="CC46" i="11"/>
  <c r="CB21" i="11"/>
  <c r="AL21" i="11"/>
  <c r="CD32" i="11"/>
  <c r="AN32" i="11"/>
  <c r="DU32" i="11" s="1"/>
  <c r="AM33" i="11"/>
  <c r="DT33" i="11" s="1"/>
  <c r="CC33" i="11"/>
  <c r="CB34" i="11"/>
  <c r="AL34" i="11"/>
  <c r="CD45" i="11"/>
  <c r="CU45" i="11" s="1"/>
  <c r="AN45" i="11"/>
  <c r="DU45" i="11" s="1"/>
  <c r="AM51" i="11"/>
  <c r="DT51" i="11" s="1"/>
  <c r="CC51" i="11"/>
  <c r="AL52" i="11"/>
  <c r="DS52" i="11" s="1"/>
  <c r="CB52" i="11"/>
  <c r="AL14" i="11"/>
  <c r="DS14" i="11" s="1"/>
  <c r="CB14" i="11"/>
  <c r="CD7" i="11"/>
  <c r="AN7" i="11"/>
  <c r="DU7" i="11" s="1"/>
  <c r="CD20" i="11"/>
  <c r="CU20" i="11" s="1"/>
  <c r="AN20" i="11"/>
  <c r="DU20" i="11" s="1"/>
  <c r="AL39" i="11"/>
  <c r="CB39" i="11"/>
  <c r="CD22" i="11"/>
  <c r="AN22" i="11"/>
  <c r="DU22" i="11" s="1"/>
  <c r="AN53" i="11"/>
  <c r="CD53" i="11"/>
  <c r="AM39" i="11"/>
  <c r="DT39" i="11" s="1"/>
  <c r="CC39" i="11"/>
  <c r="AN23" i="11"/>
  <c r="DU23" i="11" s="1"/>
  <c r="CD23" i="11"/>
  <c r="CB43" i="11"/>
  <c r="AL43" i="11"/>
  <c r="AN8" i="11"/>
  <c r="CD8" i="11"/>
  <c r="AL27" i="11"/>
  <c r="DS27" i="11" s="1"/>
  <c r="CB27" i="11"/>
  <c r="CD39" i="11"/>
  <c r="AN39" i="11"/>
  <c r="DU39" i="11" s="1"/>
  <c r="CD24" i="11"/>
  <c r="AN24" i="11"/>
  <c r="DU24" i="11" s="1"/>
  <c r="CC43" i="11"/>
  <c r="AM43" i="11"/>
  <c r="DT43" i="11" s="1"/>
  <c r="AL10" i="11"/>
  <c r="DS10" i="11" s="1"/>
  <c r="CB10" i="11"/>
  <c r="AL19" i="11"/>
  <c r="CB19" i="11"/>
  <c r="AN36" i="11"/>
  <c r="DU36" i="11" s="1"/>
  <c r="CD36" i="11"/>
  <c r="AN40" i="11"/>
  <c r="DU40" i="11" s="1"/>
  <c r="CD40" i="11"/>
  <c r="CU40" i="11" s="1"/>
  <c r="AN31" i="11"/>
  <c r="DU31" i="11" s="1"/>
  <c r="CD31" i="11"/>
  <c r="AN44" i="11"/>
  <c r="CD44" i="11"/>
  <c r="CB7" i="11"/>
  <c r="AL7" i="11"/>
  <c r="DS7" i="11" s="1"/>
  <c r="AL16" i="11"/>
  <c r="CB16" i="11"/>
  <c r="CB20" i="11"/>
  <c r="AL20" i="11"/>
  <c r="DS20" i="11" s="1"/>
  <c r="CD28" i="11"/>
  <c r="AN28" i="11"/>
  <c r="AL29" i="11"/>
  <c r="CB29" i="11"/>
  <c r="CD37" i="11"/>
  <c r="AN37" i="11"/>
  <c r="CB38" i="11"/>
  <c r="AL38" i="11"/>
  <c r="DS38" i="11" s="1"/>
  <c r="AN46" i="11"/>
  <c r="CD46" i="11"/>
  <c r="AL47" i="11"/>
  <c r="DS47" i="11" s="1"/>
  <c r="CB47" i="11"/>
  <c r="AM21" i="11"/>
  <c r="DT21" i="11" s="1"/>
  <c r="CC21" i="11"/>
  <c r="CB22" i="11"/>
  <c r="AL22" i="11"/>
  <c r="DS22" i="11" s="1"/>
  <c r="AN33" i="11"/>
  <c r="DU33" i="11" s="1"/>
  <c r="CD33" i="11"/>
  <c r="CC34" i="11"/>
  <c r="AM34" i="11"/>
  <c r="DT34" i="11" s="1"/>
  <c r="AL35" i="11"/>
  <c r="DS35" i="11" s="1"/>
  <c r="CB35" i="11"/>
  <c r="CS35" i="11" s="1"/>
  <c r="AN51" i="11"/>
  <c r="DU51" i="11" s="1"/>
  <c r="CD51" i="11"/>
  <c r="AM52" i="11"/>
  <c r="DT52" i="11" s="1"/>
  <c r="CC52" i="11"/>
  <c r="AL53" i="11"/>
  <c r="CB53" i="11"/>
  <c r="AN12" i="11"/>
  <c r="DU12" i="11" s="1"/>
  <c r="CD12" i="11"/>
  <c r="AL8" i="11"/>
  <c r="DS8" i="11" s="1"/>
  <c r="CB8" i="11"/>
  <c r="CB26" i="11"/>
  <c r="AL26" i="11"/>
  <c r="DS26" i="11" s="1"/>
  <c r="AN38" i="11"/>
  <c r="DU38" i="11" s="1"/>
  <c r="CD38" i="11"/>
  <c r="CB24" i="11"/>
  <c r="AL24" i="11"/>
  <c r="CB42" i="11"/>
  <c r="AL42" i="11"/>
  <c r="DS42" i="11" s="1"/>
  <c r="AL11" i="11"/>
  <c r="DS11" i="11" s="1"/>
  <c r="CB11" i="11"/>
  <c r="AM8" i="11"/>
  <c r="CC8" i="11"/>
  <c r="AM17" i="11"/>
  <c r="DT17" i="11" s="1"/>
  <c r="CC17" i="11"/>
  <c r="AL25" i="11"/>
  <c r="DS25" i="11" s="1"/>
  <c r="CB25" i="11"/>
  <c r="CS25" i="11" s="1"/>
  <c r="CD54" i="11"/>
  <c r="AN54" i="11"/>
  <c r="DU54" i="11" s="1"/>
  <c r="AN17" i="11"/>
  <c r="CD17" i="11"/>
  <c r="CB36" i="11"/>
  <c r="AL36" i="11"/>
  <c r="AL49" i="11"/>
  <c r="DS49" i="11" s="1"/>
  <c r="CB49" i="11"/>
  <c r="AM25" i="11"/>
  <c r="DT25" i="11" s="1"/>
  <c r="CC25" i="11"/>
  <c r="CT25" i="11" s="1"/>
  <c r="AL6" i="11"/>
  <c r="DS6" i="11" s="1"/>
  <c r="CB6" i="11"/>
  <c r="CD18" i="11"/>
  <c r="AN18" i="11"/>
  <c r="DU18" i="11" s="1"/>
  <c r="CB28" i="11"/>
  <c r="AL28" i="11"/>
  <c r="AL46" i="11"/>
  <c r="DS46" i="11" s="1"/>
  <c r="CB46" i="11"/>
  <c r="AL33" i="11"/>
  <c r="CB33" i="11"/>
  <c r="AM45" i="11"/>
  <c r="DT45" i="11" s="1"/>
  <c r="CC45" i="11"/>
  <c r="CT45" i="11" s="1"/>
  <c r="AN6" i="11"/>
  <c r="DU6" i="11" s="1"/>
  <c r="CD6" i="11"/>
  <c r="AN10" i="11"/>
  <c r="DU10" i="11" s="1"/>
  <c r="CD10" i="11"/>
  <c r="CU10" i="11" s="1"/>
  <c r="AN19" i="11"/>
  <c r="DU19" i="11" s="1"/>
  <c r="CD19" i="11"/>
  <c r="CC7" i="11"/>
  <c r="AM7" i="11"/>
  <c r="DT7" i="11" s="1"/>
  <c r="CC16" i="11"/>
  <c r="AM16" i="11"/>
  <c r="CC20" i="11"/>
  <c r="AM20" i="11"/>
  <c r="AM29" i="11"/>
  <c r="CC29" i="11"/>
  <c r="CC38" i="11"/>
  <c r="AM38" i="11"/>
  <c r="DT38" i="11" s="1"/>
  <c r="AM47" i="11"/>
  <c r="DT47" i="11" s="1"/>
  <c r="CC47" i="11"/>
  <c r="AN21" i="11"/>
  <c r="DU21" i="11" s="1"/>
  <c r="CD21" i="11"/>
  <c r="CC22" i="11"/>
  <c r="AM22" i="11"/>
  <c r="DT22" i="11" s="1"/>
  <c r="AL23" i="11"/>
  <c r="CB23" i="11"/>
  <c r="CD34" i="11"/>
  <c r="AN34" i="11"/>
  <c r="DU34" i="11" s="1"/>
  <c r="AM35" i="11"/>
  <c r="DT35" i="11" s="1"/>
  <c r="CC35" i="11"/>
  <c r="CT35" i="11" s="1"/>
  <c r="AL41" i="11"/>
  <c r="DS41" i="11" s="1"/>
  <c r="CB41" i="11"/>
  <c r="CD52" i="11"/>
  <c r="AN52" i="11"/>
  <c r="DU52" i="11" s="1"/>
  <c r="CC53" i="11"/>
  <c r="AM53" i="11"/>
  <c r="DT53" i="11" s="1"/>
  <c r="AL54" i="11"/>
  <c r="DS54" i="11" s="1"/>
  <c r="CB54" i="11"/>
  <c r="AN15" i="11"/>
  <c r="DU15" i="11" s="1"/>
  <c r="CD15" i="11"/>
  <c r="CU15" i="11" s="1"/>
  <c r="BZ7" i="11"/>
  <c r="AJ7" i="11"/>
  <c r="BX30" i="11"/>
  <c r="CO30" i="11" s="1"/>
  <c r="AH30" i="11"/>
  <c r="DO30" i="11" s="1"/>
  <c r="AH14" i="11"/>
  <c r="BX14" i="11"/>
  <c r="BZ35" i="11"/>
  <c r="CQ35" i="11" s="1"/>
  <c r="AJ35" i="11"/>
  <c r="DQ35" i="11" s="1"/>
  <c r="AI54" i="11"/>
  <c r="DP54" i="11" s="1"/>
  <c r="BY54" i="11"/>
  <c r="BY30" i="11"/>
  <c r="CP30" i="11" s="1"/>
  <c r="AI30" i="11"/>
  <c r="DP30" i="11" s="1"/>
  <c r="BY24" i="11"/>
  <c r="AI24" i="11"/>
  <c r="DP24" i="11" s="1"/>
  <c r="AJ54" i="11"/>
  <c r="DQ54" i="11" s="1"/>
  <c r="BZ54" i="11"/>
  <c r="BZ8" i="11"/>
  <c r="AJ8" i="11"/>
  <c r="DQ8" i="11" s="1"/>
  <c r="AH27" i="11"/>
  <c r="BX27" i="11"/>
  <c r="BZ24" i="11"/>
  <c r="AJ24" i="11"/>
  <c r="BY43" i="11"/>
  <c r="AI43" i="11"/>
  <c r="DP43" i="11" s="1"/>
  <c r="BY7" i="11"/>
  <c r="AI7" i="11"/>
  <c r="DP7" i="11" s="1"/>
  <c r="BY16" i="11"/>
  <c r="AI16" i="11"/>
  <c r="DP16" i="11" s="1"/>
  <c r="BY20" i="11"/>
  <c r="CP20" i="11" s="1"/>
  <c r="AI20" i="11"/>
  <c r="DP20" i="11" s="1"/>
  <c r="BY29" i="11"/>
  <c r="AI29" i="11"/>
  <c r="DP29" i="11" s="1"/>
  <c r="BY38" i="11"/>
  <c r="AI38" i="11"/>
  <c r="DP38" i="11" s="1"/>
  <c r="BY47" i="11"/>
  <c r="AI47" i="11"/>
  <c r="DP47" i="11" s="1"/>
  <c r="AH13" i="11"/>
  <c r="DO13" i="11" s="1"/>
  <c r="BX13" i="11"/>
  <c r="BZ21" i="11"/>
  <c r="AJ21" i="11"/>
  <c r="DQ21" i="11" s="1"/>
  <c r="BY22" i="11"/>
  <c r="AI22" i="11"/>
  <c r="DP22" i="11" s="1"/>
  <c r="AH23" i="11"/>
  <c r="BX23" i="11"/>
  <c r="BZ34" i="11"/>
  <c r="AJ34" i="11"/>
  <c r="DQ34" i="11" s="1"/>
  <c r="BY35" i="11"/>
  <c r="CP35" i="11" s="1"/>
  <c r="AI35" i="11"/>
  <c r="DP35" i="11" s="1"/>
  <c r="BX41" i="11"/>
  <c r="AH41" i="11"/>
  <c r="DO41" i="11" s="1"/>
  <c r="AJ52" i="11"/>
  <c r="DQ52" i="11" s="1"/>
  <c r="BZ52" i="11"/>
  <c r="AI53" i="11"/>
  <c r="BY53" i="11"/>
  <c r="AH54" i="11"/>
  <c r="DO54" i="11" s="1"/>
  <c r="BX54" i="11"/>
  <c r="CA45" i="11"/>
  <c r="CR45" i="11" s="1"/>
  <c r="AK45" i="11"/>
  <c r="DR45" i="11" s="1"/>
  <c r="BZ14" i="11"/>
  <c r="AJ14" i="11"/>
  <c r="DQ14" i="11" s="1"/>
  <c r="CA32" i="11"/>
  <c r="AK32" i="11"/>
  <c r="DR32" i="11" s="1"/>
  <c r="BZ47" i="11"/>
  <c r="AJ47" i="11"/>
  <c r="DQ47" i="11" s="1"/>
  <c r="CA41" i="11"/>
  <c r="AK41" i="11"/>
  <c r="DR41" i="11" s="1"/>
  <c r="BZ13" i="11"/>
  <c r="AJ13" i="11"/>
  <c r="CA24" i="11"/>
  <c r="AK24" i="11"/>
  <c r="DR24" i="11" s="1"/>
  <c r="CA38" i="11"/>
  <c r="AK38" i="11"/>
  <c r="DR38" i="11" s="1"/>
  <c r="AH17" i="11"/>
  <c r="DO17" i="11" s="1"/>
  <c r="BX17" i="11"/>
  <c r="AJ53" i="11"/>
  <c r="DQ53" i="11" s="1"/>
  <c r="BZ53" i="11"/>
  <c r="AI55" i="11"/>
  <c r="DP55" i="11" s="1"/>
  <c r="BY55" i="11"/>
  <c r="CP55" i="11" s="1"/>
  <c r="CA54" i="11"/>
  <c r="AK54" i="11"/>
  <c r="DR54" i="11" s="1"/>
  <c r="BZ12" i="11"/>
  <c r="AJ12" i="11"/>
  <c r="CA14" i="11"/>
  <c r="AK14" i="11"/>
  <c r="DR14" i="11" s="1"/>
  <c r="BZ16" i="11"/>
  <c r="AJ16" i="11"/>
  <c r="BZ39" i="11"/>
  <c r="AJ39" i="11"/>
  <c r="DQ39" i="11" s="1"/>
  <c r="CA53" i="11"/>
  <c r="AK53" i="11"/>
  <c r="DR53" i="11" s="1"/>
  <c r="CA40" i="11"/>
  <c r="AK40" i="11"/>
  <c r="CA30" i="11"/>
  <c r="AK30" i="11"/>
  <c r="DR30" i="11" s="1"/>
  <c r="AH8" i="11"/>
  <c r="DO8" i="11" s="1"/>
  <c r="BX8" i="11"/>
  <c r="AH11" i="11"/>
  <c r="BX11" i="11"/>
  <c r="CA8" i="11"/>
  <c r="AK8" i="11"/>
  <c r="BY13" i="11"/>
  <c r="AI13" i="11"/>
  <c r="DP13" i="11" s="1"/>
  <c r="CA25" i="11"/>
  <c r="CR25" i="11" s="1"/>
  <c r="AK25" i="11"/>
  <c r="DR25" i="11" s="1"/>
  <c r="CA9" i="11"/>
  <c r="AK9" i="11"/>
  <c r="DR9" i="11" s="1"/>
  <c r="BZ20" i="11"/>
  <c r="CQ20" i="11" s="1"/>
  <c r="AJ20" i="11"/>
  <c r="DQ20" i="11" s="1"/>
  <c r="BZ29" i="11"/>
  <c r="AJ29" i="11"/>
  <c r="DQ29" i="11" s="1"/>
  <c r="BX48" i="11"/>
  <c r="AH48" i="11"/>
  <c r="DO48" i="11" s="1"/>
  <c r="AH24" i="11"/>
  <c r="DO24" i="11" s="1"/>
  <c r="BX24" i="11"/>
  <c r="AH55" i="11"/>
  <c r="DO55" i="11" s="1"/>
  <c r="BX55" i="11"/>
  <c r="CO55" i="11" s="1"/>
  <c r="BY8" i="11"/>
  <c r="AI8" i="11"/>
  <c r="BY39" i="11"/>
  <c r="AI39" i="11"/>
  <c r="DP39" i="11" s="1"/>
  <c r="BZ23" i="11"/>
  <c r="AJ23" i="11"/>
  <c r="AH25" i="11"/>
  <c r="DO25" i="11" s="1"/>
  <c r="BX25" i="11"/>
  <c r="CO25" i="11" s="1"/>
  <c r="BX43" i="11"/>
  <c r="AH43" i="11"/>
  <c r="DO43" i="11" s="1"/>
  <c r="BZ17" i="11"/>
  <c r="AJ17" i="11"/>
  <c r="BZ30" i="11"/>
  <c r="AJ30" i="11"/>
  <c r="DQ30" i="11" s="1"/>
  <c r="BZ48" i="11"/>
  <c r="AJ48" i="11"/>
  <c r="DQ48" i="11" s="1"/>
  <c r="BZ42" i="11"/>
  <c r="AJ42" i="11"/>
  <c r="BZ11" i="11"/>
  <c r="AJ11" i="11"/>
  <c r="BY18" i="11"/>
  <c r="AI18" i="11"/>
  <c r="DP18" i="11" s="1"/>
  <c r="BY40" i="11"/>
  <c r="CP40" i="11" s="1"/>
  <c r="AI40" i="11"/>
  <c r="DP40" i="11" s="1"/>
  <c r="BX32" i="11"/>
  <c r="AH32" i="11"/>
  <c r="DO32" i="11" s="1"/>
  <c r="BX45" i="11"/>
  <c r="CO45" i="11" s="1"/>
  <c r="AH45" i="11"/>
  <c r="DO45" i="11" s="1"/>
  <c r="AH6" i="11"/>
  <c r="DO6" i="11" s="1"/>
  <c r="BX6" i="11"/>
  <c r="AH10" i="11"/>
  <c r="DO10" i="11" s="1"/>
  <c r="BX10" i="11"/>
  <c r="CO10" i="11" s="1"/>
  <c r="AH19" i="11"/>
  <c r="DO19" i="11" s="1"/>
  <c r="BX19" i="11"/>
  <c r="BZ27" i="11"/>
  <c r="AJ27" i="11"/>
  <c r="AH28" i="11"/>
  <c r="DO28" i="11" s="1"/>
  <c r="BX28" i="11"/>
  <c r="BZ36" i="11"/>
  <c r="AJ36" i="11"/>
  <c r="DQ36" i="11" s="1"/>
  <c r="BX37" i="11"/>
  <c r="AH37" i="11"/>
  <c r="DO37" i="11" s="1"/>
  <c r="BZ40" i="11"/>
  <c r="AJ40" i="11"/>
  <c r="DQ40" i="11" s="1"/>
  <c r="BX46" i="11"/>
  <c r="AH46" i="11"/>
  <c r="BZ49" i="11"/>
  <c r="AJ49" i="11"/>
  <c r="DQ49" i="11" s="1"/>
  <c r="BZ31" i="11"/>
  <c r="AJ31" i="11"/>
  <c r="BY32" i="11"/>
  <c r="AI32" i="11"/>
  <c r="DP32" i="11" s="1"/>
  <c r="BX33" i="11"/>
  <c r="AH33" i="11"/>
  <c r="DO33" i="11" s="1"/>
  <c r="BZ44" i="11"/>
  <c r="AJ44" i="11"/>
  <c r="DQ44" i="11" s="1"/>
  <c r="BY45" i="11"/>
  <c r="CP45" i="11" s="1"/>
  <c r="AI45" i="11"/>
  <c r="DP45" i="11" s="1"/>
  <c r="AH51" i="11"/>
  <c r="BX51" i="11"/>
  <c r="CA49" i="11"/>
  <c r="AK49" i="11"/>
  <c r="DR49" i="11" s="1"/>
  <c r="CA6" i="11"/>
  <c r="AK6" i="11"/>
  <c r="CA37" i="11"/>
  <c r="AK37" i="11"/>
  <c r="DR37" i="11" s="1"/>
  <c r="CA16" i="11"/>
  <c r="AK16" i="11"/>
  <c r="DR16" i="11" s="1"/>
  <c r="CA23" i="11"/>
  <c r="AK23" i="11"/>
  <c r="DR23" i="11" s="1"/>
  <c r="BY15" i="11"/>
  <c r="CP15" i="11" s="1"/>
  <c r="AI15" i="11"/>
  <c r="DP15" i="11" s="1"/>
  <c r="AH26" i="11"/>
  <c r="DO26" i="11" s="1"/>
  <c r="BX26" i="11"/>
  <c r="BZ38" i="11"/>
  <c r="AJ38" i="11"/>
  <c r="BY23" i="11"/>
  <c r="AI23" i="11"/>
  <c r="DP23" i="11" s="1"/>
  <c r="BY41" i="11"/>
  <c r="AI41" i="11"/>
  <c r="DP41" i="11" s="1"/>
  <c r="BY26" i="11"/>
  <c r="AI26" i="11"/>
  <c r="DP26" i="11" s="1"/>
  <c r="AH15" i="11"/>
  <c r="DO15" i="11" s="1"/>
  <c r="BX15" i="11"/>
  <c r="CO15" i="11" s="1"/>
  <c r="BZ41" i="11"/>
  <c r="AJ41" i="11"/>
  <c r="BY11" i="11"/>
  <c r="AI11" i="11"/>
  <c r="AH18" i="11"/>
  <c r="BX18" i="11"/>
  <c r="AH36" i="11"/>
  <c r="BX36" i="11"/>
  <c r="BX49" i="11"/>
  <c r="AH49" i="11"/>
  <c r="DO49" i="11" s="1"/>
  <c r="BX31" i="11"/>
  <c r="AH31" i="11"/>
  <c r="DO31" i="11" s="1"/>
  <c r="BX44" i="11"/>
  <c r="AH44" i="11"/>
  <c r="BY27" i="11"/>
  <c r="AI27" i="11"/>
  <c r="DP27" i="11" s="1"/>
  <c r="BY49" i="11"/>
  <c r="AI49" i="11"/>
  <c r="DP49" i="11" s="1"/>
  <c r="BY31" i="11"/>
  <c r="AI31" i="11"/>
  <c r="DP31" i="11" s="1"/>
  <c r="BZ43" i="11"/>
  <c r="AJ43" i="11"/>
  <c r="DQ43" i="11" s="1"/>
  <c r="BZ9" i="11"/>
  <c r="AJ9" i="11"/>
  <c r="DQ9" i="11" s="1"/>
  <c r="BZ18" i="11"/>
  <c r="AJ18" i="11"/>
  <c r="DQ18" i="11" s="1"/>
  <c r="BY6" i="11"/>
  <c r="AI6" i="11"/>
  <c r="DP6" i="11" s="1"/>
  <c r="BY10" i="11"/>
  <c r="CP10" i="11" s="1"/>
  <c r="AI10" i="11"/>
  <c r="DP10" i="11" s="1"/>
  <c r="BY19" i="11"/>
  <c r="AI19" i="11"/>
  <c r="DP19" i="11" s="1"/>
  <c r="BY28" i="11"/>
  <c r="AI28" i="11"/>
  <c r="DP28" i="11" s="1"/>
  <c r="BY37" i="11"/>
  <c r="AI37" i="11"/>
  <c r="DP37" i="11" s="1"/>
  <c r="BY46" i="11"/>
  <c r="AI46" i="11"/>
  <c r="DP46" i="11" s="1"/>
  <c r="AH21" i="11"/>
  <c r="DO21" i="11" s="1"/>
  <c r="BX21" i="11"/>
  <c r="BZ32" i="11"/>
  <c r="AJ32" i="11"/>
  <c r="BY33" i="11"/>
  <c r="AI33" i="11"/>
  <c r="DP33" i="11" s="1"/>
  <c r="BX34" i="11"/>
  <c r="AH34" i="11"/>
  <c r="DO34" i="11" s="1"/>
  <c r="BZ45" i="11"/>
  <c r="CQ45" i="11" s="1"/>
  <c r="AJ45" i="11"/>
  <c r="DQ45" i="11" s="1"/>
  <c r="AI51" i="11"/>
  <c r="DP51" i="11" s="1"/>
  <c r="BY51" i="11"/>
  <c r="AH52" i="11"/>
  <c r="DO52" i="11" s="1"/>
  <c r="BX52" i="11"/>
  <c r="CA48" i="11"/>
  <c r="AK48" i="11"/>
  <c r="DR48" i="11" s="1"/>
  <c r="CA33" i="11"/>
  <c r="AK33" i="11"/>
  <c r="CA13" i="11"/>
  <c r="AK13" i="11"/>
  <c r="DR13" i="11" s="1"/>
  <c r="CA21" i="11"/>
  <c r="AK21" i="11"/>
  <c r="DR21" i="11" s="1"/>
  <c r="BX39" i="11"/>
  <c r="AH39" i="11"/>
  <c r="DO39" i="11" s="1"/>
  <c r="BZ22" i="11"/>
  <c r="AJ22" i="11"/>
  <c r="BX42" i="11"/>
  <c r="AH42" i="11"/>
  <c r="DO42" i="11" s="1"/>
  <c r="BY17" i="11"/>
  <c r="AI17" i="11"/>
  <c r="BY48" i="11"/>
  <c r="AI48" i="11"/>
  <c r="DP48" i="11" s="1"/>
  <c r="BY42" i="11"/>
  <c r="AI42" i="11"/>
  <c r="AH9" i="11"/>
  <c r="BX9" i="11"/>
  <c r="BZ26" i="11"/>
  <c r="AJ26" i="11"/>
  <c r="DQ26" i="11" s="1"/>
  <c r="BX40" i="11"/>
  <c r="CO40" i="11" s="1"/>
  <c r="AH40" i="11"/>
  <c r="DO40" i="11" s="1"/>
  <c r="BY25" i="11"/>
  <c r="CP25" i="11" s="1"/>
  <c r="AI25" i="11"/>
  <c r="DP25" i="11" s="1"/>
  <c r="AJ55" i="11"/>
  <c r="DQ55" i="11" s="1"/>
  <c r="BZ55" i="11"/>
  <c r="CQ55" i="11" s="1"/>
  <c r="BY9" i="11"/>
  <c r="AI9" i="11"/>
  <c r="BY36" i="11"/>
  <c r="AI36" i="11"/>
  <c r="DP36" i="11" s="1"/>
  <c r="BZ25" i="11"/>
  <c r="CQ25" i="11" s="1"/>
  <c r="AJ25" i="11"/>
  <c r="DQ25" i="11" s="1"/>
  <c r="BY44" i="11"/>
  <c r="AI44" i="11"/>
  <c r="DP44" i="11" s="1"/>
  <c r="BZ6" i="11"/>
  <c r="AJ6" i="11"/>
  <c r="DQ6" i="11" s="1"/>
  <c r="AH7" i="11"/>
  <c r="BX7" i="11"/>
  <c r="BZ10" i="11"/>
  <c r="AJ10" i="11"/>
  <c r="DQ10" i="11" s="1"/>
  <c r="AH16" i="11"/>
  <c r="BX16" i="11"/>
  <c r="BZ19" i="11"/>
  <c r="AJ19" i="11"/>
  <c r="DQ19" i="11" s="1"/>
  <c r="AH20" i="11"/>
  <c r="DO20" i="11" s="1"/>
  <c r="BX20" i="11"/>
  <c r="CO20" i="11" s="1"/>
  <c r="BZ28" i="11"/>
  <c r="AJ28" i="11"/>
  <c r="BX29" i="11"/>
  <c r="AH29" i="11"/>
  <c r="BZ37" i="11"/>
  <c r="AJ37" i="11"/>
  <c r="DQ37" i="11" s="1"/>
  <c r="BX38" i="11"/>
  <c r="AH38" i="11"/>
  <c r="DO38" i="11" s="1"/>
  <c r="BZ46" i="11"/>
  <c r="AJ46" i="11"/>
  <c r="DQ46" i="11" s="1"/>
  <c r="BX47" i="11"/>
  <c r="AH47" i="11"/>
  <c r="DO47" i="11" s="1"/>
  <c r="AH12" i="11"/>
  <c r="DO12" i="11" s="1"/>
  <c r="BX12" i="11"/>
  <c r="BY21" i="11"/>
  <c r="AI21" i="11"/>
  <c r="DP21" i="11" s="1"/>
  <c r="AH22" i="11"/>
  <c r="BX22" i="11"/>
  <c r="BZ33" i="11"/>
  <c r="AJ33" i="11"/>
  <c r="BY34" i="11"/>
  <c r="AI34" i="11"/>
  <c r="BX35" i="11"/>
  <c r="CO35" i="11" s="1"/>
  <c r="AH35" i="11"/>
  <c r="DO35" i="11" s="1"/>
  <c r="AJ51" i="11"/>
  <c r="BZ51" i="11"/>
  <c r="AI52" i="11"/>
  <c r="BY52" i="11"/>
  <c r="AH53" i="11"/>
  <c r="DO53" i="11" s="1"/>
  <c r="BX53" i="11"/>
  <c r="CA46" i="11"/>
  <c r="AK46" i="11"/>
  <c r="DR46" i="11" s="1"/>
  <c r="BZ15" i="11"/>
  <c r="CQ15" i="11" s="1"/>
  <c r="AJ15" i="11"/>
  <c r="DQ15" i="11" s="1"/>
  <c r="BY12" i="11"/>
  <c r="AI12" i="11"/>
  <c r="DP12" i="11" s="1"/>
  <c r="BT9" i="11"/>
  <c r="AD9" i="11"/>
  <c r="BT27" i="11"/>
  <c r="AD27" i="11"/>
  <c r="DK27" i="11" s="1"/>
  <c r="AG48" i="11"/>
  <c r="DN48" i="11" s="1"/>
  <c r="BW48" i="11"/>
  <c r="AF43" i="11"/>
  <c r="DM43" i="11" s="1"/>
  <c r="BV43" i="11"/>
  <c r="BV27" i="11"/>
  <c r="AF27" i="11"/>
  <c r="DM27" i="11" s="1"/>
  <c r="AF49" i="11"/>
  <c r="DM49" i="11" s="1"/>
  <c r="BV49" i="11"/>
  <c r="BV44" i="11"/>
  <c r="AF44" i="11"/>
  <c r="AD10" i="11"/>
  <c r="DK10" i="11" s="1"/>
  <c r="BT10" i="11"/>
  <c r="CK10" i="11" s="1"/>
  <c r="AD28" i="11"/>
  <c r="DK28" i="11" s="1"/>
  <c r="BT28" i="11"/>
  <c r="AG40" i="11"/>
  <c r="DN40" i="11" s="1"/>
  <c r="BW40" i="11"/>
  <c r="CN40" i="11" s="1"/>
  <c r="BT33" i="11"/>
  <c r="AD33" i="11"/>
  <c r="AE23" i="11"/>
  <c r="DL23" i="11" s="1"/>
  <c r="BU23" i="11"/>
  <c r="AF10" i="11"/>
  <c r="DM10" i="11" s="1"/>
  <c r="BV10" i="11"/>
  <c r="CM10" i="11" s="1"/>
  <c r="AF37" i="11"/>
  <c r="DM37" i="11" s="1"/>
  <c r="BV37" i="11"/>
  <c r="AG12" i="11"/>
  <c r="DN12" i="11" s="1"/>
  <c r="BW12" i="11"/>
  <c r="AG45" i="11"/>
  <c r="DN45" i="11" s="1"/>
  <c r="BW45" i="11"/>
  <c r="CN45" i="11" s="1"/>
  <c r="BU33" i="11"/>
  <c r="AE33" i="11"/>
  <c r="DL33" i="11" s="1"/>
  <c r="AF7" i="11"/>
  <c r="DM7" i="11" s="1"/>
  <c r="BV7" i="11"/>
  <c r="AF8" i="11"/>
  <c r="DM8" i="11" s="1"/>
  <c r="BV8" i="11"/>
  <c r="AF26" i="11"/>
  <c r="BV26" i="11"/>
  <c r="AF30" i="11"/>
  <c r="DM30" i="11" s="1"/>
  <c r="BV30" i="11"/>
  <c r="CM30" i="11" s="1"/>
  <c r="BV39" i="11"/>
  <c r="AF39" i="11"/>
  <c r="DM39" i="11" s="1"/>
  <c r="AF48" i="11"/>
  <c r="DM48" i="11" s="1"/>
  <c r="BV48" i="11"/>
  <c r="AF12" i="11"/>
  <c r="DM12" i="11" s="1"/>
  <c r="BV12" i="11"/>
  <c r="AG23" i="11"/>
  <c r="BW23" i="11"/>
  <c r="AF24" i="11"/>
  <c r="BV24" i="11"/>
  <c r="AD25" i="11"/>
  <c r="DK25" i="11" s="1"/>
  <c r="BT25" i="11"/>
  <c r="CK25" i="11" s="1"/>
  <c r="AG41" i="11"/>
  <c r="DN41" i="11" s="1"/>
  <c r="BW41" i="11"/>
  <c r="AF42" i="11"/>
  <c r="DM42" i="11" s="1"/>
  <c r="BV42" i="11"/>
  <c r="BT43" i="11"/>
  <c r="AD43" i="11"/>
  <c r="DK43" i="11" s="1"/>
  <c r="BW54" i="11"/>
  <c r="AG54" i="11"/>
  <c r="BV55" i="11"/>
  <c r="CM55" i="11" s="1"/>
  <c r="AF55" i="11"/>
  <c r="DM55" i="11" s="1"/>
  <c r="BV11" i="11"/>
  <c r="AF11" i="11"/>
  <c r="BU16" i="11"/>
  <c r="AE16" i="11"/>
  <c r="DL16" i="11" s="1"/>
  <c r="BU41" i="11"/>
  <c r="AE41" i="11"/>
  <c r="DL41" i="11" s="1"/>
  <c r="AE17" i="11"/>
  <c r="DL17" i="11" s="1"/>
  <c r="BU17" i="11"/>
  <c r="BU48" i="11"/>
  <c r="AE48" i="11"/>
  <c r="AE26" i="11"/>
  <c r="BU26" i="11"/>
  <c r="AE21" i="11"/>
  <c r="DL21" i="11" s="1"/>
  <c r="BU21" i="11"/>
  <c r="AF25" i="11"/>
  <c r="DM25" i="11" s="1"/>
  <c r="BV25" i="11"/>
  <c r="CM25" i="11" s="1"/>
  <c r="BU11" i="11"/>
  <c r="AE11" i="11"/>
  <c r="DL11" i="11" s="1"/>
  <c r="AE39" i="11"/>
  <c r="BU39" i="11"/>
  <c r="BU12" i="11"/>
  <c r="AE12" i="11"/>
  <c r="DL12" i="11" s="1"/>
  <c r="BU44" i="11"/>
  <c r="AE44" i="11"/>
  <c r="DL44" i="11" s="1"/>
  <c r="AE18" i="11"/>
  <c r="BU18" i="11"/>
  <c r="BU6" i="11"/>
  <c r="AE6" i="11"/>
  <c r="DL6" i="11" s="1"/>
  <c r="AF13" i="11"/>
  <c r="BV13" i="11"/>
  <c r="AE47" i="11"/>
  <c r="BU47" i="11"/>
  <c r="AE30" i="11"/>
  <c r="DL30" i="11" s="1"/>
  <c r="BU30" i="11"/>
  <c r="CL30" i="11" s="1"/>
  <c r="AE7" i="11"/>
  <c r="DL7" i="11" s="1"/>
  <c r="BU7" i="11"/>
  <c r="AE31" i="11"/>
  <c r="BU31" i="11"/>
  <c r="AE13" i="11"/>
  <c r="DL13" i="11" s="1"/>
  <c r="BU13" i="11"/>
  <c r="AE54" i="11"/>
  <c r="DL54" i="11" s="1"/>
  <c r="BU54" i="11"/>
  <c r="AG30" i="11"/>
  <c r="DN30" i="11" s="1"/>
  <c r="BW30" i="11"/>
  <c r="CN30" i="11" s="1"/>
  <c r="BV32" i="11"/>
  <c r="AF32" i="11"/>
  <c r="DM32" i="11" s="1"/>
  <c r="AE45" i="11"/>
  <c r="DL45" i="11" s="1"/>
  <c r="BU45" i="11"/>
  <c r="CL45" i="11" s="1"/>
  <c r="BU49" i="11"/>
  <c r="AE49" i="11"/>
  <c r="AG8" i="11"/>
  <c r="DN8" i="11" s="1"/>
  <c r="BW8" i="11"/>
  <c r="BW26" i="11"/>
  <c r="AG26" i="11"/>
  <c r="DN26" i="11" s="1"/>
  <c r="BT40" i="11"/>
  <c r="CK40" i="11" s="1"/>
  <c r="AD40" i="11"/>
  <c r="DK40" i="11" s="1"/>
  <c r="AD31" i="11"/>
  <c r="BT31" i="11"/>
  <c r="BW55" i="11"/>
  <c r="CN55" i="11" s="1"/>
  <c r="AG55" i="11"/>
  <c r="DN55" i="11" s="1"/>
  <c r="BV36" i="11"/>
  <c r="AF36" i="11"/>
  <c r="DM36" i="11" s="1"/>
  <c r="AG25" i="11"/>
  <c r="DN25" i="11" s="1"/>
  <c r="BW25" i="11"/>
  <c r="CN25" i="11" s="1"/>
  <c r="BT45" i="11"/>
  <c r="CK45" i="11" s="1"/>
  <c r="AD45" i="11"/>
  <c r="DK45" i="11" s="1"/>
  <c r="BW9" i="11"/>
  <c r="AG9" i="11"/>
  <c r="DN9" i="11" s="1"/>
  <c r="AG27" i="11"/>
  <c r="DN27" i="11" s="1"/>
  <c r="BW27" i="11"/>
  <c r="BT46" i="11"/>
  <c r="AD46" i="11"/>
  <c r="AF15" i="11"/>
  <c r="DM15" i="11" s="1"/>
  <c r="BV15" i="11"/>
  <c r="CM15" i="11" s="1"/>
  <c r="AD51" i="11"/>
  <c r="DK51" i="11" s="1"/>
  <c r="BT51" i="11"/>
  <c r="AE51" i="11"/>
  <c r="DL51" i="11" s="1"/>
  <c r="BU51" i="11"/>
  <c r="BU8" i="11"/>
  <c r="AE8" i="11"/>
  <c r="AG32" i="11"/>
  <c r="BW32" i="11"/>
  <c r="AD52" i="11"/>
  <c r="DK52" i="11" s="1"/>
  <c r="BT52" i="11"/>
  <c r="BU27" i="11"/>
  <c r="AE27" i="11"/>
  <c r="DL27" i="11" s="1"/>
  <c r="AE55" i="11"/>
  <c r="DL55" i="11" s="1"/>
  <c r="BU55" i="11"/>
  <c r="CL55" i="11" s="1"/>
  <c r="AD7" i="11"/>
  <c r="BT7" i="11"/>
  <c r="AG10" i="11"/>
  <c r="DN10" i="11" s="1"/>
  <c r="BW10" i="11"/>
  <c r="CN10" i="11" s="1"/>
  <c r="BT16" i="11"/>
  <c r="AD16" i="11"/>
  <c r="AG19" i="11"/>
  <c r="BW19" i="11"/>
  <c r="AD20" i="11"/>
  <c r="DK20" i="11" s="1"/>
  <c r="BT20" i="11"/>
  <c r="CK20" i="11" s="1"/>
  <c r="AG28" i="11"/>
  <c r="BW28" i="11"/>
  <c r="BT29" i="11"/>
  <c r="AD29" i="11"/>
  <c r="DK29" i="11" s="1"/>
  <c r="AG37" i="11"/>
  <c r="DN37" i="11" s="1"/>
  <c r="BW37" i="11"/>
  <c r="BT38" i="11"/>
  <c r="AD38" i="11"/>
  <c r="DK38" i="11" s="1"/>
  <c r="AG46" i="11"/>
  <c r="DN46" i="11" s="1"/>
  <c r="BW46" i="11"/>
  <c r="AD47" i="11"/>
  <c r="DK47" i="11" s="1"/>
  <c r="BT47" i="11"/>
  <c r="BT13" i="11"/>
  <c r="AD13" i="11"/>
  <c r="DK13" i="11" s="1"/>
  <c r="AG13" i="11"/>
  <c r="DN13" i="11" s="1"/>
  <c r="BW13" i="11"/>
  <c r="AF21" i="11"/>
  <c r="DM21" i="11" s="1"/>
  <c r="BV21" i="11"/>
  <c r="AD22" i="11"/>
  <c r="DK22" i="11" s="1"/>
  <c r="BT22" i="11"/>
  <c r="AG33" i="11"/>
  <c r="BW33" i="11"/>
  <c r="AF34" i="11"/>
  <c r="BV34" i="11"/>
  <c r="BT35" i="11"/>
  <c r="CK35" i="11" s="1"/>
  <c r="AD35" i="11"/>
  <c r="DK35" i="11" s="1"/>
  <c r="AG51" i="11"/>
  <c r="DN51" i="11" s="1"/>
  <c r="BW51" i="11"/>
  <c r="BV52" i="11"/>
  <c r="AF52" i="11"/>
  <c r="AD53" i="11"/>
  <c r="DK53" i="11" s="1"/>
  <c r="BT53" i="11"/>
  <c r="AE34" i="11"/>
  <c r="DL34" i="11" s="1"/>
  <c r="BU34" i="11"/>
  <c r="BU19" i="11"/>
  <c r="AE19" i="11"/>
  <c r="DL19" i="11" s="1"/>
  <c r="AE37" i="11"/>
  <c r="BU37" i="11"/>
  <c r="BU28" i="11"/>
  <c r="AE28" i="11"/>
  <c r="DL28" i="11" s="1"/>
  <c r="AE42" i="11"/>
  <c r="DL42" i="11" s="1"/>
  <c r="BU42" i="11"/>
  <c r="AE53" i="11"/>
  <c r="DL53" i="11" s="1"/>
  <c r="BU53" i="11"/>
  <c r="AD18" i="11"/>
  <c r="DK18" i="11" s="1"/>
  <c r="BT18" i="11"/>
  <c r="BW39" i="11"/>
  <c r="AG39" i="11"/>
  <c r="DN39" i="11" s="1"/>
  <c r="AG24" i="11"/>
  <c r="DN24" i="11" s="1"/>
  <c r="BW24" i="11"/>
  <c r="AD44" i="11"/>
  <c r="DK44" i="11" s="1"/>
  <c r="BT44" i="11"/>
  <c r="AF40" i="11"/>
  <c r="DM40" i="11" s="1"/>
  <c r="BV40" i="11"/>
  <c r="CM40" i="11" s="1"/>
  <c r="BV14" i="11"/>
  <c r="AF14" i="11"/>
  <c r="DM14" i="11" s="1"/>
  <c r="AG43" i="11"/>
  <c r="BW43" i="11"/>
  <c r="AG18" i="11"/>
  <c r="DN18" i="11" s="1"/>
  <c r="BW18" i="11"/>
  <c r="AG36" i="11"/>
  <c r="DN36" i="11" s="1"/>
  <c r="BW36" i="11"/>
  <c r="AG49" i="11"/>
  <c r="BW49" i="11"/>
  <c r="AG31" i="11"/>
  <c r="DN31" i="11" s="1"/>
  <c r="BW31" i="11"/>
  <c r="AF45" i="11"/>
  <c r="DM45" i="11" s="1"/>
  <c r="BV45" i="11"/>
  <c r="CM45" i="11" s="1"/>
  <c r="BU22" i="11"/>
  <c r="AE22" i="11"/>
  <c r="DL22" i="11" s="1"/>
  <c r="BV6" i="11"/>
  <c r="AF6" i="11"/>
  <c r="DM6" i="11" s="1"/>
  <c r="AF28" i="11"/>
  <c r="DM28" i="11" s="1"/>
  <c r="BV28" i="11"/>
  <c r="BT21" i="11"/>
  <c r="AD21" i="11"/>
  <c r="AD34" i="11"/>
  <c r="DK34" i="11" s="1"/>
  <c r="BT34" i="11"/>
  <c r="AE10" i="11"/>
  <c r="DL10" i="11" s="1"/>
  <c r="BU10" i="11"/>
  <c r="CL10" i="11" s="1"/>
  <c r="AE46" i="11"/>
  <c r="DL46" i="11" s="1"/>
  <c r="BU46" i="11"/>
  <c r="BW6" i="11"/>
  <c r="AG6" i="11"/>
  <c r="DN6" i="11" s="1"/>
  <c r="AF29" i="11"/>
  <c r="DM29" i="11" s="1"/>
  <c r="BV29" i="11"/>
  <c r="AF38" i="11"/>
  <c r="DM38" i="11" s="1"/>
  <c r="BV38" i="11"/>
  <c r="BV47" i="11"/>
  <c r="AF47" i="11"/>
  <c r="AD14" i="11"/>
  <c r="BT14" i="11"/>
  <c r="BW14" i="11"/>
  <c r="AG14" i="11"/>
  <c r="AG21" i="11"/>
  <c r="DN21" i="11" s="1"/>
  <c r="BW21" i="11"/>
  <c r="BV22" i="11"/>
  <c r="AF22" i="11"/>
  <c r="DM22" i="11" s="1"/>
  <c r="AD23" i="11"/>
  <c r="DK23" i="11" s="1"/>
  <c r="BT23" i="11"/>
  <c r="BW34" i="11"/>
  <c r="AG34" i="11"/>
  <c r="DN34" i="11" s="1"/>
  <c r="BV35" i="11"/>
  <c r="CM35" i="11" s="1"/>
  <c r="AF35" i="11"/>
  <c r="DM35" i="11" s="1"/>
  <c r="BT41" i="11"/>
  <c r="AD41" i="11"/>
  <c r="DK41" i="11" s="1"/>
  <c r="BW52" i="11"/>
  <c r="AG52" i="11"/>
  <c r="DN52" i="11" s="1"/>
  <c r="AF53" i="11"/>
  <c r="DM53" i="11" s="1"/>
  <c r="BV53" i="11"/>
  <c r="BT54" i="11"/>
  <c r="AD54" i="11"/>
  <c r="DK54" i="11" s="1"/>
  <c r="AE32" i="11"/>
  <c r="DL32" i="11" s="1"/>
  <c r="BU32" i="11"/>
  <c r="BU14" i="11"/>
  <c r="AE14" i="11"/>
  <c r="DL14" i="11" s="1"/>
  <c r="BU35" i="11"/>
  <c r="CL35" i="11" s="1"/>
  <c r="AE35" i="11"/>
  <c r="DL35" i="11" s="1"/>
  <c r="AE20" i="11"/>
  <c r="DL20" i="11" s="1"/>
  <c r="BU20" i="11"/>
  <c r="CL20" i="11" s="1"/>
  <c r="BU40" i="11"/>
  <c r="CL40" i="11" s="1"/>
  <c r="AE40" i="11"/>
  <c r="DL40" i="11" s="1"/>
  <c r="BU38" i="11"/>
  <c r="AE38" i="11"/>
  <c r="DL38" i="11" s="1"/>
  <c r="AG17" i="11"/>
  <c r="BW17" i="11"/>
  <c r="AD36" i="11"/>
  <c r="BT36" i="11"/>
  <c r="BT49" i="11"/>
  <c r="AD49" i="11"/>
  <c r="DK49" i="11" s="1"/>
  <c r="BW42" i="11"/>
  <c r="AG42" i="11"/>
  <c r="AG11" i="11"/>
  <c r="DN11" i="11" s="1"/>
  <c r="BW11" i="11"/>
  <c r="BV9" i="11"/>
  <c r="AF9" i="11"/>
  <c r="DM9" i="11" s="1"/>
  <c r="BV31" i="11"/>
  <c r="AF31" i="11"/>
  <c r="DM31" i="11" s="1"/>
  <c r="AD32" i="11"/>
  <c r="DK32" i="11" s="1"/>
  <c r="BT32" i="11"/>
  <c r="BT19" i="11"/>
  <c r="AD19" i="11"/>
  <c r="DK19" i="11" s="1"/>
  <c r="AD37" i="11"/>
  <c r="BT37" i="11"/>
  <c r="BT11" i="11"/>
  <c r="AD11" i="11"/>
  <c r="DK11" i="11" s="1"/>
  <c r="AG44" i="11"/>
  <c r="DN44" i="11" s="1"/>
  <c r="BW44" i="11"/>
  <c r="AE50" i="11"/>
  <c r="DW50" i="11" s="1"/>
  <c r="BU50" i="11"/>
  <c r="CZ50" i="11" s="1"/>
  <c r="BV19" i="11"/>
  <c r="AF19" i="11"/>
  <c r="AF46" i="11"/>
  <c r="DM46" i="11" s="1"/>
  <c r="BV46" i="11"/>
  <c r="AD12" i="11"/>
  <c r="BT12" i="11"/>
  <c r="AF33" i="11"/>
  <c r="DM33" i="11" s="1"/>
  <c r="BV33" i="11"/>
  <c r="AF51" i="11"/>
  <c r="DM51" i="11" s="1"/>
  <c r="BV51" i="11"/>
  <c r="BU9" i="11"/>
  <c r="AE9" i="11"/>
  <c r="DL9" i="11" s="1"/>
  <c r="AF16" i="11"/>
  <c r="DM16" i="11" s="1"/>
  <c r="BV16" i="11"/>
  <c r="AF20" i="11"/>
  <c r="DM20" i="11" s="1"/>
  <c r="BV20" i="11"/>
  <c r="CM20" i="11" s="1"/>
  <c r="AG7" i="11"/>
  <c r="DN7" i="11" s="1"/>
  <c r="BW7" i="11"/>
  <c r="BT8" i="11"/>
  <c r="AD8" i="11"/>
  <c r="DK8" i="11" s="1"/>
  <c r="AG16" i="11"/>
  <c r="DN16" i="11" s="1"/>
  <c r="BW16" i="11"/>
  <c r="AD17" i="11"/>
  <c r="BT17" i="11"/>
  <c r="AG20" i="11"/>
  <c r="DN20" i="11" s="1"/>
  <c r="BW20" i="11"/>
  <c r="CN20" i="11" s="1"/>
  <c r="AD26" i="11"/>
  <c r="DK26" i="11" s="1"/>
  <c r="BT26" i="11"/>
  <c r="AG29" i="11"/>
  <c r="DN29" i="11" s="1"/>
  <c r="BW29" i="11"/>
  <c r="AD30" i="11"/>
  <c r="DK30" i="11" s="1"/>
  <c r="BT30" i="11"/>
  <c r="CK30" i="11" s="1"/>
  <c r="AG38" i="11"/>
  <c r="BW38" i="11"/>
  <c r="AD39" i="11"/>
  <c r="DK39" i="11" s="1"/>
  <c r="BT39" i="11"/>
  <c r="BW47" i="11"/>
  <c r="AG47" i="11"/>
  <c r="DN47" i="11" s="1"/>
  <c r="BT48" i="11"/>
  <c r="AD48" i="11"/>
  <c r="DK48" i="11" s="1"/>
  <c r="AD15" i="11"/>
  <c r="DK15" i="11" s="1"/>
  <c r="BT15" i="11"/>
  <c r="CK15" i="11" s="1"/>
  <c r="AG15" i="11"/>
  <c r="DN15" i="11" s="1"/>
  <c r="BW15" i="11"/>
  <c r="CN15" i="11" s="1"/>
  <c r="BW22" i="11"/>
  <c r="AG22" i="11"/>
  <c r="DN22" i="11" s="1"/>
  <c r="AF23" i="11"/>
  <c r="DM23" i="11" s="1"/>
  <c r="BV23" i="11"/>
  <c r="BT24" i="11"/>
  <c r="AD24" i="11"/>
  <c r="DK24" i="11" s="1"/>
  <c r="AG35" i="11"/>
  <c r="DN35" i="11" s="1"/>
  <c r="BW35" i="11"/>
  <c r="CN35" i="11" s="1"/>
  <c r="AF41" i="11"/>
  <c r="BV41" i="11"/>
  <c r="AD42" i="11"/>
  <c r="DK42" i="11" s="1"/>
  <c r="BT42" i="11"/>
  <c r="AG53" i="11"/>
  <c r="DN53" i="11" s="1"/>
  <c r="BW53" i="11"/>
  <c r="AF54" i="11"/>
  <c r="DM54" i="11" s="1"/>
  <c r="BV54" i="11"/>
  <c r="BU24" i="11"/>
  <c r="AE24" i="11"/>
  <c r="DL24" i="11" s="1"/>
  <c r="BU43" i="11"/>
  <c r="AE43" i="11"/>
  <c r="AE25" i="11"/>
  <c r="DL25" i="11" s="1"/>
  <c r="BU25" i="11"/>
  <c r="CL25" i="11" s="1"/>
  <c r="AE15" i="11"/>
  <c r="DL15" i="11" s="1"/>
  <c r="BU15" i="11"/>
  <c r="CL15" i="11" s="1"/>
  <c r="BU36" i="11"/>
  <c r="AE36" i="11"/>
  <c r="DL36" i="11" s="1"/>
  <c r="AE29" i="11"/>
  <c r="DL29" i="11" s="1"/>
  <c r="BU29" i="11"/>
  <c r="BU52" i="11"/>
  <c r="AE52" i="11"/>
  <c r="DL52" i="11" s="1"/>
  <c r="P78" i="11"/>
  <c r="J258" i="11" s="1"/>
  <c r="BA18" i="11"/>
  <c r="J84" i="11"/>
  <c r="AX24" i="11"/>
  <c r="J85" i="11"/>
  <c r="AX25" i="11"/>
  <c r="J73" i="11"/>
  <c r="AX13" i="11"/>
  <c r="J69" i="11"/>
  <c r="AX9" i="11"/>
  <c r="P77" i="11"/>
  <c r="J257" i="11" s="1"/>
  <c r="BA17" i="11"/>
  <c r="J78" i="11"/>
  <c r="AX18" i="11"/>
  <c r="J87" i="11"/>
  <c r="AX27" i="11"/>
  <c r="J96" i="11"/>
  <c r="AX36" i="11"/>
  <c r="J100" i="11"/>
  <c r="AX40" i="11"/>
  <c r="J109" i="11"/>
  <c r="AX49" i="11"/>
  <c r="J82" i="11"/>
  <c r="AX22" i="11"/>
  <c r="J95" i="11"/>
  <c r="AX35" i="11"/>
  <c r="J113" i="11"/>
  <c r="AX53" i="11"/>
  <c r="J101" i="11"/>
  <c r="AX41" i="11"/>
  <c r="J115" i="11"/>
  <c r="AX55" i="11"/>
  <c r="J83" i="11"/>
  <c r="AX23" i="11"/>
  <c r="J66" i="11"/>
  <c r="AX6" i="11"/>
  <c r="J70" i="11"/>
  <c r="AX10" i="11"/>
  <c r="J88" i="11"/>
  <c r="AX28" i="11"/>
  <c r="L66" i="11"/>
  <c r="J126" i="11" s="1"/>
  <c r="AY6" i="11"/>
  <c r="J74" i="11"/>
  <c r="AX14" i="11"/>
  <c r="J92" i="11"/>
  <c r="AX32" i="11"/>
  <c r="J104" i="11"/>
  <c r="AX44" i="11"/>
  <c r="J114" i="11"/>
  <c r="AX54" i="11"/>
  <c r="J97" i="11"/>
  <c r="AX37" i="11"/>
  <c r="J111" i="11"/>
  <c r="AX51" i="11"/>
  <c r="J72" i="11"/>
  <c r="AX12" i="11"/>
  <c r="J102" i="11"/>
  <c r="AX42" i="11"/>
  <c r="J89" i="11"/>
  <c r="AX29" i="11"/>
  <c r="J98" i="11"/>
  <c r="AX38" i="11"/>
  <c r="J107" i="11"/>
  <c r="AX47" i="11"/>
  <c r="J103" i="11"/>
  <c r="AX43" i="11"/>
  <c r="J68" i="11"/>
  <c r="AX8" i="11"/>
  <c r="J77" i="11"/>
  <c r="AX17" i="11"/>
  <c r="J86" i="11"/>
  <c r="AX26" i="11"/>
  <c r="J90" i="11"/>
  <c r="AX30" i="11"/>
  <c r="J99" i="11"/>
  <c r="AX39" i="11"/>
  <c r="J108" i="11"/>
  <c r="AX48" i="11"/>
  <c r="J75" i="11"/>
  <c r="AX15" i="11"/>
  <c r="J93" i="11"/>
  <c r="AX33" i="11"/>
  <c r="J105" i="11"/>
  <c r="AX45" i="11"/>
  <c r="J79" i="11"/>
  <c r="AX19" i="11"/>
  <c r="J106" i="11"/>
  <c r="AX46" i="11"/>
  <c r="J71" i="11"/>
  <c r="AX11" i="11"/>
  <c r="J67" i="11"/>
  <c r="AX7" i="11"/>
  <c r="J76" i="11"/>
  <c r="AX16" i="11"/>
  <c r="J80" i="11"/>
  <c r="AX20" i="11"/>
  <c r="J91" i="11"/>
  <c r="AX31" i="11"/>
  <c r="J81" i="11"/>
  <c r="AX21" i="11"/>
  <c r="J94" i="11"/>
  <c r="AX34" i="11"/>
  <c r="J112" i="11"/>
  <c r="AX52" i="11"/>
  <c r="L115" i="11"/>
  <c r="J175" i="11" s="1"/>
  <c r="AY55" i="11"/>
  <c r="D835" i="11"/>
  <c r="B835" i="11" s="1"/>
  <c r="D822" i="11"/>
  <c r="B822" i="11" s="1"/>
  <c r="D815" i="11"/>
  <c r="B815" i="11" s="1"/>
  <c r="D766" i="11"/>
  <c r="B766" i="11" s="1"/>
  <c r="A802" i="11"/>
  <c r="D788" i="11"/>
  <c r="B788" i="11" s="1"/>
  <c r="A816" i="11"/>
  <c r="A795" i="11"/>
  <c r="A828" i="11"/>
  <c r="A787" i="11"/>
  <c r="D811" i="11"/>
  <c r="B811" i="11" s="1"/>
  <c r="D832" i="11"/>
  <c r="B832" i="11" s="1"/>
  <c r="D823" i="11"/>
  <c r="B823" i="11" s="1"/>
  <c r="A791" i="11"/>
  <c r="A758" i="11"/>
  <c r="D730" i="11"/>
  <c r="B730" i="11" s="1"/>
  <c r="A814" i="11"/>
  <c r="A741" i="11"/>
  <c r="A806" i="11"/>
  <c r="D808" i="11"/>
  <c r="B808" i="11" s="1"/>
  <c r="D790" i="11"/>
  <c r="B790" i="11" s="1"/>
  <c r="D825" i="11"/>
  <c r="B825" i="11" s="1"/>
  <c r="A825" i="11"/>
  <c r="A826" i="11"/>
  <c r="A804" i="11"/>
  <c r="A833" i="11"/>
  <c r="A801" i="11"/>
  <c r="D810" i="11"/>
  <c r="B810" i="11" s="1"/>
  <c r="D799" i="11"/>
  <c r="B799" i="11" s="1"/>
  <c r="A821" i="11"/>
  <c r="A789" i="11"/>
  <c r="D805" i="11"/>
  <c r="B805" i="11" s="1"/>
  <c r="A805" i="11"/>
  <c r="A812" i="11"/>
  <c r="D819" i="11"/>
  <c r="B819" i="11" s="1"/>
  <c r="A792" i="11"/>
  <c r="A824" i="11"/>
  <c r="A800" i="11"/>
  <c r="D817" i="11"/>
  <c r="B817" i="11" s="1"/>
  <c r="A817" i="11"/>
  <c r="D809" i="11"/>
  <c r="B809" i="11" s="1"/>
  <c r="A809" i="11"/>
  <c r="D745" i="11"/>
  <c r="B745" i="11" s="1"/>
  <c r="A745" i="11"/>
  <c r="D797" i="11"/>
  <c r="B797" i="11" s="1"/>
  <c r="A797" i="11"/>
  <c r="A742" i="11"/>
  <c r="A798" i="11"/>
  <c r="D793" i="11"/>
  <c r="B793" i="11" s="1"/>
  <c r="A793" i="11"/>
  <c r="D831" i="11"/>
  <c r="B831" i="11" s="1"/>
  <c r="A820" i="11"/>
  <c r="A796" i="11"/>
  <c r="D803" i="11"/>
  <c r="B803" i="11" s="1"/>
  <c r="D807" i="11"/>
  <c r="B807" i="11" s="1"/>
  <c r="D827" i="11"/>
  <c r="B827" i="11" s="1"/>
  <c r="D813" i="11"/>
  <c r="B813" i="11" s="1"/>
  <c r="A813" i="11"/>
  <c r="D829" i="11"/>
  <c r="B829" i="11" s="1"/>
  <c r="A829" i="11"/>
  <c r="A830" i="11"/>
  <c r="A554" i="11"/>
  <c r="D672" i="11"/>
  <c r="B672" i="11" s="1"/>
  <c r="D555" i="11"/>
  <c r="B555" i="11" s="1"/>
  <c r="A492" i="11"/>
  <c r="D493" i="11"/>
  <c r="B493" i="11" s="1"/>
  <c r="A493" i="11"/>
  <c r="D615" i="11"/>
  <c r="B615" i="11" s="1"/>
  <c r="A615" i="11"/>
  <c r="D673" i="11"/>
  <c r="B673" i="11" s="1"/>
  <c r="A673" i="11"/>
  <c r="D552" i="11"/>
  <c r="B552" i="11" s="1"/>
  <c r="A552" i="11"/>
  <c r="D495" i="11"/>
  <c r="B495" i="11" s="1"/>
  <c r="A495" i="11"/>
  <c r="D434" i="11"/>
  <c r="B434" i="11" s="1"/>
  <c r="A434" i="11"/>
  <c r="D612" i="11"/>
  <c r="B612" i="11" s="1"/>
  <c r="A612" i="11"/>
  <c r="O66" i="11"/>
  <c r="I246" i="11" s="1"/>
  <c r="C246" i="11" s="1"/>
  <c r="P66" i="11"/>
  <c r="O70" i="11"/>
  <c r="P70" i="11"/>
  <c r="J250" i="11" s="1"/>
  <c r="AI80" i="11"/>
  <c r="J620" i="11" s="1"/>
  <c r="AH80" i="11"/>
  <c r="I620" i="11" s="1"/>
  <c r="C620" i="11" s="1"/>
  <c r="AI89" i="11"/>
  <c r="J629" i="11" s="1"/>
  <c r="AH89" i="11"/>
  <c r="I629" i="11" s="1"/>
  <c r="C629" i="11" s="1"/>
  <c r="O106" i="11"/>
  <c r="P106" i="11"/>
  <c r="J286" i="11" s="1"/>
  <c r="AA69" i="11"/>
  <c r="J429" i="11" s="1"/>
  <c r="Z69" i="11"/>
  <c r="I429" i="11" s="1"/>
  <c r="C429" i="11" s="1"/>
  <c r="R79" i="11"/>
  <c r="J319" i="11" s="1"/>
  <c r="Q79" i="11"/>
  <c r="R88" i="11"/>
  <c r="J328" i="11" s="1"/>
  <c r="Q88" i="11"/>
  <c r="AF90" i="11"/>
  <c r="I570" i="11" s="1"/>
  <c r="C570" i="11" s="1"/>
  <c r="AG90" i="11"/>
  <c r="J570" i="11" s="1"/>
  <c r="AK98" i="11"/>
  <c r="J698" i="11" s="1"/>
  <c r="AJ98" i="11"/>
  <c r="I698" i="11" s="1"/>
  <c r="C698" i="11" s="1"/>
  <c r="AA109" i="11"/>
  <c r="J469" i="11" s="1"/>
  <c r="Z109" i="11"/>
  <c r="I469" i="11" s="1"/>
  <c r="C469" i="11" s="1"/>
  <c r="AC69" i="11"/>
  <c r="J489" i="11" s="1"/>
  <c r="AB69" i="11"/>
  <c r="I489" i="11" s="1"/>
  <c r="C489" i="11" s="1"/>
  <c r="T97" i="11"/>
  <c r="J397" i="11" s="1"/>
  <c r="S97" i="11"/>
  <c r="I397" i="11" s="1"/>
  <c r="C397" i="11" s="1"/>
  <c r="T93" i="11"/>
  <c r="J393" i="11" s="1"/>
  <c r="S93" i="11"/>
  <c r="I393" i="11" s="1"/>
  <c r="C393" i="11" s="1"/>
  <c r="AH66" i="11"/>
  <c r="I606" i="11" s="1"/>
  <c r="C606" i="11" s="1"/>
  <c r="AI66" i="11"/>
  <c r="J606" i="11" s="1"/>
  <c r="AC67" i="11"/>
  <c r="J487" i="11" s="1"/>
  <c r="AB67" i="11"/>
  <c r="I487" i="11" s="1"/>
  <c r="C487" i="11" s="1"/>
  <c r="S68" i="11"/>
  <c r="I368" i="11" s="1"/>
  <c r="C368" i="11" s="1"/>
  <c r="T68" i="11"/>
  <c r="J368" i="11" s="1"/>
  <c r="O69" i="11"/>
  <c r="P69" i="11"/>
  <c r="J249" i="11" s="1"/>
  <c r="AI70" i="11"/>
  <c r="J610" i="11" s="1"/>
  <c r="AH70" i="11"/>
  <c r="I610" i="11" s="1"/>
  <c r="C610" i="11" s="1"/>
  <c r="AC76" i="11"/>
  <c r="J496" i="11" s="1"/>
  <c r="AB76" i="11"/>
  <c r="I496" i="11" s="1"/>
  <c r="C496" i="11" s="1"/>
  <c r="S77" i="11"/>
  <c r="I377" i="11" s="1"/>
  <c r="C377" i="11" s="1"/>
  <c r="T77" i="11"/>
  <c r="J377" i="11" s="1"/>
  <c r="AH79" i="11"/>
  <c r="I619" i="11" s="1"/>
  <c r="C619" i="11" s="1"/>
  <c r="AI79" i="11"/>
  <c r="J619" i="11" s="1"/>
  <c r="AB80" i="11"/>
  <c r="I500" i="11" s="1"/>
  <c r="C500" i="11" s="1"/>
  <c r="AC80" i="11"/>
  <c r="J500" i="11" s="1"/>
  <c r="T86" i="11"/>
  <c r="J386" i="11" s="1"/>
  <c r="S86" i="11"/>
  <c r="I386" i="11" s="1"/>
  <c r="C386" i="11" s="1"/>
  <c r="O87" i="11"/>
  <c r="P87" i="11"/>
  <c r="J267" i="11" s="1"/>
  <c r="AI88" i="11"/>
  <c r="J628" i="11" s="1"/>
  <c r="AH88" i="11"/>
  <c r="I628" i="11" s="1"/>
  <c r="C628" i="11" s="1"/>
  <c r="AB89" i="11"/>
  <c r="I509" i="11" s="1"/>
  <c r="C509" i="11" s="1"/>
  <c r="AC89" i="11"/>
  <c r="J509" i="11" s="1"/>
  <c r="S90" i="11"/>
  <c r="I390" i="11" s="1"/>
  <c r="C390" i="11" s="1"/>
  <c r="T90" i="11"/>
  <c r="J390" i="11" s="1"/>
  <c r="O96" i="11"/>
  <c r="P96" i="11"/>
  <c r="J276" i="11" s="1"/>
  <c r="AI97" i="11"/>
  <c r="J637" i="11" s="1"/>
  <c r="AH97" i="11"/>
  <c r="I637" i="11" s="1"/>
  <c r="C637" i="11" s="1"/>
  <c r="AB98" i="11"/>
  <c r="I518" i="11" s="1"/>
  <c r="C518" i="11" s="1"/>
  <c r="AC98" i="11"/>
  <c r="J518" i="11" s="1"/>
  <c r="S99" i="11"/>
  <c r="I399" i="11" s="1"/>
  <c r="C399" i="11" s="1"/>
  <c r="T99" i="11"/>
  <c r="J399" i="11" s="1"/>
  <c r="O100" i="11"/>
  <c r="P100" i="11"/>
  <c r="J280" i="11" s="1"/>
  <c r="AI106" i="11"/>
  <c r="J646" i="11" s="1"/>
  <c r="AH106" i="11"/>
  <c r="I646" i="11" s="1"/>
  <c r="C646" i="11" s="1"/>
  <c r="AB107" i="11"/>
  <c r="I527" i="11" s="1"/>
  <c r="C527" i="11" s="1"/>
  <c r="AC107" i="11"/>
  <c r="J527" i="11" s="1"/>
  <c r="T108" i="11"/>
  <c r="J408" i="11" s="1"/>
  <c r="S108" i="11"/>
  <c r="I408" i="11" s="1"/>
  <c r="C408" i="11" s="1"/>
  <c r="O109" i="11"/>
  <c r="P109" i="11"/>
  <c r="J289" i="11" s="1"/>
  <c r="O74" i="11"/>
  <c r="P74" i="11"/>
  <c r="J254" i="11" s="1"/>
  <c r="T74" i="11"/>
  <c r="J374" i="11" s="1"/>
  <c r="S74" i="11"/>
  <c r="I374" i="11" s="1"/>
  <c r="C374" i="11" s="1"/>
  <c r="AF81" i="11"/>
  <c r="I561" i="11" s="1"/>
  <c r="C561" i="11" s="1"/>
  <c r="AG81" i="11"/>
  <c r="J561" i="11" s="1"/>
  <c r="AC82" i="11"/>
  <c r="J502" i="11" s="1"/>
  <c r="AB82" i="11"/>
  <c r="I502" i="11" s="1"/>
  <c r="C502" i="11" s="1"/>
  <c r="AA83" i="11"/>
  <c r="J443" i="11" s="1"/>
  <c r="Z83" i="11"/>
  <c r="I443" i="11" s="1"/>
  <c r="C443" i="11" s="1"/>
  <c r="S84" i="11"/>
  <c r="I384" i="11" s="1"/>
  <c r="C384" i="11" s="1"/>
  <c r="T84" i="11"/>
  <c r="J384" i="11" s="1"/>
  <c r="Q85" i="11"/>
  <c r="R85" i="11"/>
  <c r="J325" i="11" s="1"/>
  <c r="O91" i="11"/>
  <c r="P91" i="11"/>
  <c r="J271" i="11" s="1"/>
  <c r="K92" i="11"/>
  <c r="I152" i="11" s="1"/>
  <c r="C152" i="11" s="1"/>
  <c r="L92" i="11"/>
  <c r="J152" i="11" s="1"/>
  <c r="AK92" i="11"/>
  <c r="J692" i="11" s="1"/>
  <c r="AJ92" i="11"/>
  <c r="I692" i="11" s="1"/>
  <c r="C692" i="11" s="1"/>
  <c r="AH93" i="11"/>
  <c r="I633" i="11" s="1"/>
  <c r="C633" i="11" s="1"/>
  <c r="AI93" i="11"/>
  <c r="J633" i="11" s="1"/>
  <c r="AG94" i="11"/>
  <c r="J574" i="11" s="1"/>
  <c r="AF94" i="11"/>
  <c r="I574" i="11" s="1"/>
  <c r="C574" i="11" s="1"/>
  <c r="AC95" i="11"/>
  <c r="J515" i="11" s="1"/>
  <c r="AB95" i="11"/>
  <c r="I515" i="11" s="1"/>
  <c r="C515" i="11" s="1"/>
  <c r="Z101" i="11"/>
  <c r="I461" i="11" s="1"/>
  <c r="C461" i="11" s="1"/>
  <c r="AA101" i="11"/>
  <c r="J461" i="11" s="1"/>
  <c r="S102" i="11"/>
  <c r="I402" i="11" s="1"/>
  <c r="C402" i="11" s="1"/>
  <c r="T102" i="11"/>
  <c r="J402" i="11" s="1"/>
  <c r="R103" i="11"/>
  <c r="J343" i="11" s="1"/>
  <c r="Q103" i="11"/>
  <c r="O104" i="11"/>
  <c r="P104" i="11"/>
  <c r="J284" i="11" s="1"/>
  <c r="K105" i="11"/>
  <c r="I165" i="11" s="1"/>
  <c r="C165" i="11" s="1"/>
  <c r="L105" i="11"/>
  <c r="J165" i="11" s="1"/>
  <c r="AJ105" i="11"/>
  <c r="I705" i="11" s="1"/>
  <c r="C705" i="11" s="1"/>
  <c r="AK105" i="11"/>
  <c r="J705" i="11" s="1"/>
  <c r="AH111" i="11"/>
  <c r="I651" i="11" s="1"/>
  <c r="C651" i="11" s="1"/>
  <c r="AI111" i="11"/>
  <c r="J651" i="11" s="1"/>
  <c r="AG112" i="11"/>
  <c r="J592" i="11" s="1"/>
  <c r="AF112" i="11"/>
  <c r="I592" i="11" s="1"/>
  <c r="C592" i="11" s="1"/>
  <c r="AB113" i="11"/>
  <c r="I533" i="11" s="1"/>
  <c r="C533" i="11" s="1"/>
  <c r="AC113" i="11"/>
  <c r="J533" i="11" s="1"/>
  <c r="AA114" i="11"/>
  <c r="J474" i="11" s="1"/>
  <c r="Z114" i="11"/>
  <c r="I474" i="11" s="1"/>
  <c r="C474" i="11" s="1"/>
  <c r="S115" i="11"/>
  <c r="I415" i="11" s="1"/>
  <c r="C415" i="11" s="1"/>
  <c r="T115" i="11"/>
  <c r="J415" i="11" s="1"/>
  <c r="O71" i="11"/>
  <c r="P71" i="11"/>
  <c r="J251" i="11" s="1"/>
  <c r="T78" i="11"/>
  <c r="J378" i="11" s="1"/>
  <c r="S78" i="11"/>
  <c r="I378" i="11" s="1"/>
  <c r="C378" i="11" s="1"/>
  <c r="AC90" i="11"/>
  <c r="J510" i="11" s="1"/>
  <c r="AB90" i="11"/>
  <c r="I510" i="11" s="1"/>
  <c r="C510" i="11" s="1"/>
  <c r="AC108" i="11"/>
  <c r="J528" i="11" s="1"/>
  <c r="AB108" i="11"/>
  <c r="I528" i="11" s="1"/>
  <c r="C528" i="11" s="1"/>
  <c r="K66" i="11"/>
  <c r="I126" i="11" s="1"/>
  <c r="C126" i="11" s="1"/>
  <c r="AJ66" i="11"/>
  <c r="I666" i="11" s="1"/>
  <c r="C666" i="11" s="1"/>
  <c r="AK66" i="11"/>
  <c r="J666" i="11" s="1"/>
  <c r="AF67" i="11"/>
  <c r="I547" i="11" s="1"/>
  <c r="C547" i="11" s="1"/>
  <c r="AG67" i="11"/>
  <c r="J547" i="11" s="1"/>
  <c r="Z68" i="11"/>
  <c r="I428" i="11" s="1"/>
  <c r="C428" i="11" s="1"/>
  <c r="AA68" i="11"/>
  <c r="J428" i="11" s="1"/>
  <c r="R69" i="11"/>
  <c r="J309" i="11" s="1"/>
  <c r="Q69" i="11"/>
  <c r="K70" i="11"/>
  <c r="I130" i="11" s="1"/>
  <c r="C130" i="11" s="1"/>
  <c r="L70" i="11"/>
  <c r="J130" i="11" s="1"/>
  <c r="AJ70" i="11"/>
  <c r="I670" i="11" s="1"/>
  <c r="C670" i="11" s="1"/>
  <c r="AK70" i="11"/>
  <c r="J670" i="11" s="1"/>
  <c r="AF76" i="11"/>
  <c r="I556" i="11" s="1"/>
  <c r="C556" i="11" s="1"/>
  <c r="AG76" i="11"/>
  <c r="J556" i="11" s="1"/>
  <c r="Z77" i="11"/>
  <c r="I437" i="11" s="1"/>
  <c r="C437" i="11" s="1"/>
  <c r="AA77" i="11"/>
  <c r="J437" i="11" s="1"/>
  <c r="R78" i="11"/>
  <c r="J318" i="11" s="1"/>
  <c r="Q78" i="11"/>
  <c r="K79" i="11"/>
  <c r="I139" i="11" s="1"/>
  <c r="C139" i="11" s="1"/>
  <c r="L79" i="11"/>
  <c r="J139" i="11" s="1"/>
  <c r="AK79" i="11"/>
  <c r="J679" i="11" s="1"/>
  <c r="AJ79" i="11"/>
  <c r="I679" i="11" s="1"/>
  <c r="C679" i="11" s="1"/>
  <c r="AG80" i="11"/>
  <c r="J560" i="11" s="1"/>
  <c r="AF80" i="11"/>
  <c r="I560" i="11" s="1"/>
  <c r="C560" i="11" s="1"/>
  <c r="Z86" i="11"/>
  <c r="I446" i="11" s="1"/>
  <c r="C446" i="11" s="1"/>
  <c r="AA86" i="11"/>
  <c r="J446" i="11" s="1"/>
  <c r="R87" i="11"/>
  <c r="J327" i="11" s="1"/>
  <c r="Q87" i="11"/>
  <c r="K88" i="11"/>
  <c r="I148" i="11" s="1"/>
  <c r="C148" i="11" s="1"/>
  <c r="L88" i="11"/>
  <c r="J148" i="11" s="1"/>
  <c r="AK88" i="11"/>
  <c r="J688" i="11" s="1"/>
  <c r="AJ88" i="11"/>
  <c r="I688" i="11" s="1"/>
  <c r="C688" i="11" s="1"/>
  <c r="AG89" i="11"/>
  <c r="J569" i="11" s="1"/>
  <c r="AF89" i="11"/>
  <c r="I569" i="11" s="1"/>
  <c r="C569" i="11" s="1"/>
  <c r="AA90" i="11"/>
  <c r="J450" i="11" s="1"/>
  <c r="Z90" i="11"/>
  <c r="I450" i="11" s="1"/>
  <c r="C450" i="11" s="1"/>
  <c r="R96" i="11"/>
  <c r="J336" i="11" s="1"/>
  <c r="Q96" i="11"/>
  <c r="K97" i="11"/>
  <c r="I157" i="11" s="1"/>
  <c r="C157" i="11" s="1"/>
  <c r="L97" i="11"/>
  <c r="J157" i="11" s="1"/>
  <c r="AJ97" i="11"/>
  <c r="I697" i="11" s="1"/>
  <c r="C697" i="11" s="1"/>
  <c r="AK97" i="11"/>
  <c r="J697" i="11" s="1"/>
  <c r="AG98" i="11"/>
  <c r="J578" i="11" s="1"/>
  <c r="AF98" i="11"/>
  <c r="I578" i="11" s="1"/>
  <c r="C578" i="11" s="1"/>
  <c r="AA99" i="11"/>
  <c r="J459" i="11" s="1"/>
  <c r="Z99" i="11"/>
  <c r="I459" i="11" s="1"/>
  <c r="C459" i="11" s="1"/>
  <c r="R100" i="11"/>
  <c r="J340" i="11" s="1"/>
  <c r="Q100" i="11"/>
  <c r="K106" i="11"/>
  <c r="I166" i="11" s="1"/>
  <c r="C166" i="11" s="1"/>
  <c r="L106" i="11"/>
  <c r="J166" i="11" s="1"/>
  <c r="AK106" i="11"/>
  <c r="J706" i="11" s="1"/>
  <c r="AJ106" i="11"/>
  <c r="I706" i="11" s="1"/>
  <c r="C706" i="11" s="1"/>
  <c r="AG107" i="11"/>
  <c r="J587" i="11" s="1"/>
  <c r="AF107" i="11"/>
  <c r="I587" i="11" s="1"/>
  <c r="C587" i="11" s="1"/>
  <c r="Z108" i="11"/>
  <c r="I468" i="11" s="1"/>
  <c r="C468" i="11" s="1"/>
  <c r="AA108" i="11"/>
  <c r="J468" i="11" s="1"/>
  <c r="Q109" i="11"/>
  <c r="R109" i="11"/>
  <c r="J349" i="11" s="1"/>
  <c r="K71" i="11"/>
  <c r="I131" i="11" s="1"/>
  <c r="C131" i="11" s="1"/>
  <c r="L71" i="11"/>
  <c r="J131" i="11" s="1"/>
  <c r="O75" i="11"/>
  <c r="P75" i="11"/>
  <c r="J255" i="11" s="1"/>
  <c r="T75" i="11"/>
  <c r="J375" i="11" s="1"/>
  <c r="S75" i="11"/>
  <c r="I375" i="11" s="1"/>
  <c r="C375" i="11" s="1"/>
  <c r="AI81" i="11"/>
  <c r="J621" i="11" s="1"/>
  <c r="AH81" i="11"/>
  <c r="I621" i="11" s="1"/>
  <c r="C621" i="11" s="1"/>
  <c r="AG82" i="11"/>
  <c r="J562" i="11" s="1"/>
  <c r="AF82" i="11"/>
  <c r="I562" i="11" s="1"/>
  <c r="C562" i="11" s="1"/>
  <c r="AB83" i="11"/>
  <c r="I503" i="11" s="1"/>
  <c r="C503" i="11" s="1"/>
  <c r="AC83" i="11"/>
  <c r="J503" i="11" s="1"/>
  <c r="AA84" i="11"/>
  <c r="J444" i="11" s="1"/>
  <c r="Z84" i="11"/>
  <c r="I444" i="11" s="1"/>
  <c r="C444" i="11" s="1"/>
  <c r="S85" i="11"/>
  <c r="I385" i="11" s="1"/>
  <c r="C385" i="11" s="1"/>
  <c r="T85" i="11"/>
  <c r="J385" i="11" s="1"/>
  <c r="R91" i="11"/>
  <c r="J331" i="11" s="1"/>
  <c r="Q91" i="11"/>
  <c r="O92" i="11"/>
  <c r="P92" i="11"/>
  <c r="J272" i="11" s="1"/>
  <c r="K93" i="11"/>
  <c r="I153" i="11" s="1"/>
  <c r="C153" i="11" s="1"/>
  <c r="L93" i="11"/>
  <c r="J153" i="11" s="1"/>
  <c r="AK93" i="11"/>
  <c r="J693" i="11" s="1"/>
  <c r="AJ93" i="11"/>
  <c r="I693" i="11" s="1"/>
  <c r="C693" i="11" s="1"/>
  <c r="AI94" i="11"/>
  <c r="J634" i="11" s="1"/>
  <c r="AH94" i="11"/>
  <c r="I634" i="11" s="1"/>
  <c r="C634" i="11" s="1"/>
  <c r="AG95" i="11"/>
  <c r="J575" i="11" s="1"/>
  <c r="AF95" i="11"/>
  <c r="I575" i="11" s="1"/>
  <c r="C575" i="11" s="1"/>
  <c r="AC101" i="11"/>
  <c r="J521" i="11" s="1"/>
  <c r="AB101" i="11"/>
  <c r="I521" i="11" s="1"/>
  <c r="C521" i="11" s="1"/>
  <c r="AA102" i="11"/>
  <c r="J462" i="11" s="1"/>
  <c r="Z102" i="11"/>
  <c r="I462" i="11" s="1"/>
  <c r="C462" i="11" s="1"/>
  <c r="S103" i="11"/>
  <c r="I403" i="11" s="1"/>
  <c r="C403" i="11" s="1"/>
  <c r="T103" i="11"/>
  <c r="J403" i="11" s="1"/>
  <c r="Q104" i="11"/>
  <c r="R104" i="11"/>
  <c r="J344" i="11" s="1"/>
  <c r="O105" i="11"/>
  <c r="P105" i="11"/>
  <c r="J285" i="11" s="1"/>
  <c r="K111" i="11"/>
  <c r="I171" i="11" s="1"/>
  <c r="C171" i="11" s="1"/>
  <c r="L111" i="11"/>
  <c r="J171" i="11" s="1"/>
  <c r="AK111" i="11"/>
  <c r="J711" i="11" s="1"/>
  <c r="AJ111" i="11"/>
  <c r="I711" i="11" s="1"/>
  <c r="C711" i="11" s="1"/>
  <c r="AI112" i="11"/>
  <c r="J652" i="11" s="1"/>
  <c r="AH112" i="11"/>
  <c r="I652" i="11" s="1"/>
  <c r="C652" i="11" s="1"/>
  <c r="AF113" i="11"/>
  <c r="I593" i="11" s="1"/>
  <c r="C593" i="11" s="1"/>
  <c r="AG113" i="11"/>
  <c r="J593" i="11" s="1"/>
  <c r="AB114" i="11"/>
  <c r="I534" i="11" s="1"/>
  <c r="C534" i="11" s="1"/>
  <c r="AC114" i="11"/>
  <c r="J534" i="11" s="1"/>
  <c r="AA115" i="11"/>
  <c r="J475" i="11" s="1"/>
  <c r="Z115" i="11"/>
  <c r="I475" i="11" s="1"/>
  <c r="C475" i="11" s="1"/>
  <c r="R71" i="11"/>
  <c r="J311" i="11" s="1"/>
  <c r="Q71" i="11"/>
  <c r="AC68" i="11"/>
  <c r="J488" i="11" s="1"/>
  <c r="AB68" i="11"/>
  <c r="I488" i="11" s="1"/>
  <c r="C488" i="11" s="1"/>
  <c r="S109" i="11"/>
  <c r="I409" i="11" s="1"/>
  <c r="C409" i="11" s="1"/>
  <c r="T109" i="11"/>
  <c r="J409" i="11" s="1"/>
  <c r="K72" i="11"/>
  <c r="I132" i="11" s="1"/>
  <c r="C132" i="11" s="1"/>
  <c r="L72" i="11"/>
  <c r="J132" i="11" s="1"/>
  <c r="Q72" i="11"/>
  <c r="R72" i="11"/>
  <c r="J312" i="11" s="1"/>
  <c r="K81" i="11"/>
  <c r="I141" i="11" s="1"/>
  <c r="C141" i="11" s="1"/>
  <c r="L81" i="11"/>
  <c r="J141" i="11" s="1"/>
  <c r="AJ81" i="11"/>
  <c r="I681" i="11" s="1"/>
  <c r="C681" i="11" s="1"/>
  <c r="AK81" i="11"/>
  <c r="J681" i="11" s="1"/>
  <c r="AH82" i="11"/>
  <c r="I622" i="11" s="1"/>
  <c r="C622" i="11" s="1"/>
  <c r="AI82" i="11"/>
  <c r="J622" i="11" s="1"/>
  <c r="AF83" i="11"/>
  <c r="I563" i="11" s="1"/>
  <c r="C563" i="11" s="1"/>
  <c r="AG83" i="11"/>
  <c r="J563" i="11" s="1"/>
  <c r="AC84" i="11"/>
  <c r="J504" i="11" s="1"/>
  <c r="AB84" i="11"/>
  <c r="I504" i="11" s="1"/>
  <c r="C504" i="11" s="1"/>
  <c r="AA85" i="11"/>
  <c r="J445" i="11" s="1"/>
  <c r="Z85" i="11"/>
  <c r="I445" i="11" s="1"/>
  <c r="C445" i="11" s="1"/>
  <c r="T91" i="11"/>
  <c r="J391" i="11" s="1"/>
  <c r="S91" i="11"/>
  <c r="I391" i="11" s="1"/>
  <c r="C391" i="11" s="1"/>
  <c r="Q92" i="11"/>
  <c r="R92" i="11"/>
  <c r="J332" i="11" s="1"/>
  <c r="O93" i="11"/>
  <c r="P93" i="11"/>
  <c r="J273" i="11" s="1"/>
  <c r="K94" i="11"/>
  <c r="I154" i="11" s="1"/>
  <c r="C154" i="11" s="1"/>
  <c r="L94" i="11"/>
  <c r="J154" i="11" s="1"/>
  <c r="AJ94" i="11"/>
  <c r="I694" i="11" s="1"/>
  <c r="C694" i="11" s="1"/>
  <c r="AK94" i="11"/>
  <c r="J694" i="11" s="1"/>
  <c r="AH95" i="11"/>
  <c r="I635" i="11" s="1"/>
  <c r="C635" i="11" s="1"/>
  <c r="AI95" i="11"/>
  <c r="J635" i="11" s="1"/>
  <c r="AF101" i="11"/>
  <c r="I581" i="11" s="1"/>
  <c r="C581" i="11" s="1"/>
  <c r="AG101" i="11"/>
  <c r="J581" i="11" s="1"/>
  <c r="AC102" i="11"/>
  <c r="J522" i="11" s="1"/>
  <c r="AB102" i="11"/>
  <c r="I522" i="11" s="1"/>
  <c r="C522" i="11" s="1"/>
  <c r="AA103" i="11"/>
  <c r="J463" i="11" s="1"/>
  <c r="Z103" i="11"/>
  <c r="I463" i="11" s="1"/>
  <c r="C463" i="11" s="1"/>
  <c r="T104" i="11"/>
  <c r="J404" i="11" s="1"/>
  <c r="S104" i="11"/>
  <c r="I404" i="11" s="1"/>
  <c r="C404" i="11" s="1"/>
  <c r="R105" i="11"/>
  <c r="J345" i="11" s="1"/>
  <c r="Q105" i="11"/>
  <c r="O111" i="11"/>
  <c r="P111" i="11"/>
  <c r="J291" i="11" s="1"/>
  <c r="K112" i="11"/>
  <c r="I172" i="11" s="1"/>
  <c r="C172" i="11" s="1"/>
  <c r="L112" i="11"/>
  <c r="J172" i="11" s="1"/>
  <c r="AJ112" i="11"/>
  <c r="I712" i="11" s="1"/>
  <c r="C712" i="11" s="1"/>
  <c r="AK112" i="11"/>
  <c r="J712" i="11" s="1"/>
  <c r="AI113" i="11"/>
  <c r="J653" i="11" s="1"/>
  <c r="AH113" i="11"/>
  <c r="I653" i="11" s="1"/>
  <c r="C653" i="11" s="1"/>
  <c r="AG114" i="11"/>
  <c r="J594" i="11" s="1"/>
  <c r="AF114" i="11"/>
  <c r="I594" i="11" s="1"/>
  <c r="C594" i="11" s="1"/>
  <c r="AB115" i="11"/>
  <c r="I535" i="11" s="1"/>
  <c r="C535" i="11" s="1"/>
  <c r="AC115" i="11"/>
  <c r="J535" i="11" s="1"/>
  <c r="S71" i="11"/>
  <c r="I371" i="11" s="1"/>
  <c r="C371" i="11" s="1"/>
  <c r="T71" i="11"/>
  <c r="J371" i="11" s="1"/>
  <c r="AC77" i="11"/>
  <c r="J497" i="11" s="1"/>
  <c r="AB77" i="11"/>
  <c r="I497" i="11" s="1"/>
  <c r="C497" i="11" s="1"/>
  <c r="K73" i="11"/>
  <c r="I133" i="11" s="1"/>
  <c r="C133" i="11" s="1"/>
  <c r="L73" i="11"/>
  <c r="J133" i="11" s="1"/>
  <c r="R73" i="11"/>
  <c r="J313" i="11" s="1"/>
  <c r="Q73" i="11"/>
  <c r="O81" i="11"/>
  <c r="P81" i="11"/>
  <c r="J261" i="11" s="1"/>
  <c r="K82" i="11"/>
  <c r="I142" i="11" s="1"/>
  <c r="C142" i="11" s="1"/>
  <c r="L82" i="11"/>
  <c r="J142" i="11" s="1"/>
  <c r="AK82" i="11"/>
  <c r="J682" i="11" s="1"/>
  <c r="AJ82" i="11"/>
  <c r="I682" i="11" s="1"/>
  <c r="C682" i="11" s="1"/>
  <c r="AH83" i="11"/>
  <c r="I623" i="11" s="1"/>
  <c r="C623" i="11" s="1"/>
  <c r="AI83" i="11"/>
  <c r="J623" i="11" s="1"/>
  <c r="AG84" i="11"/>
  <c r="J564" i="11" s="1"/>
  <c r="AF84" i="11"/>
  <c r="I564" i="11" s="1"/>
  <c r="C564" i="11" s="1"/>
  <c r="AC85" i="11"/>
  <c r="J505" i="11" s="1"/>
  <c r="AB85" i="11"/>
  <c r="I505" i="11" s="1"/>
  <c r="C505" i="11" s="1"/>
  <c r="AA91" i="11"/>
  <c r="J451" i="11" s="1"/>
  <c r="Z91" i="11"/>
  <c r="I451" i="11" s="1"/>
  <c r="C451" i="11" s="1"/>
  <c r="T92" i="11"/>
  <c r="J392" i="11" s="1"/>
  <c r="S92" i="11"/>
  <c r="I392" i="11" s="1"/>
  <c r="C392" i="11" s="1"/>
  <c r="Q93" i="11"/>
  <c r="R93" i="11"/>
  <c r="J333" i="11" s="1"/>
  <c r="O94" i="11"/>
  <c r="P94" i="11"/>
  <c r="J274" i="11" s="1"/>
  <c r="K95" i="11"/>
  <c r="I155" i="11" s="1"/>
  <c r="C155" i="11" s="1"/>
  <c r="L95" i="11"/>
  <c r="J155" i="11" s="1"/>
  <c r="AK95" i="11"/>
  <c r="J695" i="11" s="1"/>
  <c r="AJ95" i="11"/>
  <c r="I695" i="11" s="1"/>
  <c r="C695" i="11" s="1"/>
  <c r="AH101" i="11"/>
  <c r="I641" i="11" s="1"/>
  <c r="C641" i="11" s="1"/>
  <c r="AI101" i="11"/>
  <c r="J641" i="11" s="1"/>
  <c r="AG102" i="11"/>
  <c r="J582" i="11" s="1"/>
  <c r="AF102" i="11"/>
  <c r="I582" i="11" s="1"/>
  <c r="C582" i="11" s="1"/>
  <c r="AB103" i="11"/>
  <c r="I523" i="11" s="1"/>
  <c r="C523" i="11" s="1"/>
  <c r="AC103" i="11"/>
  <c r="J523" i="11" s="1"/>
  <c r="Z104" i="11"/>
  <c r="I464" i="11" s="1"/>
  <c r="C464" i="11" s="1"/>
  <c r="AA104" i="11"/>
  <c r="J464" i="11" s="1"/>
  <c r="T105" i="11"/>
  <c r="J405" i="11" s="1"/>
  <c r="S105" i="11"/>
  <c r="I405" i="11" s="1"/>
  <c r="C405" i="11" s="1"/>
  <c r="R111" i="11"/>
  <c r="J351" i="11" s="1"/>
  <c r="Q111" i="11"/>
  <c r="O112" i="11"/>
  <c r="P112" i="11"/>
  <c r="J292" i="11" s="1"/>
  <c r="K113" i="11"/>
  <c r="I173" i="11" s="1"/>
  <c r="C173" i="11" s="1"/>
  <c r="L113" i="11"/>
  <c r="J173" i="11" s="1"/>
  <c r="AJ113" i="11"/>
  <c r="I713" i="11" s="1"/>
  <c r="C713" i="11" s="1"/>
  <c r="AK113" i="11"/>
  <c r="J713" i="11" s="1"/>
  <c r="AI114" i="11"/>
  <c r="J654" i="11" s="1"/>
  <c r="AH114" i="11"/>
  <c r="I654" i="11" s="1"/>
  <c r="C654" i="11" s="1"/>
  <c r="AF115" i="11"/>
  <c r="I595" i="11" s="1"/>
  <c r="C595" i="11" s="1"/>
  <c r="AG115" i="11"/>
  <c r="J595" i="11" s="1"/>
  <c r="AA71" i="11"/>
  <c r="J431" i="11" s="1"/>
  <c r="Z71" i="11"/>
  <c r="I431" i="11" s="1"/>
  <c r="C431" i="11" s="1"/>
  <c r="T96" i="11"/>
  <c r="J396" i="11" s="1"/>
  <c r="S96" i="11"/>
  <c r="I396" i="11" s="1"/>
  <c r="C396" i="11" s="1"/>
  <c r="AH107" i="11"/>
  <c r="I647" i="11" s="1"/>
  <c r="C647" i="11" s="1"/>
  <c r="AI107" i="11"/>
  <c r="J647" i="11" s="1"/>
  <c r="R70" i="11"/>
  <c r="J310" i="11" s="1"/>
  <c r="Q70" i="11"/>
  <c r="K89" i="11"/>
  <c r="I149" i="11" s="1"/>
  <c r="C149" i="11" s="1"/>
  <c r="L89" i="11"/>
  <c r="J149" i="11" s="1"/>
  <c r="R106" i="11"/>
  <c r="J346" i="11" s="1"/>
  <c r="Q106" i="11"/>
  <c r="O89" i="11"/>
  <c r="P89" i="11"/>
  <c r="J269" i="11" s="1"/>
  <c r="O107" i="11"/>
  <c r="P107" i="11"/>
  <c r="J287" i="11" s="1"/>
  <c r="K74" i="11"/>
  <c r="I134" i="11" s="1"/>
  <c r="C134" i="11" s="1"/>
  <c r="L74" i="11"/>
  <c r="J134" i="11" s="1"/>
  <c r="R74" i="11"/>
  <c r="J314" i="11" s="1"/>
  <c r="Q74" i="11"/>
  <c r="R81" i="11"/>
  <c r="J321" i="11" s="1"/>
  <c r="Q81" i="11"/>
  <c r="O82" i="11"/>
  <c r="P82" i="11"/>
  <c r="J262" i="11" s="1"/>
  <c r="K83" i="11"/>
  <c r="I143" i="11" s="1"/>
  <c r="C143" i="11" s="1"/>
  <c r="L83" i="11"/>
  <c r="J143" i="11" s="1"/>
  <c r="AK83" i="11"/>
  <c r="J683" i="11" s="1"/>
  <c r="AJ83" i="11"/>
  <c r="I683" i="11" s="1"/>
  <c r="C683" i="11" s="1"/>
  <c r="AI84" i="11"/>
  <c r="J624" i="11" s="1"/>
  <c r="AH84" i="11"/>
  <c r="I624" i="11" s="1"/>
  <c r="C624" i="11" s="1"/>
  <c r="AF85" i="11"/>
  <c r="I565" i="11" s="1"/>
  <c r="C565" i="11" s="1"/>
  <c r="AG85" i="11"/>
  <c r="J565" i="11" s="1"/>
  <c r="AB91" i="11"/>
  <c r="I511" i="11" s="1"/>
  <c r="C511" i="11" s="1"/>
  <c r="AC91" i="11"/>
  <c r="J511" i="11" s="1"/>
  <c r="AA92" i="11"/>
  <c r="J452" i="11" s="1"/>
  <c r="Z92" i="11"/>
  <c r="I452" i="11" s="1"/>
  <c r="C452" i="11" s="1"/>
  <c r="K101" i="11"/>
  <c r="I161" i="11" s="1"/>
  <c r="C161" i="11" s="1"/>
  <c r="L101" i="11"/>
  <c r="J161" i="11" s="1"/>
  <c r="AK101" i="11"/>
  <c r="J701" i="11" s="1"/>
  <c r="AJ101" i="11"/>
  <c r="I701" i="11" s="1"/>
  <c r="C701" i="11" s="1"/>
  <c r="AH102" i="11"/>
  <c r="I642" i="11" s="1"/>
  <c r="C642" i="11" s="1"/>
  <c r="AI102" i="11"/>
  <c r="J642" i="11" s="1"/>
  <c r="AG103" i="11"/>
  <c r="J583" i="11" s="1"/>
  <c r="AF103" i="11"/>
  <c r="I583" i="11" s="1"/>
  <c r="C583" i="11" s="1"/>
  <c r="Z105" i="11"/>
  <c r="I465" i="11" s="1"/>
  <c r="C465" i="11" s="1"/>
  <c r="AA105" i="11"/>
  <c r="J465" i="11" s="1"/>
  <c r="S111" i="11"/>
  <c r="I411" i="11" s="1"/>
  <c r="C411" i="11" s="1"/>
  <c r="T111" i="11"/>
  <c r="J411" i="11" s="1"/>
  <c r="R112" i="11"/>
  <c r="J352" i="11" s="1"/>
  <c r="Q112" i="11"/>
  <c r="O113" i="11"/>
  <c r="I293" i="11" s="1"/>
  <c r="C293" i="11" s="1"/>
  <c r="P113" i="11"/>
  <c r="J293" i="11" s="1"/>
  <c r="K114" i="11"/>
  <c r="I174" i="11" s="1"/>
  <c r="C174" i="11" s="1"/>
  <c r="L114" i="11"/>
  <c r="J174" i="11" s="1"/>
  <c r="AK114" i="11"/>
  <c r="J714" i="11" s="1"/>
  <c r="AJ114" i="11"/>
  <c r="I714" i="11" s="1"/>
  <c r="C714" i="11" s="1"/>
  <c r="AH115" i="11"/>
  <c r="I655" i="11" s="1"/>
  <c r="C655" i="11" s="1"/>
  <c r="AI115" i="11"/>
  <c r="J655" i="11" s="1"/>
  <c r="AB71" i="11"/>
  <c r="I491" i="11" s="1"/>
  <c r="C491" i="11" s="1"/>
  <c r="AC71" i="11"/>
  <c r="J491" i="11" s="1"/>
  <c r="AH76" i="11"/>
  <c r="I616" i="11" s="1"/>
  <c r="C616" i="11" s="1"/>
  <c r="AI76" i="11"/>
  <c r="J616" i="11" s="1"/>
  <c r="S87" i="11"/>
  <c r="I387" i="11" s="1"/>
  <c r="C387" i="11" s="1"/>
  <c r="T87" i="11"/>
  <c r="J387" i="11" s="1"/>
  <c r="AI98" i="11"/>
  <c r="J638" i="11" s="1"/>
  <c r="AH98" i="11"/>
  <c r="I638" i="11" s="1"/>
  <c r="C638" i="11" s="1"/>
  <c r="AG68" i="11"/>
  <c r="J548" i="11" s="1"/>
  <c r="AF68" i="11"/>
  <c r="I548" i="11" s="1"/>
  <c r="C548" i="11" s="1"/>
  <c r="AF77" i="11"/>
  <c r="I557" i="11" s="1"/>
  <c r="C557" i="11" s="1"/>
  <c r="AG77" i="11"/>
  <c r="J557" i="11" s="1"/>
  <c r="AG86" i="11"/>
  <c r="J566" i="11" s="1"/>
  <c r="AF86" i="11"/>
  <c r="I566" i="11" s="1"/>
  <c r="C566" i="11" s="1"/>
  <c r="K98" i="11"/>
  <c r="I158" i="11" s="1"/>
  <c r="C158" i="11" s="1"/>
  <c r="L98" i="11"/>
  <c r="J158" i="11" s="1"/>
  <c r="K107" i="11"/>
  <c r="I167" i="11" s="1"/>
  <c r="C167" i="11" s="1"/>
  <c r="L107" i="11"/>
  <c r="J167" i="11" s="1"/>
  <c r="O76" i="11"/>
  <c r="P76" i="11"/>
  <c r="J256" i="11" s="1"/>
  <c r="AH77" i="11"/>
  <c r="I617" i="11" s="1"/>
  <c r="C617" i="11" s="1"/>
  <c r="AI77" i="11"/>
  <c r="J617" i="11" s="1"/>
  <c r="O80" i="11"/>
  <c r="P80" i="11"/>
  <c r="J260" i="11" s="1"/>
  <c r="T88" i="11"/>
  <c r="J388" i="11" s="1"/>
  <c r="S88" i="11"/>
  <c r="I388" i="11" s="1"/>
  <c r="C388" i="11" s="1"/>
  <c r="AC96" i="11"/>
  <c r="J516" i="11" s="1"/>
  <c r="AB96" i="11"/>
  <c r="I516" i="11" s="1"/>
  <c r="C516" i="11" s="1"/>
  <c r="S106" i="11"/>
  <c r="I406" i="11" s="1"/>
  <c r="C406" i="11" s="1"/>
  <c r="T106" i="11"/>
  <c r="J406" i="11" s="1"/>
  <c r="AC104" i="11"/>
  <c r="J524" i="11" s="1"/>
  <c r="AB104" i="11"/>
  <c r="I524" i="11" s="1"/>
  <c r="C524" i="11" s="1"/>
  <c r="Z66" i="11"/>
  <c r="I426" i="11" s="1"/>
  <c r="C426" i="11" s="1"/>
  <c r="AA66" i="11"/>
  <c r="J426" i="11" s="1"/>
  <c r="Q67" i="11"/>
  <c r="R67" i="11"/>
  <c r="J307" i="11" s="1"/>
  <c r="K68" i="11"/>
  <c r="I128" i="11" s="1"/>
  <c r="C128" i="11" s="1"/>
  <c r="L68" i="11"/>
  <c r="J128" i="11" s="1"/>
  <c r="AK68" i="11"/>
  <c r="J668" i="11" s="1"/>
  <c r="AJ68" i="11"/>
  <c r="I668" i="11" s="1"/>
  <c r="C668" i="11" s="1"/>
  <c r="AG69" i="11"/>
  <c r="J549" i="11" s="1"/>
  <c r="AF69" i="11"/>
  <c r="I549" i="11" s="1"/>
  <c r="C549" i="11" s="1"/>
  <c r="Z70" i="11"/>
  <c r="I430" i="11" s="1"/>
  <c r="C430" i="11" s="1"/>
  <c r="AA70" i="11"/>
  <c r="J430" i="11" s="1"/>
  <c r="R76" i="11"/>
  <c r="J316" i="11" s="1"/>
  <c r="Q76" i="11"/>
  <c r="K77" i="11"/>
  <c r="I137" i="11" s="1"/>
  <c r="C137" i="11" s="1"/>
  <c r="L77" i="11"/>
  <c r="J137" i="11" s="1"/>
  <c r="AJ77" i="11"/>
  <c r="I677" i="11" s="1"/>
  <c r="C677" i="11" s="1"/>
  <c r="AK77" i="11"/>
  <c r="J677" i="11" s="1"/>
  <c r="AG78" i="11"/>
  <c r="J558" i="11" s="1"/>
  <c r="AF78" i="11"/>
  <c r="I558" i="11" s="1"/>
  <c r="C558" i="11" s="1"/>
  <c r="AA79" i="11"/>
  <c r="J439" i="11" s="1"/>
  <c r="Z79" i="11"/>
  <c r="I439" i="11" s="1"/>
  <c r="C439" i="11" s="1"/>
  <c r="R80" i="11"/>
  <c r="J320" i="11" s="1"/>
  <c r="Q80" i="11"/>
  <c r="K86" i="11"/>
  <c r="I146" i="11" s="1"/>
  <c r="C146" i="11" s="1"/>
  <c r="L86" i="11"/>
  <c r="J146" i="11" s="1"/>
  <c r="AK86" i="11"/>
  <c r="J686" i="11" s="1"/>
  <c r="AJ86" i="11"/>
  <c r="I686" i="11" s="1"/>
  <c r="C686" i="11" s="1"/>
  <c r="AG87" i="11"/>
  <c r="J567" i="11" s="1"/>
  <c r="AF87" i="11"/>
  <c r="I567" i="11" s="1"/>
  <c r="C567" i="11" s="1"/>
  <c r="AA88" i="11"/>
  <c r="J448" i="11" s="1"/>
  <c r="Z88" i="11"/>
  <c r="I448" i="11" s="1"/>
  <c r="C448" i="11" s="1"/>
  <c r="R89" i="11"/>
  <c r="J329" i="11" s="1"/>
  <c r="Q89" i="11"/>
  <c r="K90" i="11"/>
  <c r="I150" i="11" s="1"/>
  <c r="C150" i="11" s="1"/>
  <c r="L90" i="11"/>
  <c r="J150" i="11" s="1"/>
  <c r="AK90" i="11"/>
  <c r="J690" i="11" s="1"/>
  <c r="AJ90" i="11"/>
  <c r="I690" i="11" s="1"/>
  <c r="C690" i="11" s="1"/>
  <c r="AG96" i="11"/>
  <c r="J576" i="11" s="1"/>
  <c r="AF96" i="11"/>
  <c r="I576" i="11" s="1"/>
  <c r="C576" i="11" s="1"/>
  <c r="Z97" i="11"/>
  <c r="I457" i="11" s="1"/>
  <c r="C457" i="11" s="1"/>
  <c r="AA97" i="11"/>
  <c r="J457" i="11" s="1"/>
  <c r="R98" i="11"/>
  <c r="J338" i="11" s="1"/>
  <c r="Q98" i="11"/>
  <c r="K99" i="11"/>
  <c r="I159" i="11" s="1"/>
  <c r="C159" i="11" s="1"/>
  <c r="L99" i="11"/>
  <c r="J159" i="11" s="1"/>
  <c r="AK99" i="11"/>
  <c r="J699" i="11" s="1"/>
  <c r="AJ99" i="11"/>
  <c r="I699" i="11" s="1"/>
  <c r="C699" i="11" s="1"/>
  <c r="AF100" i="11"/>
  <c r="I580" i="11" s="1"/>
  <c r="C580" i="11" s="1"/>
  <c r="AG100" i="11"/>
  <c r="J580" i="11" s="1"/>
  <c r="AA106" i="11"/>
  <c r="J466" i="11" s="1"/>
  <c r="Z106" i="11"/>
  <c r="I466" i="11" s="1"/>
  <c r="C466" i="11" s="1"/>
  <c r="Q107" i="11"/>
  <c r="R107" i="11"/>
  <c r="J347" i="11" s="1"/>
  <c r="K108" i="11"/>
  <c r="I168" i="11" s="1"/>
  <c r="C168" i="11" s="1"/>
  <c r="L108" i="11"/>
  <c r="J168" i="11" s="1"/>
  <c r="AK108" i="11"/>
  <c r="J708" i="11" s="1"/>
  <c r="AJ108" i="11"/>
  <c r="I708" i="11" s="1"/>
  <c r="C708" i="11" s="1"/>
  <c r="AF109" i="11"/>
  <c r="I589" i="11" s="1"/>
  <c r="C589" i="11" s="1"/>
  <c r="AG109" i="11"/>
  <c r="J589" i="11" s="1"/>
  <c r="K75" i="11"/>
  <c r="I135" i="11" s="1"/>
  <c r="C135" i="11" s="1"/>
  <c r="L75" i="11"/>
  <c r="J135" i="11" s="1"/>
  <c r="Q75" i="11"/>
  <c r="R75" i="11"/>
  <c r="J315" i="11" s="1"/>
  <c r="T81" i="11"/>
  <c r="J381" i="11" s="1"/>
  <c r="S81" i="11"/>
  <c r="I381" i="11" s="1"/>
  <c r="C381" i="11" s="1"/>
  <c r="Q82" i="11"/>
  <c r="R82" i="11"/>
  <c r="J322" i="11" s="1"/>
  <c r="O83" i="11"/>
  <c r="P83" i="11"/>
  <c r="J263" i="11" s="1"/>
  <c r="K84" i="11"/>
  <c r="I144" i="11" s="1"/>
  <c r="C144" i="11" s="1"/>
  <c r="L84" i="11"/>
  <c r="J144" i="11" s="1"/>
  <c r="AJ84" i="11"/>
  <c r="I684" i="11" s="1"/>
  <c r="C684" i="11" s="1"/>
  <c r="AK84" i="11"/>
  <c r="J684" i="11" s="1"/>
  <c r="AH85" i="11"/>
  <c r="I625" i="11" s="1"/>
  <c r="C625" i="11" s="1"/>
  <c r="AI85" i="11"/>
  <c r="J625" i="11" s="1"/>
  <c r="AG91" i="11"/>
  <c r="J571" i="11" s="1"/>
  <c r="AF91" i="11"/>
  <c r="I571" i="11" s="1"/>
  <c r="C571" i="11" s="1"/>
  <c r="AC92" i="11"/>
  <c r="J512" i="11" s="1"/>
  <c r="AB92" i="11"/>
  <c r="I512" i="11" s="1"/>
  <c r="C512" i="11" s="1"/>
  <c r="AA93" i="11"/>
  <c r="J453" i="11" s="1"/>
  <c r="Z93" i="11"/>
  <c r="I453" i="11" s="1"/>
  <c r="C453" i="11" s="1"/>
  <c r="S94" i="11"/>
  <c r="I394" i="11" s="1"/>
  <c r="C394" i="11" s="1"/>
  <c r="T94" i="11"/>
  <c r="J394" i="11" s="1"/>
  <c r="R95" i="11"/>
  <c r="J335" i="11" s="1"/>
  <c r="Q95" i="11"/>
  <c r="O101" i="11"/>
  <c r="P101" i="11"/>
  <c r="J281" i="11" s="1"/>
  <c r="K102" i="11"/>
  <c r="I162" i="11" s="1"/>
  <c r="C162" i="11" s="1"/>
  <c r="L102" i="11"/>
  <c r="J162" i="11" s="1"/>
  <c r="AJ102" i="11"/>
  <c r="I702" i="11" s="1"/>
  <c r="C702" i="11" s="1"/>
  <c r="AK102" i="11"/>
  <c r="J702" i="11" s="1"/>
  <c r="AH103" i="11"/>
  <c r="I643" i="11" s="1"/>
  <c r="C643" i="11" s="1"/>
  <c r="AI103" i="11"/>
  <c r="J643" i="11" s="1"/>
  <c r="AG104" i="11"/>
  <c r="J584" i="11" s="1"/>
  <c r="AF104" i="11"/>
  <c r="I584" i="11" s="1"/>
  <c r="C584" i="11" s="1"/>
  <c r="AC105" i="11"/>
  <c r="J525" i="11" s="1"/>
  <c r="AB105" i="11"/>
  <c r="I525" i="11" s="1"/>
  <c r="C525" i="11" s="1"/>
  <c r="AA111" i="11"/>
  <c r="J471" i="11" s="1"/>
  <c r="Z111" i="11"/>
  <c r="I471" i="11" s="1"/>
  <c r="C471" i="11" s="1"/>
  <c r="T112" i="11"/>
  <c r="J412" i="11" s="1"/>
  <c r="S112" i="11"/>
  <c r="I412" i="11" s="1"/>
  <c r="C412" i="11" s="1"/>
  <c r="Q113" i="11"/>
  <c r="R113" i="11"/>
  <c r="J353" i="11" s="1"/>
  <c r="O114" i="11"/>
  <c r="P114" i="11"/>
  <c r="J294" i="11" s="1"/>
  <c r="AK115" i="11"/>
  <c r="J715" i="11" s="1"/>
  <c r="AJ115" i="11"/>
  <c r="I715" i="11" s="1"/>
  <c r="C715" i="11" s="1"/>
  <c r="AF71" i="11"/>
  <c r="I551" i="11" s="1"/>
  <c r="C551" i="11" s="1"/>
  <c r="AG71" i="11"/>
  <c r="J551" i="11" s="1"/>
  <c r="AH67" i="11"/>
  <c r="I607" i="11" s="1"/>
  <c r="C607" i="11" s="1"/>
  <c r="AI67" i="11"/>
  <c r="J607" i="11" s="1"/>
  <c r="AB99" i="11"/>
  <c r="I519" i="11" s="1"/>
  <c r="C519" i="11" s="1"/>
  <c r="AC99" i="11"/>
  <c r="J519" i="11" s="1"/>
  <c r="K67" i="11"/>
  <c r="I127" i="11" s="1"/>
  <c r="C127" i="11" s="1"/>
  <c r="L67" i="11"/>
  <c r="J127" i="11" s="1"/>
  <c r="AJ67" i="11"/>
  <c r="I667" i="11" s="1"/>
  <c r="C667" i="11" s="1"/>
  <c r="AK67" i="11"/>
  <c r="J667" i="11" s="1"/>
  <c r="AK76" i="11"/>
  <c r="J676" i="11" s="1"/>
  <c r="AJ76" i="11"/>
  <c r="I676" i="11" s="1"/>
  <c r="C676" i="11" s="1"/>
  <c r="K80" i="11"/>
  <c r="I140" i="11" s="1"/>
  <c r="C140" i="11" s="1"/>
  <c r="L80" i="11"/>
  <c r="J140" i="11" s="1"/>
  <c r="AJ80" i="11"/>
  <c r="I680" i="11" s="1"/>
  <c r="C680" i="11" s="1"/>
  <c r="AK80" i="11"/>
  <c r="J680" i="11" s="1"/>
  <c r="Z96" i="11"/>
  <c r="I456" i="11" s="1"/>
  <c r="C456" i="11" s="1"/>
  <c r="AA96" i="11"/>
  <c r="J456" i="11" s="1"/>
  <c r="AF99" i="11"/>
  <c r="I579" i="11" s="1"/>
  <c r="C579" i="11" s="1"/>
  <c r="AG99" i="11"/>
  <c r="J579" i="11" s="1"/>
  <c r="AF108" i="11"/>
  <c r="I588" i="11" s="1"/>
  <c r="C588" i="11" s="1"/>
  <c r="AG108" i="11"/>
  <c r="J588" i="11" s="1"/>
  <c r="S66" i="11"/>
  <c r="I366" i="11" s="1"/>
  <c r="C366" i="11" s="1"/>
  <c r="T66" i="11"/>
  <c r="J366" i="11" s="1"/>
  <c r="AH68" i="11"/>
  <c r="I608" i="11" s="1"/>
  <c r="C608" i="11" s="1"/>
  <c r="AI68" i="11"/>
  <c r="J608" i="11" s="1"/>
  <c r="T70" i="11"/>
  <c r="J370" i="11" s="1"/>
  <c r="S70" i="11"/>
  <c r="I370" i="11" s="1"/>
  <c r="C370" i="11" s="1"/>
  <c r="AC78" i="11"/>
  <c r="J498" i="11" s="1"/>
  <c r="AB78" i="11"/>
  <c r="I498" i="11" s="1"/>
  <c r="C498" i="11" s="1"/>
  <c r="AC87" i="11"/>
  <c r="J507" i="11" s="1"/>
  <c r="AB87" i="11"/>
  <c r="I507" i="11" s="1"/>
  <c r="C507" i="11" s="1"/>
  <c r="AI90" i="11"/>
  <c r="J630" i="11" s="1"/>
  <c r="AH90" i="11"/>
  <c r="I630" i="11" s="1"/>
  <c r="C630" i="11" s="1"/>
  <c r="O98" i="11"/>
  <c r="P98" i="11"/>
  <c r="J278" i="11" s="1"/>
  <c r="AI99" i="11"/>
  <c r="J639" i="11" s="1"/>
  <c r="AH99" i="11"/>
  <c r="I639" i="11" s="1"/>
  <c r="C639" i="11" s="1"/>
  <c r="AC109" i="11"/>
  <c r="J529" i="11" s="1"/>
  <c r="AB109" i="11"/>
  <c r="I529" i="11" s="1"/>
  <c r="C529" i="11" s="1"/>
  <c r="O95" i="11"/>
  <c r="P95" i="11"/>
  <c r="J275" i="11" s="1"/>
  <c r="AB66" i="11"/>
  <c r="I486" i="11" s="1"/>
  <c r="C486" i="11" s="1"/>
  <c r="AC66" i="11"/>
  <c r="J486" i="11" s="1"/>
  <c r="T67" i="11"/>
  <c r="J367" i="11" s="1"/>
  <c r="S67" i="11"/>
  <c r="I367" i="11" s="1"/>
  <c r="C367" i="11" s="1"/>
  <c r="O68" i="11"/>
  <c r="P68" i="11"/>
  <c r="J248" i="11" s="1"/>
  <c r="AH69" i="11"/>
  <c r="I609" i="11" s="1"/>
  <c r="C609" i="11" s="1"/>
  <c r="AI69" i="11"/>
  <c r="J609" i="11" s="1"/>
  <c r="AC70" i="11"/>
  <c r="J490" i="11" s="1"/>
  <c r="AB70" i="11"/>
  <c r="I490" i="11" s="1"/>
  <c r="C490" i="11" s="1"/>
  <c r="T76" i="11"/>
  <c r="J376" i="11" s="1"/>
  <c r="S76" i="11"/>
  <c r="I376" i="11" s="1"/>
  <c r="C376" i="11" s="1"/>
  <c r="AI78" i="11"/>
  <c r="J618" i="11" s="1"/>
  <c r="AH78" i="11"/>
  <c r="I618" i="11" s="1"/>
  <c r="C618" i="11" s="1"/>
  <c r="AC79" i="11"/>
  <c r="J499" i="11" s="1"/>
  <c r="AB79" i="11"/>
  <c r="I499" i="11" s="1"/>
  <c r="C499" i="11" s="1"/>
  <c r="T80" i="11"/>
  <c r="J380" i="11" s="1"/>
  <c r="S80" i="11"/>
  <c r="I380" i="11" s="1"/>
  <c r="C380" i="11" s="1"/>
  <c r="O86" i="11"/>
  <c r="P86" i="11"/>
  <c r="J266" i="11" s="1"/>
  <c r="AH87" i="11"/>
  <c r="I627" i="11" s="1"/>
  <c r="C627" i="11" s="1"/>
  <c r="AI87" i="11"/>
  <c r="J627" i="11" s="1"/>
  <c r="AB88" i="11"/>
  <c r="I508" i="11" s="1"/>
  <c r="C508" i="11" s="1"/>
  <c r="AC88" i="11"/>
  <c r="J508" i="11" s="1"/>
  <c r="T89" i="11"/>
  <c r="J389" i="11" s="1"/>
  <c r="S89" i="11"/>
  <c r="I389" i="11" s="1"/>
  <c r="C389" i="11" s="1"/>
  <c r="O90" i="11"/>
  <c r="P90" i="11"/>
  <c r="J270" i="11" s="1"/>
  <c r="AI96" i="11"/>
  <c r="J636" i="11" s="1"/>
  <c r="AH96" i="11"/>
  <c r="I636" i="11" s="1"/>
  <c r="C636" i="11" s="1"/>
  <c r="AC97" i="11"/>
  <c r="J517" i="11" s="1"/>
  <c r="AB97" i="11"/>
  <c r="I517" i="11" s="1"/>
  <c r="C517" i="11" s="1"/>
  <c r="T98" i="11"/>
  <c r="J398" i="11" s="1"/>
  <c r="S98" i="11"/>
  <c r="I398" i="11" s="1"/>
  <c r="C398" i="11" s="1"/>
  <c r="O99" i="11"/>
  <c r="P99" i="11"/>
  <c r="J279" i="11" s="1"/>
  <c r="AI100" i="11"/>
  <c r="J640" i="11" s="1"/>
  <c r="AH100" i="11"/>
  <c r="I640" i="11" s="1"/>
  <c r="C640" i="11" s="1"/>
  <c r="AB106" i="11"/>
  <c r="I526" i="11" s="1"/>
  <c r="C526" i="11" s="1"/>
  <c r="AC106" i="11"/>
  <c r="J526" i="11" s="1"/>
  <c r="S107" i="11"/>
  <c r="I407" i="11" s="1"/>
  <c r="C407" i="11" s="1"/>
  <c r="T107" i="11"/>
  <c r="J407" i="11" s="1"/>
  <c r="O108" i="11"/>
  <c r="P108" i="11"/>
  <c r="J288" i="11" s="1"/>
  <c r="AI109" i="11"/>
  <c r="J649" i="11" s="1"/>
  <c r="AH109" i="11"/>
  <c r="I649" i="11" s="1"/>
  <c r="C649" i="11" s="1"/>
  <c r="O72" i="11"/>
  <c r="P72" i="11"/>
  <c r="J252" i="11" s="1"/>
  <c r="T72" i="11"/>
  <c r="J372" i="11" s="1"/>
  <c r="S72" i="11"/>
  <c r="I372" i="11" s="1"/>
  <c r="C372" i="11" s="1"/>
  <c r="Z81" i="11"/>
  <c r="I441" i="11" s="1"/>
  <c r="C441" i="11" s="1"/>
  <c r="AA81" i="11"/>
  <c r="J441" i="11" s="1"/>
  <c r="T82" i="11"/>
  <c r="J382" i="11" s="1"/>
  <c r="S82" i="11"/>
  <c r="I382" i="11" s="1"/>
  <c r="C382" i="11" s="1"/>
  <c r="R83" i="11"/>
  <c r="J323" i="11" s="1"/>
  <c r="Q83" i="11"/>
  <c r="O84" i="11"/>
  <c r="P84" i="11"/>
  <c r="J264" i="11" s="1"/>
  <c r="K85" i="11"/>
  <c r="I145" i="11" s="1"/>
  <c r="C145" i="11" s="1"/>
  <c r="L85" i="11"/>
  <c r="J145" i="11" s="1"/>
  <c r="AK85" i="11"/>
  <c r="J685" i="11" s="1"/>
  <c r="AJ85" i="11"/>
  <c r="I685" i="11" s="1"/>
  <c r="C685" i="11" s="1"/>
  <c r="AI91" i="11"/>
  <c r="J631" i="11" s="1"/>
  <c r="AH91" i="11"/>
  <c r="I631" i="11" s="1"/>
  <c r="C631" i="11" s="1"/>
  <c r="AG92" i="11"/>
  <c r="J572" i="11" s="1"/>
  <c r="AF92" i="11"/>
  <c r="I572" i="11" s="1"/>
  <c r="C572" i="11" s="1"/>
  <c r="AC93" i="11"/>
  <c r="J513" i="11" s="1"/>
  <c r="AB93" i="11"/>
  <c r="I513" i="11" s="1"/>
  <c r="C513" i="11" s="1"/>
  <c r="Z94" i="11"/>
  <c r="I454" i="11" s="1"/>
  <c r="C454" i="11" s="1"/>
  <c r="AA94" i="11"/>
  <c r="J454" i="11" s="1"/>
  <c r="S95" i="11"/>
  <c r="I395" i="11" s="1"/>
  <c r="C395" i="11" s="1"/>
  <c r="T95" i="11"/>
  <c r="J395" i="11" s="1"/>
  <c r="Q101" i="11"/>
  <c r="R101" i="11"/>
  <c r="J341" i="11" s="1"/>
  <c r="O102" i="11"/>
  <c r="P102" i="11"/>
  <c r="J282" i="11" s="1"/>
  <c r="K103" i="11"/>
  <c r="I163" i="11" s="1"/>
  <c r="C163" i="11" s="1"/>
  <c r="L103" i="11"/>
  <c r="J163" i="11" s="1"/>
  <c r="AJ103" i="11"/>
  <c r="I703" i="11" s="1"/>
  <c r="C703" i="11" s="1"/>
  <c r="AK103" i="11"/>
  <c r="J703" i="11" s="1"/>
  <c r="AI104" i="11"/>
  <c r="J644" i="11" s="1"/>
  <c r="AH104" i="11"/>
  <c r="I644" i="11" s="1"/>
  <c r="C644" i="11" s="1"/>
  <c r="AF105" i="11"/>
  <c r="I585" i="11" s="1"/>
  <c r="C585" i="11" s="1"/>
  <c r="AG105" i="11"/>
  <c r="J585" i="11" s="1"/>
  <c r="AC111" i="11"/>
  <c r="J531" i="11" s="1"/>
  <c r="AB111" i="11"/>
  <c r="I531" i="11" s="1"/>
  <c r="C531" i="11" s="1"/>
  <c r="Z112" i="11"/>
  <c r="I472" i="11" s="1"/>
  <c r="C472" i="11" s="1"/>
  <c r="AA112" i="11"/>
  <c r="J472" i="11" s="1"/>
  <c r="T113" i="11"/>
  <c r="J413" i="11" s="1"/>
  <c r="S113" i="11"/>
  <c r="I413" i="11" s="1"/>
  <c r="C413" i="11" s="1"/>
  <c r="Q114" i="11"/>
  <c r="R114" i="11"/>
  <c r="J354" i="11" s="1"/>
  <c r="K115" i="11"/>
  <c r="I175" i="11" s="1"/>
  <c r="C175" i="11" s="1"/>
  <c r="P115" i="11"/>
  <c r="J295" i="11" s="1"/>
  <c r="AH71" i="11"/>
  <c r="I611" i="11" s="1"/>
  <c r="C611" i="11" s="1"/>
  <c r="AI71" i="11"/>
  <c r="J611" i="11" s="1"/>
  <c r="S69" i="11"/>
  <c r="I369" i="11" s="1"/>
  <c r="C369" i="11" s="1"/>
  <c r="T69" i="11"/>
  <c r="J369" i="11" s="1"/>
  <c r="O79" i="11"/>
  <c r="P79" i="11"/>
  <c r="J259" i="11" s="1"/>
  <c r="AC86" i="11"/>
  <c r="J506" i="11" s="1"/>
  <c r="AB86" i="11"/>
  <c r="I506" i="11" s="1"/>
  <c r="C506" i="11" s="1"/>
  <c r="O88" i="11"/>
  <c r="P88" i="11"/>
  <c r="J268" i="11" s="1"/>
  <c r="O97" i="11"/>
  <c r="P97" i="11"/>
  <c r="J277" i="11" s="1"/>
  <c r="T100" i="11"/>
  <c r="J400" i="11" s="1"/>
  <c r="S100" i="11"/>
  <c r="I400" i="11" s="1"/>
  <c r="C400" i="11" s="1"/>
  <c r="Q66" i="11"/>
  <c r="R66" i="11"/>
  <c r="K76" i="11"/>
  <c r="I136" i="11" s="1"/>
  <c r="C136" i="11" s="1"/>
  <c r="L76" i="11"/>
  <c r="J136" i="11" s="1"/>
  <c r="Z78" i="11"/>
  <c r="I438" i="11" s="1"/>
  <c r="C438" i="11" s="1"/>
  <c r="AA78" i="11"/>
  <c r="J438" i="11" s="1"/>
  <c r="AA87" i="11"/>
  <c r="J447" i="11" s="1"/>
  <c r="Z87" i="11"/>
  <c r="I447" i="11" s="1"/>
  <c r="C447" i="11" s="1"/>
  <c r="AJ89" i="11"/>
  <c r="I689" i="11" s="1"/>
  <c r="C689" i="11" s="1"/>
  <c r="AK89" i="11"/>
  <c r="J689" i="11" s="1"/>
  <c r="Q97" i="11"/>
  <c r="R97" i="11"/>
  <c r="J337" i="11" s="1"/>
  <c r="AA100" i="11"/>
  <c r="J460" i="11" s="1"/>
  <c r="Z100" i="11"/>
  <c r="I460" i="11" s="1"/>
  <c r="C460" i="11" s="1"/>
  <c r="AK107" i="11"/>
  <c r="J707" i="11" s="1"/>
  <c r="AJ107" i="11"/>
  <c r="I707" i="11" s="1"/>
  <c r="C707" i="11" s="1"/>
  <c r="O67" i="11"/>
  <c r="P67" i="11"/>
  <c r="J247" i="11" s="1"/>
  <c r="S79" i="11"/>
  <c r="I379" i="11" s="1"/>
  <c r="C379" i="11" s="1"/>
  <c r="T79" i="11"/>
  <c r="J379" i="11" s="1"/>
  <c r="AI86" i="11"/>
  <c r="J626" i="11" s="1"/>
  <c r="AH86" i="11"/>
  <c r="I626" i="11" s="1"/>
  <c r="C626" i="11" s="1"/>
  <c r="AC100" i="11"/>
  <c r="J520" i="11" s="1"/>
  <c r="AB100" i="11"/>
  <c r="I520" i="11" s="1"/>
  <c r="C520" i="11" s="1"/>
  <c r="AI108" i="11"/>
  <c r="J648" i="11" s="1"/>
  <c r="AH108" i="11"/>
  <c r="I648" i="11" s="1"/>
  <c r="C648" i="11" s="1"/>
  <c r="R94" i="11"/>
  <c r="J334" i="11" s="1"/>
  <c r="Q94" i="11"/>
  <c r="AF66" i="11"/>
  <c r="I546" i="11" s="1"/>
  <c r="C546" i="11" s="1"/>
  <c r="AG66" i="11"/>
  <c r="J546" i="11" s="1"/>
  <c r="Z67" i="11"/>
  <c r="I427" i="11" s="1"/>
  <c r="C427" i="11" s="1"/>
  <c r="AA67" i="11"/>
  <c r="J427" i="11" s="1"/>
  <c r="R68" i="11"/>
  <c r="J308" i="11" s="1"/>
  <c r="Q68" i="11"/>
  <c r="K69" i="11"/>
  <c r="I129" i="11" s="1"/>
  <c r="C129" i="11" s="1"/>
  <c r="L69" i="11"/>
  <c r="J129" i="11" s="1"/>
  <c r="AJ69" i="11"/>
  <c r="I669" i="11" s="1"/>
  <c r="C669" i="11" s="1"/>
  <c r="AK69" i="11"/>
  <c r="J669" i="11" s="1"/>
  <c r="AG70" i="11"/>
  <c r="J550" i="11" s="1"/>
  <c r="AF70" i="11"/>
  <c r="I550" i="11" s="1"/>
  <c r="C550" i="11" s="1"/>
  <c r="AA76" i="11"/>
  <c r="J436" i="11" s="1"/>
  <c r="Z76" i="11"/>
  <c r="I436" i="11" s="1"/>
  <c r="C436" i="11" s="1"/>
  <c r="Q77" i="11"/>
  <c r="R77" i="11"/>
  <c r="J317" i="11" s="1"/>
  <c r="K78" i="11"/>
  <c r="I138" i="11" s="1"/>
  <c r="C138" i="11" s="1"/>
  <c r="L78" i="11"/>
  <c r="J138" i="11" s="1"/>
  <c r="AK78" i="11"/>
  <c r="J678" i="11" s="1"/>
  <c r="AJ78" i="11"/>
  <c r="I678" i="11" s="1"/>
  <c r="C678" i="11" s="1"/>
  <c r="AF79" i="11"/>
  <c r="I559" i="11" s="1"/>
  <c r="C559" i="11" s="1"/>
  <c r="AG79" i="11"/>
  <c r="J559" i="11" s="1"/>
  <c r="Z80" i="11"/>
  <c r="I440" i="11" s="1"/>
  <c r="C440" i="11" s="1"/>
  <c r="AA80" i="11"/>
  <c r="J440" i="11" s="1"/>
  <c r="R86" i="11"/>
  <c r="J326" i="11" s="1"/>
  <c r="Q86" i="11"/>
  <c r="K87" i="11"/>
  <c r="I147" i="11" s="1"/>
  <c r="C147" i="11" s="1"/>
  <c r="L87" i="11"/>
  <c r="J147" i="11" s="1"/>
  <c r="AJ87" i="11"/>
  <c r="I687" i="11" s="1"/>
  <c r="C687" i="11" s="1"/>
  <c r="AK87" i="11"/>
  <c r="J687" i="11" s="1"/>
  <c r="AG88" i="11"/>
  <c r="J568" i="11" s="1"/>
  <c r="AF88" i="11"/>
  <c r="I568" i="11" s="1"/>
  <c r="C568" i="11" s="1"/>
  <c r="Z89" i="11"/>
  <c r="I449" i="11" s="1"/>
  <c r="C449" i="11" s="1"/>
  <c r="AA89" i="11"/>
  <c r="J449" i="11" s="1"/>
  <c r="Q90" i="11"/>
  <c r="R90" i="11"/>
  <c r="J330" i="11" s="1"/>
  <c r="K96" i="11"/>
  <c r="I156" i="11" s="1"/>
  <c r="C156" i="11" s="1"/>
  <c r="L96" i="11"/>
  <c r="J156" i="11" s="1"/>
  <c r="AK96" i="11"/>
  <c r="J696" i="11" s="1"/>
  <c r="AJ96" i="11"/>
  <c r="I696" i="11" s="1"/>
  <c r="C696" i="11" s="1"/>
  <c r="AG97" i="11"/>
  <c r="J577" i="11" s="1"/>
  <c r="AF97" i="11"/>
  <c r="I577" i="11" s="1"/>
  <c r="C577" i="11" s="1"/>
  <c r="AA98" i="11"/>
  <c r="J458" i="11" s="1"/>
  <c r="Z98" i="11"/>
  <c r="I458" i="11" s="1"/>
  <c r="C458" i="11" s="1"/>
  <c r="R99" i="11"/>
  <c r="J339" i="11" s="1"/>
  <c r="Q99" i="11"/>
  <c r="K100" i="11"/>
  <c r="I160" i="11" s="1"/>
  <c r="C160" i="11" s="1"/>
  <c r="L100" i="11"/>
  <c r="J160" i="11" s="1"/>
  <c r="AK100" i="11"/>
  <c r="J700" i="11" s="1"/>
  <c r="AJ100" i="11"/>
  <c r="I700" i="11" s="1"/>
  <c r="C700" i="11" s="1"/>
  <c r="AG106" i="11"/>
  <c r="J586" i="11" s="1"/>
  <c r="AF106" i="11"/>
  <c r="I586" i="11" s="1"/>
  <c r="C586" i="11" s="1"/>
  <c r="AA107" i="11"/>
  <c r="J467" i="11" s="1"/>
  <c r="Z107" i="11"/>
  <c r="I467" i="11" s="1"/>
  <c r="C467" i="11" s="1"/>
  <c r="R108" i="11"/>
  <c r="J348" i="11" s="1"/>
  <c r="Q108" i="11"/>
  <c r="K109" i="11"/>
  <c r="I169" i="11" s="1"/>
  <c r="C169" i="11" s="1"/>
  <c r="L109" i="11"/>
  <c r="J169" i="11" s="1"/>
  <c r="AJ109" i="11"/>
  <c r="I709" i="11" s="1"/>
  <c r="C709" i="11" s="1"/>
  <c r="AK109" i="11"/>
  <c r="J709" i="11" s="1"/>
  <c r="O73" i="11"/>
  <c r="P73" i="11"/>
  <c r="J253" i="11" s="1"/>
  <c r="S73" i="11"/>
  <c r="I373" i="11" s="1"/>
  <c r="C373" i="11" s="1"/>
  <c r="T73" i="11"/>
  <c r="J373" i="11" s="1"/>
  <c r="AB81" i="11"/>
  <c r="I501" i="11" s="1"/>
  <c r="C501" i="11" s="1"/>
  <c r="AC81" i="11"/>
  <c r="J501" i="11" s="1"/>
  <c r="AA82" i="11"/>
  <c r="J442" i="11" s="1"/>
  <c r="Z82" i="11"/>
  <c r="I442" i="11" s="1"/>
  <c r="C442" i="11" s="1"/>
  <c r="T83" i="11"/>
  <c r="J383" i="11" s="1"/>
  <c r="S83" i="11"/>
  <c r="I383" i="11" s="1"/>
  <c r="C383" i="11" s="1"/>
  <c r="R84" i="11"/>
  <c r="J324" i="11" s="1"/>
  <c r="Q84" i="11"/>
  <c r="O85" i="11"/>
  <c r="P85" i="11"/>
  <c r="J265" i="11" s="1"/>
  <c r="K91" i="11"/>
  <c r="I151" i="11" s="1"/>
  <c r="C151" i="11" s="1"/>
  <c r="L91" i="11"/>
  <c r="J151" i="11" s="1"/>
  <c r="AK91" i="11"/>
  <c r="J691" i="11" s="1"/>
  <c r="AJ91" i="11"/>
  <c r="I691" i="11" s="1"/>
  <c r="C691" i="11" s="1"/>
  <c r="AH92" i="11"/>
  <c r="I632" i="11" s="1"/>
  <c r="C632" i="11" s="1"/>
  <c r="AI92" i="11"/>
  <c r="J632" i="11" s="1"/>
  <c r="AF93" i="11"/>
  <c r="I573" i="11" s="1"/>
  <c r="C573" i="11" s="1"/>
  <c r="AG93" i="11"/>
  <c r="J573" i="11" s="1"/>
  <c r="AC94" i="11"/>
  <c r="J514" i="11" s="1"/>
  <c r="AB94" i="11"/>
  <c r="I514" i="11" s="1"/>
  <c r="C514" i="11" s="1"/>
  <c r="AA95" i="11"/>
  <c r="J455" i="11" s="1"/>
  <c r="Z95" i="11"/>
  <c r="I455" i="11" s="1"/>
  <c r="C455" i="11" s="1"/>
  <c r="T101" i="11"/>
  <c r="J401" i="11" s="1"/>
  <c r="S101" i="11"/>
  <c r="I401" i="11" s="1"/>
  <c r="C401" i="11" s="1"/>
  <c r="R102" i="11"/>
  <c r="J342" i="11" s="1"/>
  <c r="Q102" i="11"/>
  <c r="O103" i="11"/>
  <c r="P103" i="11"/>
  <c r="J283" i="11" s="1"/>
  <c r="K104" i="11"/>
  <c r="I164" i="11" s="1"/>
  <c r="C164" i="11" s="1"/>
  <c r="L104" i="11"/>
  <c r="J164" i="11" s="1"/>
  <c r="AJ104" i="11"/>
  <c r="I704" i="11" s="1"/>
  <c r="C704" i="11" s="1"/>
  <c r="AK104" i="11"/>
  <c r="J704" i="11" s="1"/>
  <c r="AI105" i="11"/>
  <c r="J645" i="11" s="1"/>
  <c r="AH105" i="11"/>
  <c r="I645" i="11" s="1"/>
  <c r="C645" i="11" s="1"/>
  <c r="AG111" i="11"/>
  <c r="J591" i="11" s="1"/>
  <c r="AF111" i="11"/>
  <c r="I591" i="11" s="1"/>
  <c r="C591" i="11" s="1"/>
  <c r="AC112" i="11"/>
  <c r="J532" i="11" s="1"/>
  <c r="AB112" i="11"/>
  <c r="I532" i="11" s="1"/>
  <c r="C532" i="11" s="1"/>
  <c r="Z113" i="11"/>
  <c r="I473" i="11" s="1"/>
  <c r="C473" i="11" s="1"/>
  <c r="AA113" i="11"/>
  <c r="J473" i="11" s="1"/>
  <c r="T114" i="11"/>
  <c r="J414" i="11" s="1"/>
  <c r="S114" i="11"/>
  <c r="I414" i="11" s="1"/>
  <c r="C414" i="11" s="1"/>
  <c r="O115" i="11"/>
  <c r="R115" i="11"/>
  <c r="J355" i="11" s="1"/>
  <c r="Q115" i="11"/>
  <c r="AK71" i="11"/>
  <c r="J671" i="11" s="1"/>
  <c r="AJ71" i="11"/>
  <c r="I671" i="11" s="1"/>
  <c r="C671" i="11" s="1"/>
  <c r="I79" i="11"/>
  <c r="C79" i="11" s="1"/>
  <c r="I70" i="11"/>
  <c r="C70" i="11" s="1"/>
  <c r="I88" i="11"/>
  <c r="C88" i="11" s="1"/>
  <c r="I97" i="11"/>
  <c r="C97" i="11" s="1"/>
  <c r="I106" i="11"/>
  <c r="C106" i="11" s="1"/>
  <c r="I71" i="11"/>
  <c r="C71" i="11" s="1"/>
  <c r="I84" i="11"/>
  <c r="C84" i="11" s="1"/>
  <c r="I111" i="11"/>
  <c r="C111" i="11" s="1"/>
  <c r="I115" i="11"/>
  <c r="C115" i="11" s="1"/>
  <c r="I72" i="11"/>
  <c r="C72" i="11" s="1"/>
  <c r="I85" i="11"/>
  <c r="C85" i="11" s="1"/>
  <c r="I102" i="11"/>
  <c r="C102" i="11" s="1"/>
  <c r="I67" i="11"/>
  <c r="C67" i="11" s="1"/>
  <c r="I89" i="11"/>
  <c r="C89" i="11" s="1"/>
  <c r="I98" i="11"/>
  <c r="C98" i="11" s="1"/>
  <c r="I73" i="11"/>
  <c r="C73" i="11" s="1"/>
  <c r="I91" i="11"/>
  <c r="C91" i="11" s="1"/>
  <c r="I103" i="11"/>
  <c r="C103" i="11" s="1"/>
  <c r="I74" i="11"/>
  <c r="C74" i="11" s="1"/>
  <c r="I92" i="11"/>
  <c r="C92" i="11" s="1"/>
  <c r="I104" i="11"/>
  <c r="C104" i="11" s="1"/>
  <c r="I66" i="11"/>
  <c r="C66" i="11" s="1"/>
  <c r="I80" i="11"/>
  <c r="C80" i="11" s="1"/>
  <c r="I90" i="11"/>
  <c r="C90" i="11" s="1"/>
  <c r="I99" i="11"/>
  <c r="C99" i="11" s="1"/>
  <c r="I108" i="11"/>
  <c r="C108" i="11" s="1"/>
  <c r="I75" i="11"/>
  <c r="C75" i="11" s="1"/>
  <c r="I93" i="11"/>
  <c r="C93" i="11" s="1"/>
  <c r="I105" i="11"/>
  <c r="C105" i="11" s="1"/>
  <c r="I76" i="11"/>
  <c r="C76" i="11" s="1"/>
  <c r="I107" i="11"/>
  <c r="C107" i="11" s="1"/>
  <c r="I77" i="11"/>
  <c r="C77" i="11" s="1"/>
  <c r="I81" i="11"/>
  <c r="C81" i="11" s="1"/>
  <c r="I94" i="11"/>
  <c r="C94" i="11" s="1"/>
  <c r="I112" i="11"/>
  <c r="C112" i="11" s="1"/>
  <c r="I68" i="11"/>
  <c r="C68" i="11" s="1"/>
  <c r="I69" i="11"/>
  <c r="C69" i="11" s="1"/>
  <c r="I78" i="11"/>
  <c r="C78" i="11" s="1"/>
  <c r="I87" i="11"/>
  <c r="C87" i="11" s="1"/>
  <c r="I96" i="11"/>
  <c r="C96" i="11" s="1"/>
  <c r="I100" i="11"/>
  <c r="C100" i="11" s="1"/>
  <c r="I109" i="11"/>
  <c r="C109" i="11" s="1"/>
  <c r="I82" i="11"/>
  <c r="C82" i="11" s="1"/>
  <c r="I95" i="11"/>
  <c r="C95" i="11" s="1"/>
  <c r="I113" i="11"/>
  <c r="C113" i="11" s="1"/>
  <c r="I86" i="11"/>
  <c r="C86" i="11" s="1"/>
  <c r="I83" i="11"/>
  <c r="C83" i="11" s="1"/>
  <c r="I101" i="11"/>
  <c r="C101" i="11" s="1"/>
  <c r="I114" i="11"/>
  <c r="C114" i="11" s="1"/>
  <c r="O77" i="11"/>
  <c r="O78" i="11"/>
  <c r="A750" i="11" l="1"/>
  <c r="A740" i="11"/>
  <c r="A734" i="11"/>
  <c r="DP8" i="11"/>
  <c r="DQ23" i="11"/>
  <c r="A774" i="11"/>
  <c r="DN19" i="11"/>
  <c r="DS43" i="11"/>
  <c r="A757" i="11"/>
  <c r="DQ32" i="11"/>
  <c r="DQ51" i="11"/>
  <c r="DO23" i="11"/>
  <c r="DP14" i="11"/>
  <c r="DQ24" i="11"/>
  <c r="DT20" i="11"/>
  <c r="A756" i="11"/>
  <c r="A754" i="11"/>
  <c r="DS34" i="11"/>
  <c r="C197" i="11"/>
  <c r="I257" i="11"/>
  <c r="C257" i="11" s="1"/>
  <c r="C200" i="11"/>
  <c r="I260" i="11"/>
  <c r="C260" i="11" s="1"/>
  <c r="C209" i="11"/>
  <c r="I269" i="11"/>
  <c r="C269" i="11" s="1"/>
  <c r="C188" i="11"/>
  <c r="A188" i="11" s="1"/>
  <c r="I248" i="11"/>
  <c r="C248" i="11" s="1"/>
  <c r="C213" i="11"/>
  <c r="I273" i="11"/>
  <c r="C273" i="11" s="1"/>
  <c r="C225" i="11"/>
  <c r="A225" i="11" s="1"/>
  <c r="I285" i="11"/>
  <c r="C285" i="11" s="1"/>
  <c r="C220" i="11"/>
  <c r="I280" i="11"/>
  <c r="C280" i="11" s="1"/>
  <c r="C205" i="11"/>
  <c r="A205" i="11" s="1"/>
  <c r="I265" i="11"/>
  <c r="C265" i="11" s="1"/>
  <c r="C235" i="11"/>
  <c r="I295" i="11"/>
  <c r="C295" i="11" s="1"/>
  <c r="C208" i="11"/>
  <c r="D208" i="11" s="1"/>
  <c r="B208" i="11" s="1"/>
  <c r="I268" i="11"/>
  <c r="C268" i="11" s="1"/>
  <c r="C192" i="11"/>
  <c r="I252" i="11"/>
  <c r="C252" i="11" s="1"/>
  <c r="C228" i="11"/>
  <c r="A228" i="11" s="1"/>
  <c r="I288" i="11"/>
  <c r="C288" i="11" s="1"/>
  <c r="C219" i="11"/>
  <c r="A219" i="11" s="1"/>
  <c r="I279" i="11"/>
  <c r="C279" i="11" s="1"/>
  <c r="C210" i="11"/>
  <c r="A210" i="11" s="1"/>
  <c r="I270" i="11"/>
  <c r="C270" i="11" s="1"/>
  <c r="C215" i="11"/>
  <c r="I275" i="11"/>
  <c r="C275" i="11" s="1"/>
  <c r="C234" i="11"/>
  <c r="D234" i="11" s="1"/>
  <c r="B234" i="11" s="1"/>
  <c r="I294" i="11"/>
  <c r="C294" i="11" s="1"/>
  <c r="C203" i="11"/>
  <c r="D203" i="11" s="1"/>
  <c r="B203" i="11" s="1"/>
  <c r="I263" i="11"/>
  <c r="C263" i="11" s="1"/>
  <c r="D293" i="11"/>
  <c r="B293" i="11" s="1"/>
  <c r="A293" i="11"/>
  <c r="C202" i="11"/>
  <c r="I262" i="11"/>
  <c r="C262" i="11" s="1"/>
  <c r="C201" i="11"/>
  <c r="D201" i="11" s="1"/>
  <c r="B201" i="11" s="1"/>
  <c r="I261" i="11"/>
  <c r="C261" i="11" s="1"/>
  <c r="C231" i="11"/>
  <c r="I291" i="11"/>
  <c r="C291" i="11" s="1"/>
  <c r="C195" i="11"/>
  <c r="A195" i="11" s="1"/>
  <c r="I255" i="11"/>
  <c r="C255" i="11" s="1"/>
  <c r="C191" i="11"/>
  <c r="I251" i="11"/>
  <c r="C251" i="11" s="1"/>
  <c r="C189" i="11"/>
  <c r="A189" i="11" s="1"/>
  <c r="I249" i="11"/>
  <c r="C249" i="11" s="1"/>
  <c r="C217" i="11"/>
  <c r="I277" i="11"/>
  <c r="C277" i="11" s="1"/>
  <c r="C226" i="11"/>
  <c r="D226" i="11" s="1"/>
  <c r="B226" i="11" s="1"/>
  <c r="I286" i="11"/>
  <c r="C286" i="11" s="1"/>
  <c r="C218" i="11"/>
  <c r="D218" i="11" s="1"/>
  <c r="B218" i="11" s="1"/>
  <c r="I278" i="11"/>
  <c r="C278" i="11" s="1"/>
  <c r="C212" i="11"/>
  <c r="A212" i="11" s="1"/>
  <c r="I272" i="11"/>
  <c r="C272" i="11" s="1"/>
  <c r="C207" i="11"/>
  <c r="A207" i="11" s="1"/>
  <c r="I267" i="11"/>
  <c r="C267" i="11" s="1"/>
  <c r="C196" i="11"/>
  <c r="A196" i="11" s="1"/>
  <c r="I256" i="11"/>
  <c r="C256" i="11" s="1"/>
  <c r="C187" i="11"/>
  <c r="I247" i="11"/>
  <c r="C247" i="11" s="1"/>
  <c r="C223" i="11"/>
  <c r="A223" i="11" s="1"/>
  <c r="I283" i="11"/>
  <c r="C283" i="11" s="1"/>
  <c r="C194" i="11"/>
  <c r="D194" i="11" s="1"/>
  <c r="B194" i="11" s="1"/>
  <c r="I254" i="11"/>
  <c r="C254" i="11" s="1"/>
  <c r="A246" i="11"/>
  <c r="D246" i="11"/>
  <c r="B246" i="11" s="1"/>
  <c r="J306" i="11"/>
  <c r="J246" i="11"/>
  <c r="C224" i="11"/>
  <c r="D224" i="11" s="1"/>
  <c r="B224" i="11" s="1"/>
  <c r="I284" i="11"/>
  <c r="C284" i="11" s="1"/>
  <c r="A762" i="11"/>
  <c r="DQ42" i="11"/>
  <c r="DR11" i="11"/>
  <c r="DQ11" i="11"/>
  <c r="C229" i="11"/>
  <c r="D229" i="11" s="1"/>
  <c r="B229" i="11" s="1"/>
  <c r="I289" i="11"/>
  <c r="C289" i="11" s="1"/>
  <c r="C232" i="11"/>
  <c r="A232" i="11" s="1"/>
  <c r="I292" i="11"/>
  <c r="C292" i="11" s="1"/>
  <c r="C227" i="11"/>
  <c r="I287" i="11"/>
  <c r="C287" i="11" s="1"/>
  <c r="C222" i="11"/>
  <c r="A222" i="11" s="1"/>
  <c r="I282" i="11"/>
  <c r="C282" i="11" s="1"/>
  <c r="C216" i="11"/>
  <c r="I276" i="11"/>
  <c r="C276" i="11" s="1"/>
  <c r="C214" i="11"/>
  <c r="A214" i="11" s="1"/>
  <c r="I274" i="11"/>
  <c r="C274" i="11" s="1"/>
  <c r="C211" i="11"/>
  <c r="I271" i="11"/>
  <c r="C271" i="11" s="1"/>
  <c r="C221" i="11"/>
  <c r="I281" i="11"/>
  <c r="C281" i="11" s="1"/>
  <c r="C206" i="11"/>
  <c r="A206" i="11" s="1"/>
  <c r="I266" i="11"/>
  <c r="C266" i="11" s="1"/>
  <c r="C204" i="11"/>
  <c r="A204" i="11" s="1"/>
  <c r="I264" i="11"/>
  <c r="C264" i="11" s="1"/>
  <c r="C198" i="11"/>
  <c r="D198" i="11" s="1"/>
  <c r="B198" i="11" s="1"/>
  <c r="I258" i="11"/>
  <c r="C258" i="11" s="1"/>
  <c r="C199" i="11"/>
  <c r="A199" i="11" s="1"/>
  <c r="I259" i="11"/>
  <c r="C259" i="11" s="1"/>
  <c r="DS19" i="11"/>
  <c r="C193" i="11"/>
  <c r="D193" i="11" s="1"/>
  <c r="B193" i="11" s="1"/>
  <c r="I253" i="11"/>
  <c r="C253" i="11" s="1"/>
  <c r="DL49" i="11"/>
  <c r="C233" i="11"/>
  <c r="A773" i="11"/>
  <c r="DW28" i="11"/>
  <c r="C190" i="11"/>
  <c r="A190" i="11" s="1"/>
  <c r="I250" i="11"/>
  <c r="C250" i="11" s="1"/>
  <c r="DW48" i="11"/>
  <c r="DU28" i="11"/>
  <c r="DW53" i="11"/>
  <c r="DS44" i="11"/>
  <c r="DU48" i="11"/>
  <c r="DV28" i="11"/>
  <c r="DV48" i="11"/>
  <c r="DV9" i="11"/>
  <c r="I342" i="11"/>
  <c r="C342" i="11" s="1"/>
  <c r="I326" i="11"/>
  <c r="C326" i="11" s="1"/>
  <c r="I320" i="11"/>
  <c r="C320" i="11" s="1"/>
  <c r="I352" i="11"/>
  <c r="C352" i="11" s="1"/>
  <c r="I313" i="11"/>
  <c r="C313" i="11" s="1"/>
  <c r="I331" i="11"/>
  <c r="C331" i="11" s="1"/>
  <c r="I327" i="11"/>
  <c r="C327" i="11" s="1"/>
  <c r="I325" i="11"/>
  <c r="C325" i="11" s="1"/>
  <c r="I341" i="11"/>
  <c r="C341" i="11" s="1"/>
  <c r="I353" i="11"/>
  <c r="C353" i="11" s="1"/>
  <c r="I315" i="11"/>
  <c r="C315" i="11" s="1"/>
  <c r="I319" i="11"/>
  <c r="C319" i="11" s="1"/>
  <c r="I334" i="11"/>
  <c r="C334" i="11" s="1"/>
  <c r="I316" i="11"/>
  <c r="C316" i="11" s="1"/>
  <c r="I348" i="11"/>
  <c r="C348" i="11" s="1"/>
  <c r="I318" i="11"/>
  <c r="C318" i="11" s="1"/>
  <c r="I317" i="11"/>
  <c r="C317" i="11" s="1"/>
  <c r="I308" i="11"/>
  <c r="C308" i="11" s="1"/>
  <c r="I345" i="11"/>
  <c r="C345" i="11" s="1"/>
  <c r="I322" i="11"/>
  <c r="C322" i="11" s="1"/>
  <c r="I307" i="11"/>
  <c r="C307" i="11" s="1"/>
  <c r="I343" i="11"/>
  <c r="C343" i="11" s="1"/>
  <c r="I323" i="11"/>
  <c r="C323" i="11" s="1"/>
  <c r="I335" i="11"/>
  <c r="C335" i="11" s="1"/>
  <c r="I310" i="11"/>
  <c r="C310" i="11" s="1"/>
  <c r="I347" i="11"/>
  <c r="C347" i="11" s="1"/>
  <c r="I349" i="11"/>
  <c r="C349" i="11" s="1"/>
  <c r="I339" i="11"/>
  <c r="C339" i="11" s="1"/>
  <c r="I321" i="11"/>
  <c r="C321" i="11" s="1"/>
  <c r="I351" i="11"/>
  <c r="C351" i="11" s="1"/>
  <c r="I329" i="11"/>
  <c r="C329" i="11" s="1"/>
  <c r="I314" i="11"/>
  <c r="C314" i="11" s="1"/>
  <c r="I346" i="11"/>
  <c r="C346" i="11" s="1"/>
  <c r="I311" i="11"/>
  <c r="C311" i="11" s="1"/>
  <c r="I336" i="11"/>
  <c r="C336" i="11" s="1"/>
  <c r="C186" i="11"/>
  <c r="I306" i="11"/>
  <c r="C306" i="11" s="1"/>
  <c r="I324" i="11"/>
  <c r="C324" i="11" s="1"/>
  <c r="I337" i="11"/>
  <c r="C337" i="11" s="1"/>
  <c r="I338" i="11"/>
  <c r="C338" i="11" s="1"/>
  <c r="I340" i="11"/>
  <c r="C340" i="11" s="1"/>
  <c r="I309" i="11"/>
  <c r="C309" i="11" s="1"/>
  <c r="I355" i="11"/>
  <c r="C355" i="11" s="1"/>
  <c r="I330" i="11"/>
  <c r="C330" i="11" s="1"/>
  <c r="I354" i="11"/>
  <c r="C354" i="11" s="1"/>
  <c r="D354" i="11" s="1"/>
  <c r="B354" i="11" s="1"/>
  <c r="I333" i="11"/>
  <c r="C333" i="11" s="1"/>
  <c r="I332" i="11"/>
  <c r="C332" i="11" s="1"/>
  <c r="I312" i="11"/>
  <c r="C312" i="11" s="1"/>
  <c r="I344" i="11"/>
  <c r="C344" i="11" s="1"/>
  <c r="I328" i="11"/>
  <c r="C328" i="11" s="1"/>
  <c r="BS21" i="11"/>
  <c r="AT21" i="11" s="1"/>
  <c r="EA21" i="11" s="1"/>
  <c r="AC21" i="11"/>
  <c r="DJ21" i="11" s="1"/>
  <c r="AC7" i="11"/>
  <c r="DQ7" i="11" s="1"/>
  <c r="BS7" i="11"/>
  <c r="AT7" i="11" s="1"/>
  <c r="EA7" i="11" s="1"/>
  <c r="AC45" i="11"/>
  <c r="DJ45" i="11" s="1"/>
  <c r="BS45" i="11"/>
  <c r="AT45" i="11" s="1"/>
  <c r="EA45" i="11" s="1"/>
  <c r="AC39" i="11"/>
  <c r="DJ39" i="11" s="1"/>
  <c r="BS39" i="11"/>
  <c r="AT39" i="11" s="1"/>
  <c r="EA39" i="11" s="1"/>
  <c r="AC8" i="11"/>
  <c r="DJ8" i="11" s="1"/>
  <c r="BS8" i="11"/>
  <c r="CP8" i="11" s="1"/>
  <c r="BS29" i="11"/>
  <c r="AT29" i="11" s="1"/>
  <c r="EA29" i="11" s="1"/>
  <c r="AC29" i="11"/>
  <c r="DW29" i="11" s="1"/>
  <c r="AC37" i="11"/>
  <c r="DL37" i="11" s="1"/>
  <c r="BS37" i="11"/>
  <c r="CV37" i="11" s="1"/>
  <c r="BS14" i="11"/>
  <c r="AT14" i="11" s="1"/>
  <c r="EA14" i="11" s="1"/>
  <c r="AC14" i="11"/>
  <c r="DJ14" i="11" s="1"/>
  <c r="AC6" i="11"/>
  <c r="BS6" i="11"/>
  <c r="AT6" i="11" s="1"/>
  <c r="EA6" i="11" s="1"/>
  <c r="BS53" i="11"/>
  <c r="AT53" i="11" s="1"/>
  <c r="EA53" i="11" s="1"/>
  <c r="AC53" i="11"/>
  <c r="DV53" i="11" s="1"/>
  <c r="AC40" i="11"/>
  <c r="DW40" i="11" s="1"/>
  <c r="BS40" i="11"/>
  <c r="CS40" i="11" s="1"/>
  <c r="AF17" i="11"/>
  <c r="BV17" i="11"/>
  <c r="BS24" i="11"/>
  <c r="AT24" i="11" s="1"/>
  <c r="EA24" i="11" s="1"/>
  <c r="AC24" i="11"/>
  <c r="DJ24" i="11" s="1"/>
  <c r="CL29" i="11"/>
  <c r="CL50" i="11"/>
  <c r="CQ50" i="11"/>
  <c r="CR50" i="11"/>
  <c r="DR50" i="11"/>
  <c r="DL50" i="11"/>
  <c r="CL8" i="11"/>
  <c r="AD55" i="11"/>
  <c r="DK55" i="11" s="1"/>
  <c r="BT55" i="11"/>
  <c r="CK55" i="11" s="1"/>
  <c r="AC31" i="11"/>
  <c r="DJ31" i="11" s="1"/>
  <c r="BS31" i="11"/>
  <c r="AT31" i="11" s="1"/>
  <c r="EA31" i="11" s="1"/>
  <c r="AC11" i="11"/>
  <c r="DM11" i="11" s="1"/>
  <c r="BS11" i="11"/>
  <c r="AT11" i="11" s="1"/>
  <c r="EA11" i="11" s="1"/>
  <c r="AC33" i="11"/>
  <c r="DJ33" i="11" s="1"/>
  <c r="BS33" i="11"/>
  <c r="AT33" i="11" s="1"/>
  <c r="EA33" i="11" s="1"/>
  <c r="BS30" i="11"/>
  <c r="CT30" i="11" s="1"/>
  <c r="AC30" i="11"/>
  <c r="DJ30" i="11" s="1"/>
  <c r="BS43" i="11"/>
  <c r="AT43" i="11" s="1"/>
  <c r="EA43" i="11" s="1"/>
  <c r="AC43" i="11"/>
  <c r="DJ43" i="11" s="1"/>
  <c r="AC42" i="11"/>
  <c r="BS42" i="11"/>
  <c r="CV42" i="11" s="1"/>
  <c r="BS54" i="11"/>
  <c r="AT54" i="11" s="1"/>
  <c r="EA54" i="11" s="1"/>
  <c r="AC54" i="11"/>
  <c r="DJ54" i="11" s="1"/>
  <c r="AD6" i="11"/>
  <c r="DK6" i="11" s="1"/>
  <c r="BT6" i="11"/>
  <c r="AC23" i="11"/>
  <c r="DJ23" i="11" s="1"/>
  <c r="BS23" i="11"/>
  <c r="AT23" i="11" s="1"/>
  <c r="EA23" i="11" s="1"/>
  <c r="BS35" i="11"/>
  <c r="AT35" i="11" s="1"/>
  <c r="EA35" i="11" s="1"/>
  <c r="AC35" i="11"/>
  <c r="DJ35" i="11" s="1"/>
  <c r="AC36" i="11"/>
  <c r="DS36" i="11" s="1"/>
  <c r="BS36" i="11"/>
  <c r="AT36" i="11" s="1"/>
  <c r="EA36" i="11" s="1"/>
  <c r="AC9" i="11"/>
  <c r="DU9" i="11" s="1"/>
  <c r="BS9" i="11"/>
  <c r="AT9" i="11" s="1"/>
  <c r="EA9" i="11" s="1"/>
  <c r="AF18" i="11"/>
  <c r="BV18" i="11"/>
  <c r="DN42" i="11"/>
  <c r="CM8" i="11"/>
  <c r="DK33" i="11"/>
  <c r="BS46" i="11"/>
  <c r="AT46" i="11" s="1"/>
  <c r="EA46" i="11" s="1"/>
  <c r="AC46" i="11"/>
  <c r="DU46" i="11" s="1"/>
  <c r="AC55" i="11"/>
  <c r="DJ55" i="11" s="1"/>
  <c r="BS55" i="11"/>
  <c r="AT55" i="11" s="1"/>
  <c r="EA55" i="11" s="1"/>
  <c r="AC27" i="11"/>
  <c r="DW27" i="11" s="1"/>
  <c r="BS27" i="11"/>
  <c r="AT27" i="11" s="1"/>
  <c r="EA27" i="11" s="1"/>
  <c r="CN8" i="11"/>
  <c r="AC15" i="11"/>
  <c r="DJ15" i="11" s="1"/>
  <c r="BS15" i="11"/>
  <c r="AT15" i="11" s="1"/>
  <c r="EA15" i="11" s="1"/>
  <c r="AC47" i="11"/>
  <c r="BS47" i="11"/>
  <c r="AT47" i="11" s="1"/>
  <c r="EA47" i="11" s="1"/>
  <c r="AC44" i="11"/>
  <c r="DW44" i="11" s="1"/>
  <c r="BS44" i="11"/>
  <c r="AT44" i="11" s="1"/>
  <c r="EA44" i="11" s="1"/>
  <c r="AC28" i="11"/>
  <c r="DN28" i="11" s="1"/>
  <c r="BS28" i="11"/>
  <c r="AT28" i="11" s="1"/>
  <c r="EA28" i="11" s="1"/>
  <c r="AC22" i="11"/>
  <c r="BS22" i="11"/>
  <c r="AT22" i="11" s="1"/>
  <c r="EA22" i="11" s="1"/>
  <c r="CK8" i="11"/>
  <c r="DM24" i="11"/>
  <c r="AC20" i="11"/>
  <c r="DJ20" i="11" s="1"/>
  <c r="BS20" i="11"/>
  <c r="CT20" i="11" s="1"/>
  <c r="AC12" i="11"/>
  <c r="DJ12" i="11" s="1"/>
  <c r="BS12" i="11"/>
  <c r="AT12" i="11" s="1"/>
  <c r="EA12" i="11" s="1"/>
  <c r="AC13" i="11"/>
  <c r="DT13" i="11" s="1"/>
  <c r="BS13" i="11"/>
  <c r="AT13" i="11" s="1"/>
  <c r="EA13" i="11" s="1"/>
  <c r="BS34" i="11"/>
  <c r="AT34" i="11" s="1"/>
  <c r="EA34" i="11" s="1"/>
  <c r="AC34" i="11"/>
  <c r="DM34" i="11" s="1"/>
  <c r="BS16" i="11"/>
  <c r="AT16" i="11" s="1"/>
  <c r="EA16" i="11" s="1"/>
  <c r="AC16" i="11"/>
  <c r="DQ16" i="11" s="1"/>
  <c r="BS19" i="11"/>
  <c r="AT19" i="11" s="1"/>
  <c r="EA19" i="11" s="1"/>
  <c r="AC19" i="11"/>
  <c r="DW19" i="11" s="1"/>
  <c r="BS48" i="11"/>
  <c r="AT48" i="11" s="1"/>
  <c r="EA48" i="11" s="1"/>
  <c r="AC48" i="11"/>
  <c r="DL48" i="11" s="1"/>
  <c r="AC17" i="11"/>
  <c r="DQ17" i="11" s="1"/>
  <c r="BS17" i="11"/>
  <c r="AT17" i="11" s="1"/>
  <c r="EA17" i="11" s="1"/>
  <c r="BS38" i="11"/>
  <c r="AT38" i="11" s="1"/>
  <c r="EA38" i="11" s="1"/>
  <c r="AC38" i="11"/>
  <c r="BS51" i="11"/>
  <c r="AT51" i="11" s="1"/>
  <c r="EA51" i="11" s="1"/>
  <c r="AC51" i="11"/>
  <c r="AC32" i="11"/>
  <c r="DJ32" i="11" s="1"/>
  <c r="BS32" i="11"/>
  <c r="AT32" i="11" s="1"/>
  <c r="EA32" i="11" s="1"/>
  <c r="BS10" i="11"/>
  <c r="CS10" i="11" s="1"/>
  <c r="AC10" i="11"/>
  <c r="DJ10" i="11" s="1"/>
  <c r="AC41" i="11"/>
  <c r="DM41" i="11" s="1"/>
  <c r="BS41" i="11"/>
  <c r="AT41" i="11" s="1"/>
  <c r="EA41" i="11" s="1"/>
  <c r="AC49" i="11"/>
  <c r="DJ49" i="11" s="1"/>
  <c r="BS49" i="11"/>
  <c r="CT49" i="11" s="1"/>
  <c r="AC18" i="11"/>
  <c r="DS18" i="11" s="1"/>
  <c r="BS18" i="11"/>
  <c r="AT18" i="11" s="1"/>
  <c r="EA18" i="11" s="1"/>
  <c r="AC25" i="11"/>
  <c r="DJ25" i="11" s="1"/>
  <c r="BS25" i="11"/>
  <c r="AT25" i="11" s="1"/>
  <c r="EA25" i="11" s="1"/>
  <c r="AC52" i="11"/>
  <c r="DM52" i="11" s="1"/>
  <c r="BS52" i="11"/>
  <c r="AT52" i="11" s="1"/>
  <c r="EA52" i="11" s="1"/>
  <c r="BS26" i="11"/>
  <c r="AT26" i="11" s="1"/>
  <c r="EA26" i="11" s="1"/>
  <c r="AC26" i="11"/>
  <c r="DL26" i="11" s="1"/>
  <c r="D104" i="11"/>
  <c r="B104" i="11" s="1"/>
  <c r="A104" i="11"/>
  <c r="D520" i="11"/>
  <c r="B520" i="11" s="1"/>
  <c r="A520" i="11"/>
  <c r="D169" i="11"/>
  <c r="B169" i="11" s="1"/>
  <c r="A169" i="11"/>
  <c r="D669" i="11"/>
  <c r="B669" i="11" s="1"/>
  <c r="A669" i="11"/>
  <c r="D546" i="11"/>
  <c r="B546" i="11" s="1"/>
  <c r="A546" i="11"/>
  <c r="D438" i="11"/>
  <c r="B438" i="11" s="1"/>
  <c r="A438" i="11"/>
  <c r="D217" i="11"/>
  <c r="B217" i="11" s="1"/>
  <c r="A217" i="11"/>
  <c r="D369" i="11"/>
  <c r="B369" i="11" s="1"/>
  <c r="A369" i="11"/>
  <c r="D407" i="11"/>
  <c r="B407" i="11" s="1"/>
  <c r="A407" i="11"/>
  <c r="D486" i="11"/>
  <c r="B486" i="11" s="1"/>
  <c r="A486" i="11"/>
  <c r="A218" i="11"/>
  <c r="D579" i="11"/>
  <c r="B579" i="11" s="1"/>
  <c r="A579" i="11"/>
  <c r="D607" i="11"/>
  <c r="B607" i="11" s="1"/>
  <c r="A607" i="11"/>
  <c r="D221" i="11"/>
  <c r="B221" i="11" s="1"/>
  <c r="A221" i="11"/>
  <c r="D144" i="11"/>
  <c r="B144" i="11" s="1"/>
  <c r="A144" i="11"/>
  <c r="D168" i="11"/>
  <c r="B168" i="11" s="1"/>
  <c r="A168" i="11"/>
  <c r="D137" i="11"/>
  <c r="B137" i="11" s="1"/>
  <c r="A137" i="11"/>
  <c r="D200" i="11"/>
  <c r="B200" i="11" s="1"/>
  <c r="A200" i="11"/>
  <c r="D158" i="11"/>
  <c r="B158" i="11" s="1"/>
  <c r="A158" i="11"/>
  <c r="D655" i="11"/>
  <c r="B655" i="11" s="1"/>
  <c r="A655" i="11"/>
  <c r="D642" i="11"/>
  <c r="B642" i="11" s="1"/>
  <c r="A642" i="11"/>
  <c r="D511" i="11"/>
  <c r="B511" i="11" s="1"/>
  <c r="A511" i="11"/>
  <c r="D143" i="11"/>
  <c r="B143" i="11" s="1"/>
  <c r="A143" i="11"/>
  <c r="D134" i="11"/>
  <c r="B134" i="11" s="1"/>
  <c r="A134" i="11"/>
  <c r="D149" i="11"/>
  <c r="B149" i="11" s="1"/>
  <c r="A149" i="11"/>
  <c r="D173" i="11"/>
  <c r="B173" i="11" s="1"/>
  <c r="A173" i="11"/>
  <c r="D464" i="11"/>
  <c r="B464" i="11" s="1"/>
  <c r="A464" i="11"/>
  <c r="D623" i="11"/>
  <c r="B623" i="11" s="1"/>
  <c r="A623" i="11"/>
  <c r="D535" i="11"/>
  <c r="B535" i="11" s="1"/>
  <c r="A535" i="11"/>
  <c r="D172" i="11"/>
  <c r="B172" i="11" s="1"/>
  <c r="A172" i="11"/>
  <c r="D694" i="11"/>
  <c r="B694" i="11" s="1"/>
  <c r="A694" i="11"/>
  <c r="D622" i="11"/>
  <c r="B622" i="11" s="1"/>
  <c r="A622" i="11"/>
  <c r="D132" i="11"/>
  <c r="B132" i="11" s="1"/>
  <c r="A132" i="11"/>
  <c r="D403" i="11"/>
  <c r="B403" i="11" s="1"/>
  <c r="A403" i="11"/>
  <c r="D131" i="11"/>
  <c r="B131" i="11" s="1"/>
  <c r="A131" i="11"/>
  <c r="D139" i="11"/>
  <c r="B139" i="11" s="1"/>
  <c r="A139" i="11"/>
  <c r="D670" i="11"/>
  <c r="B670" i="11" s="1"/>
  <c r="A670" i="11"/>
  <c r="D547" i="11"/>
  <c r="B547" i="11" s="1"/>
  <c r="A547" i="11"/>
  <c r="D705" i="11"/>
  <c r="B705" i="11" s="1"/>
  <c r="A705" i="11"/>
  <c r="D402" i="11"/>
  <c r="B402" i="11" s="1"/>
  <c r="A402" i="11"/>
  <c r="D633" i="11"/>
  <c r="B633" i="11" s="1"/>
  <c r="A633" i="11"/>
  <c r="D561" i="11"/>
  <c r="B561" i="11" s="1"/>
  <c r="A561" i="11"/>
  <c r="D399" i="11"/>
  <c r="B399" i="11" s="1"/>
  <c r="A399" i="11"/>
  <c r="D390" i="11"/>
  <c r="B390" i="11" s="1"/>
  <c r="A390" i="11"/>
  <c r="D67" i="11"/>
  <c r="B67" i="11" s="1"/>
  <c r="A67" i="11"/>
  <c r="D442" i="11"/>
  <c r="B442" i="11" s="1"/>
  <c r="A442" i="11"/>
  <c r="D639" i="11"/>
  <c r="B639" i="11" s="1"/>
  <c r="A639" i="11"/>
  <c r="D381" i="11"/>
  <c r="B381" i="11" s="1"/>
  <c r="A381" i="11"/>
  <c r="D583" i="11"/>
  <c r="B583" i="11" s="1"/>
  <c r="A583" i="11"/>
  <c r="D452" i="11"/>
  <c r="B452" i="11" s="1"/>
  <c r="A452" i="11"/>
  <c r="D683" i="11"/>
  <c r="B683" i="11" s="1"/>
  <c r="A683" i="11"/>
  <c r="D405" i="11"/>
  <c r="B405" i="11" s="1"/>
  <c r="A405" i="11"/>
  <c r="D93" i="11"/>
  <c r="B93" i="11" s="1"/>
  <c r="A93" i="11"/>
  <c r="D97" i="11"/>
  <c r="B97" i="11" s="1"/>
  <c r="A97" i="11"/>
  <c r="D219" i="11"/>
  <c r="B219" i="11" s="1"/>
  <c r="A234" i="11"/>
  <c r="D457" i="11"/>
  <c r="B457" i="11" s="1"/>
  <c r="A457" i="11"/>
  <c r="D426" i="11"/>
  <c r="B426" i="11" s="1"/>
  <c r="A426" i="11"/>
  <c r="D491" i="11"/>
  <c r="B491" i="11" s="1"/>
  <c r="A491" i="11"/>
  <c r="D712" i="11"/>
  <c r="B712" i="11" s="1"/>
  <c r="A712" i="11"/>
  <c r="D635" i="11"/>
  <c r="B635" i="11" s="1"/>
  <c r="A635" i="11"/>
  <c r="D108" i="11"/>
  <c r="B108" i="11" s="1"/>
  <c r="A108" i="11"/>
  <c r="D573" i="11"/>
  <c r="B573" i="11" s="1"/>
  <c r="A573" i="11"/>
  <c r="D449" i="11"/>
  <c r="B449" i="11" s="1"/>
  <c r="A449" i="11"/>
  <c r="D114" i="11"/>
  <c r="B114" i="11" s="1"/>
  <c r="A114" i="11"/>
  <c r="D99" i="11"/>
  <c r="B99" i="11" s="1"/>
  <c r="A99" i="11"/>
  <c r="D91" i="11"/>
  <c r="B91" i="11" s="1"/>
  <c r="A91" i="11"/>
  <c r="D79" i="11"/>
  <c r="B79" i="11" s="1"/>
  <c r="A79" i="11"/>
  <c r="D401" i="11"/>
  <c r="B401" i="11" s="1"/>
  <c r="A401" i="11"/>
  <c r="D696" i="11"/>
  <c r="B696" i="11" s="1"/>
  <c r="A696" i="11"/>
  <c r="D568" i="11"/>
  <c r="B568" i="11" s="1"/>
  <c r="A568" i="11"/>
  <c r="D631" i="11"/>
  <c r="B631" i="11" s="1"/>
  <c r="A631" i="11"/>
  <c r="D517" i="11"/>
  <c r="B517" i="11" s="1"/>
  <c r="A517" i="11"/>
  <c r="D499" i="11"/>
  <c r="B499" i="11" s="1"/>
  <c r="A499" i="11"/>
  <c r="D630" i="11"/>
  <c r="B630" i="11" s="1"/>
  <c r="A630" i="11"/>
  <c r="D412" i="11"/>
  <c r="B412" i="11" s="1"/>
  <c r="A412" i="11"/>
  <c r="D571" i="11"/>
  <c r="B571" i="11" s="1"/>
  <c r="A571" i="11"/>
  <c r="D690" i="11"/>
  <c r="B690" i="11" s="1"/>
  <c r="A690" i="11"/>
  <c r="D567" i="11"/>
  <c r="B567" i="11" s="1"/>
  <c r="A567" i="11"/>
  <c r="D439" i="11"/>
  <c r="B439" i="11" s="1"/>
  <c r="A439" i="11"/>
  <c r="D566" i="11"/>
  <c r="B566" i="11" s="1"/>
  <c r="A566" i="11"/>
  <c r="D714" i="11"/>
  <c r="B714" i="11" s="1"/>
  <c r="A714" i="11"/>
  <c r="D701" i="11"/>
  <c r="B701" i="11" s="1"/>
  <c r="A701" i="11"/>
  <c r="D451" i="11"/>
  <c r="B451" i="11" s="1"/>
  <c r="A451" i="11"/>
  <c r="D682" i="11"/>
  <c r="B682" i="11" s="1"/>
  <c r="A682" i="11"/>
  <c r="D594" i="11"/>
  <c r="B594" i="11" s="1"/>
  <c r="A594" i="11"/>
  <c r="D522" i="11"/>
  <c r="B522" i="11" s="1"/>
  <c r="A522" i="11"/>
  <c r="D445" i="11"/>
  <c r="B445" i="11" s="1"/>
  <c r="A445" i="11"/>
  <c r="D462" i="11"/>
  <c r="B462" i="11" s="1"/>
  <c r="A462" i="11"/>
  <c r="D693" i="11"/>
  <c r="B693" i="11" s="1"/>
  <c r="A693" i="11"/>
  <c r="D621" i="11"/>
  <c r="B621" i="11" s="1"/>
  <c r="A621" i="11"/>
  <c r="D569" i="11"/>
  <c r="B569" i="11" s="1"/>
  <c r="A569" i="11"/>
  <c r="D378" i="11"/>
  <c r="B378" i="11" s="1"/>
  <c r="A378" i="11"/>
  <c r="D692" i="11"/>
  <c r="B692" i="11" s="1"/>
  <c r="A692" i="11"/>
  <c r="D374" i="11"/>
  <c r="B374" i="11" s="1"/>
  <c r="A374" i="11"/>
  <c r="D610" i="11"/>
  <c r="B610" i="11" s="1"/>
  <c r="A610" i="11"/>
  <c r="D469" i="11"/>
  <c r="B469" i="11" s="1"/>
  <c r="A469" i="11"/>
  <c r="D620" i="11"/>
  <c r="B620" i="11" s="1"/>
  <c r="A620" i="11"/>
  <c r="D69" i="11"/>
  <c r="B69" i="11" s="1"/>
  <c r="A69" i="11"/>
  <c r="D447" i="11"/>
  <c r="B447" i="11" s="1"/>
  <c r="A447" i="11"/>
  <c r="D513" i="11"/>
  <c r="B513" i="11" s="1"/>
  <c r="A513" i="11"/>
  <c r="D376" i="11"/>
  <c r="B376" i="11" s="1"/>
  <c r="A376" i="11"/>
  <c r="D453" i="11"/>
  <c r="B453" i="11" s="1"/>
  <c r="A453" i="11"/>
  <c r="D548" i="11"/>
  <c r="B548" i="11" s="1"/>
  <c r="A548" i="11"/>
  <c r="D92" i="11"/>
  <c r="B92" i="11" s="1"/>
  <c r="A92" i="11"/>
  <c r="D147" i="11"/>
  <c r="B147" i="11" s="1"/>
  <c r="A147" i="11"/>
  <c r="D145" i="11"/>
  <c r="B145" i="11" s="1"/>
  <c r="A145" i="11"/>
  <c r="D206" i="11"/>
  <c r="B206" i="11" s="1"/>
  <c r="D588" i="11"/>
  <c r="B588" i="11" s="1"/>
  <c r="A588" i="11"/>
  <c r="D162" i="11"/>
  <c r="B162" i="11" s="1"/>
  <c r="A162" i="11"/>
  <c r="D677" i="11"/>
  <c r="B677" i="11" s="1"/>
  <c r="A677" i="11"/>
  <c r="D233" i="11"/>
  <c r="B233" i="11" s="1"/>
  <c r="A233" i="11"/>
  <c r="D641" i="11"/>
  <c r="B641" i="11" s="1"/>
  <c r="A641" i="11"/>
  <c r="D109" i="11"/>
  <c r="B109" i="11" s="1"/>
  <c r="A109" i="11"/>
  <c r="D72" i="11"/>
  <c r="B72" i="11" s="1"/>
  <c r="A72" i="11"/>
  <c r="D501" i="11"/>
  <c r="B501" i="11" s="1"/>
  <c r="A501" i="11"/>
  <c r="D138" i="11"/>
  <c r="B138" i="11" s="1"/>
  <c r="A138" i="11"/>
  <c r="D81" i="11"/>
  <c r="B81" i="11" s="1"/>
  <c r="A81" i="11"/>
  <c r="D101" i="11"/>
  <c r="B101" i="11" s="1"/>
  <c r="A101" i="11"/>
  <c r="D96" i="11"/>
  <c r="B96" i="11" s="1"/>
  <c r="A96" i="11"/>
  <c r="D77" i="11"/>
  <c r="B77" i="11" s="1"/>
  <c r="A77" i="11"/>
  <c r="D90" i="11"/>
  <c r="B90" i="11" s="1"/>
  <c r="A90" i="11"/>
  <c r="D73" i="11"/>
  <c r="B73" i="11" s="1"/>
  <c r="A73" i="11"/>
  <c r="D111" i="11"/>
  <c r="B111" i="11" s="1"/>
  <c r="A111" i="11"/>
  <c r="D671" i="11"/>
  <c r="B671" i="11" s="1"/>
  <c r="A671" i="11"/>
  <c r="D473" i="11"/>
  <c r="B473" i="11" s="1"/>
  <c r="A473" i="11"/>
  <c r="D704" i="11"/>
  <c r="B704" i="11" s="1"/>
  <c r="A704" i="11"/>
  <c r="D632" i="11"/>
  <c r="B632" i="11" s="1"/>
  <c r="A632" i="11"/>
  <c r="D373" i="11"/>
  <c r="B373" i="11" s="1"/>
  <c r="A373" i="11"/>
  <c r="D160" i="11"/>
  <c r="B160" i="11" s="1"/>
  <c r="A160" i="11"/>
  <c r="D440" i="11"/>
  <c r="B440" i="11" s="1"/>
  <c r="A440" i="11"/>
  <c r="D129" i="11"/>
  <c r="B129" i="11" s="1"/>
  <c r="A129" i="11"/>
  <c r="D379" i="11"/>
  <c r="B379" i="11" s="1"/>
  <c r="A379" i="11"/>
  <c r="D136" i="11"/>
  <c r="B136" i="11" s="1"/>
  <c r="A136" i="11"/>
  <c r="D611" i="11"/>
  <c r="B611" i="11" s="1"/>
  <c r="A611" i="11"/>
  <c r="D472" i="11"/>
  <c r="B472" i="11" s="1"/>
  <c r="A472" i="11"/>
  <c r="D703" i="11"/>
  <c r="B703" i="11" s="1"/>
  <c r="A703" i="11"/>
  <c r="D395" i="11"/>
  <c r="B395" i="11" s="1"/>
  <c r="A395" i="11"/>
  <c r="D192" i="11"/>
  <c r="B192" i="11" s="1"/>
  <c r="A192" i="11"/>
  <c r="D526" i="11"/>
  <c r="B526" i="11" s="1"/>
  <c r="A526" i="11"/>
  <c r="D508" i="11"/>
  <c r="B508" i="11" s="1"/>
  <c r="A508" i="11"/>
  <c r="D609" i="11"/>
  <c r="B609" i="11" s="1"/>
  <c r="A609" i="11"/>
  <c r="D215" i="11"/>
  <c r="B215" i="11" s="1"/>
  <c r="A215" i="11"/>
  <c r="D608" i="11"/>
  <c r="B608" i="11" s="1"/>
  <c r="A608" i="11"/>
  <c r="D456" i="11"/>
  <c r="B456" i="11" s="1"/>
  <c r="A456" i="11"/>
  <c r="D667" i="11"/>
  <c r="B667" i="11" s="1"/>
  <c r="A667" i="11"/>
  <c r="D551" i="11"/>
  <c r="B551" i="11" s="1"/>
  <c r="A551" i="11"/>
  <c r="D643" i="11"/>
  <c r="B643" i="11" s="1"/>
  <c r="A643" i="11"/>
  <c r="D135" i="11"/>
  <c r="B135" i="11" s="1"/>
  <c r="A135" i="11"/>
  <c r="D159" i="11"/>
  <c r="B159" i="11" s="1"/>
  <c r="A159" i="11"/>
  <c r="D128" i="11"/>
  <c r="B128" i="11" s="1"/>
  <c r="A128" i="11"/>
  <c r="D406" i="11"/>
  <c r="B406" i="11" s="1"/>
  <c r="A406" i="11"/>
  <c r="D617" i="11"/>
  <c r="B617" i="11" s="1"/>
  <c r="A617" i="11"/>
  <c r="D387" i="11"/>
  <c r="B387" i="11" s="1"/>
  <c r="A387" i="11"/>
  <c r="D411" i="11"/>
  <c r="B411" i="11" s="1"/>
  <c r="A411" i="11"/>
  <c r="D565" i="11"/>
  <c r="B565" i="11" s="1"/>
  <c r="A565" i="11"/>
  <c r="D202" i="11"/>
  <c r="B202" i="11" s="1"/>
  <c r="A202" i="11"/>
  <c r="D227" i="11"/>
  <c r="B227" i="11" s="1"/>
  <c r="A227" i="11"/>
  <c r="D595" i="11"/>
  <c r="B595" i="11" s="1"/>
  <c r="A595" i="11"/>
  <c r="D523" i="11"/>
  <c r="B523" i="11" s="1"/>
  <c r="A523" i="11"/>
  <c r="D155" i="11"/>
  <c r="B155" i="11" s="1"/>
  <c r="A155" i="11"/>
  <c r="D133" i="11"/>
  <c r="B133" i="11" s="1"/>
  <c r="A133" i="11"/>
  <c r="D231" i="11"/>
  <c r="B231" i="11" s="1"/>
  <c r="A231" i="11"/>
  <c r="D154" i="11"/>
  <c r="B154" i="11" s="1"/>
  <c r="A154" i="11"/>
  <c r="D681" i="11"/>
  <c r="B681" i="11" s="1"/>
  <c r="A681" i="11"/>
  <c r="D409" i="11"/>
  <c r="B409" i="11" s="1"/>
  <c r="A409" i="11"/>
  <c r="D534" i="11"/>
  <c r="B534" i="11" s="1"/>
  <c r="A534" i="11"/>
  <c r="D171" i="11"/>
  <c r="B171" i="11" s="1"/>
  <c r="A171" i="11"/>
  <c r="D385" i="11"/>
  <c r="B385" i="11" s="1"/>
  <c r="A385" i="11"/>
  <c r="D166" i="11"/>
  <c r="B166" i="11" s="1"/>
  <c r="A166" i="11"/>
  <c r="D697" i="11"/>
  <c r="B697" i="11" s="1"/>
  <c r="A697" i="11"/>
  <c r="D446" i="11"/>
  <c r="B446" i="11" s="1"/>
  <c r="A446" i="11"/>
  <c r="D130" i="11"/>
  <c r="B130" i="11" s="1"/>
  <c r="A130" i="11"/>
  <c r="D666" i="11"/>
  <c r="B666" i="11" s="1"/>
  <c r="A666" i="11"/>
  <c r="D533" i="11"/>
  <c r="B533" i="11" s="1"/>
  <c r="A533" i="11"/>
  <c r="D165" i="11"/>
  <c r="B165" i="11" s="1"/>
  <c r="A165" i="11"/>
  <c r="D461" i="11"/>
  <c r="B461" i="11" s="1"/>
  <c r="A461" i="11"/>
  <c r="D384" i="11"/>
  <c r="B384" i="11" s="1"/>
  <c r="A384" i="11"/>
  <c r="D527" i="11"/>
  <c r="B527" i="11" s="1"/>
  <c r="A527" i="11"/>
  <c r="D518" i="11"/>
  <c r="B518" i="11" s="1"/>
  <c r="A518" i="11"/>
  <c r="D509" i="11"/>
  <c r="B509" i="11" s="1"/>
  <c r="A509" i="11"/>
  <c r="D500" i="11"/>
  <c r="B500" i="11" s="1"/>
  <c r="A500" i="11"/>
  <c r="D606" i="11"/>
  <c r="B606" i="11" s="1"/>
  <c r="A606" i="11"/>
  <c r="D113" i="11"/>
  <c r="B113" i="11" s="1"/>
  <c r="A113" i="11"/>
  <c r="D591" i="11"/>
  <c r="B591" i="11" s="1"/>
  <c r="A591" i="11"/>
  <c r="D586" i="11"/>
  <c r="B586" i="11" s="1"/>
  <c r="A586" i="11"/>
  <c r="D707" i="11"/>
  <c r="B707" i="11" s="1"/>
  <c r="A707" i="11"/>
  <c r="D498" i="11"/>
  <c r="B498" i="11" s="1"/>
  <c r="A498" i="11"/>
  <c r="D525" i="11"/>
  <c r="B525" i="11" s="1"/>
  <c r="A525" i="11"/>
  <c r="D708" i="11"/>
  <c r="B708" i="11" s="1"/>
  <c r="A708" i="11"/>
  <c r="D388" i="11"/>
  <c r="B388" i="11" s="1"/>
  <c r="A388" i="11"/>
  <c r="D95" i="11"/>
  <c r="B95" i="11" s="1"/>
  <c r="A95" i="11"/>
  <c r="D223" i="11"/>
  <c r="B223" i="11" s="1"/>
  <c r="D709" i="11"/>
  <c r="B709" i="11" s="1"/>
  <c r="A709" i="11"/>
  <c r="D427" i="11"/>
  <c r="B427" i="11" s="1"/>
  <c r="A427" i="11"/>
  <c r="D585" i="11"/>
  <c r="B585" i="11" s="1"/>
  <c r="A585" i="11"/>
  <c r="D228" i="11"/>
  <c r="B228" i="11" s="1"/>
  <c r="D519" i="11"/>
  <c r="B519" i="11" s="1"/>
  <c r="A519" i="11"/>
  <c r="D580" i="11"/>
  <c r="B580" i="11" s="1"/>
  <c r="A580" i="11"/>
  <c r="D713" i="11"/>
  <c r="B713" i="11" s="1"/>
  <c r="A713" i="11"/>
  <c r="D371" i="11"/>
  <c r="B371" i="11" s="1"/>
  <c r="A371" i="11"/>
  <c r="D563" i="11"/>
  <c r="B563" i="11" s="1"/>
  <c r="A563" i="11"/>
  <c r="D103" i="11"/>
  <c r="B103" i="11" s="1"/>
  <c r="A103" i="11"/>
  <c r="D70" i="11"/>
  <c r="B70" i="11" s="1"/>
  <c r="A70" i="11"/>
  <c r="D205" i="11"/>
  <c r="B205" i="11" s="1"/>
  <c r="D100" i="11"/>
  <c r="B100" i="11" s="1"/>
  <c r="A100" i="11"/>
  <c r="D115" i="11"/>
  <c r="B115" i="11" s="1"/>
  <c r="A115" i="11"/>
  <c r="D83" i="11"/>
  <c r="B83" i="11" s="1"/>
  <c r="A83" i="11"/>
  <c r="D87" i="11"/>
  <c r="B87" i="11" s="1"/>
  <c r="A87" i="11"/>
  <c r="D107" i="11"/>
  <c r="B107" i="11" s="1"/>
  <c r="A107" i="11"/>
  <c r="D80" i="11"/>
  <c r="B80" i="11" s="1"/>
  <c r="A80" i="11"/>
  <c r="D98" i="11"/>
  <c r="B98" i="11" s="1"/>
  <c r="A98" i="11"/>
  <c r="D84" i="11"/>
  <c r="B84" i="11" s="1"/>
  <c r="A84" i="11"/>
  <c r="D532" i="11"/>
  <c r="B532" i="11" s="1"/>
  <c r="A532" i="11"/>
  <c r="D455" i="11"/>
  <c r="B455" i="11" s="1"/>
  <c r="A455" i="11"/>
  <c r="D691" i="11"/>
  <c r="B691" i="11" s="1"/>
  <c r="A691" i="11"/>
  <c r="D383" i="11"/>
  <c r="B383" i="11" s="1"/>
  <c r="A383" i="11"/>
  <c r="D467" i="11"/>
  <c r="B467" i="11" s="1"/>
  <c r="A467" i="11"/>
  <c r="D436" i="11"/>
  <c r="B436" i="11" s="1"/>
  <c r="A436" i="11"/>
  <c r="D648" i="11"/>
  <c r="B648" i="11" s="1"/>
  <c r="A648" i="11"/>
  <c r="D506" i="11"/>
  <c r="B506" i="11" s="1"/>
  <c r="A506" i="11"/>
  <c r="D531" i="11"/>
  <c r="B531" i="11" s="1"/>
  <c r="A531" i="11"/>
  <c r="D685" i="11"/>
  <c r="B685" i="11" s="1"/>
  <c r="A685" i="11"/>
  <c r="D382" i="11"/>
  <c r="B382" i="11" s="1"/>
  <c r="A382" i="11"/>
  <c r="D649" i="11"/>
  <c r="B649" i="11" s="1"/>
  <c r="A649" i="11"/>
  <c r="D640" i="11"/>
  <c r="B640" i="11" s="1"/>
  <c r="A640" i="11"/>
  <c r="D636" i="11"/>
  <c r="B636" i="11" s="1"/>
  <c r="A636" i="11"/>
  <c r="D618" i="11"/>
  <c r="B618" i="11" s="1"/>
  <c r="A618" i="11"/>
  <c r="D529" i="11"/>
  <c r="B529" i="11" s="1"/>
  <c r="A529" i="11"/>
  <c r="D507" i="11"/>
  <c r="B507" i="11" s="1"/>
  <c r="A507" i="11"/>
  <c r="D715" i="11"/>
  <c r="B715" i="11" s="1"/>
  <c r="A715" i="11"/>
  <c r="D471" i="11"/>
  <c r="B471" i="11" s="1"/>
  <c r="A471" i="11"/>
  <c r="D466" i="11"/>
  <c r="B466" i="11" s="1"/>
  <c r="A466" i="11"/>
  <c r="D686" i="11"/>
  <c r="B686" i="11" s="1"/>
  <c r="A686" i="11"/>
  <c r="D558" i="11"/>
  <c r="B558" i="11" s="1"/>
  <c r="A558" i="11"/>
  <c r="D516" i="11"/>
  <c r="B516" i="11" s="1"/>
  <c r="A516" i="11"/>
  <c r="D624" i="11"/>
  <c r="B624" i="11" s="1"/>
  <c r="A624" i="11"/>
  <c r="D654" i="11"/>
  <c r="B654" i="11" s="1"/>
  <c r="A654" i="11"/>
  <c r="D582" i="11"/>
  <c r="B582" i="11" s="1"/>
  <c r="A582" i="11"/>
  <c r="D505" i="11"/>
  <c r="B505" i="11" s="1"/>
  <c r="A505" i="11"/>
  <c r="D497" i="11"/>
  <c r="B497" i="11" s="1"/>
  <c r="A497" i="11"/>
  <c r="D653" i="11"/>
  <c r="B653" i="11" s="1"/>
  <c r="A653" i="11"/>
  <c r="D504" i="11"/>
  <c r="B504" i="11" s="1"/>
  <c r="A504" i="11"/>
  <c r="D488" i="11"/>
  <c r="B488" i="11" s="1"/>
  <c r="A488" i="11"/>
  <c r="D521" i="11"/>
  <c r="B521" i="11" s="1"/>
  <c r="A521" i="11"/>
  <c r="D444" i="11"/>
  <c r="B444" i="11" s="1"/>
  <c r="A444" i="11"/>
  <c r="D375" i="11"/>
  <c r="B375" i="11" s="1"/>
  <c r="A375" i="11"/>
  <c r="D688" i="11"/>
  <c r="B688" i="11" s="1"/>
  <c r="A688" i="11"/>
  <c r="D560" i="11"/>
  <c r="B560" i="11" s="1"/>
  <c r="A560" i="11"/>
  <c r="D592" i="11"/>
  <c r="B592" i="11" s="1"/>
  <c r="A592" i="11"/>
  <c r="D515" i="11"/>
  <c r="B515" i="11" s="1"/>
  <c r="A515" i="11"/>
  <c r="D443" i="11"/>
  <c r="B443" i="11" s="1"/>
  <c r="A443" i="11"/>
  <c r="D646" i="11"/>
  <c r="B646" i="11" s="1"/>
  <c r="A646" i="11"/>
  <c r="D637" i="11"/>
  <c r="B637" i="11" s="1"/>
  <c r="A637" i="11"/>
  <c r="D628" i="11"/>
  <c r="B628" i="11" s="1"/>
  <c r="A628" i="11"/>
  <c r="D393" i="11"/>
  <c r="B393" i="11" s="1"/>
  <c r="A393" i="11"/>
  <c r="D698" i="11"/>
  <c r="B698" i="11" s="1"/>
  <c r="A698" i="11"/>
  <c r="D429" i="11"/>
  <c r="B429" i="11" s="1"/>
  <c r="A429" i="11"/>
  <c r="D105" i="11"/>
  <c r="B105" i="11" s="1"/>
  <c r="A105" i="11"/>
  <c r="D514" i="11"/>
  <c r="B514" i="11" s="1"/>
  <c r="A514" i="11"/>
  <c r="D458" i="11"/>
  <c r="B458" i="11" s="1"/>
  <c r="A458" i="11"/>
  <c r="D550" i="11"/>
  <c r="B550" i="11" s="1"/>
  <c r="A550" i="11"/>
  <c r="D400" i="11"/>
  <c r="B400" i="11" s="1"/>
  <c r="A400" i="11"/>
  <c r="D367" i="11"/>
  <c r="B367" i="11" s="1"/>
  <c r="A367" i="11"/>
  <c r="D549" i="11"/>
  <c r="B549" i="11" s="1"/>
  <c r="A549" i="11"/>
  <c r="D396" i="11"/>
  <c r="B396" i="11" s="1"/>
  <c r="A396" i="11"/>
  <c r="D564" i="11"/>
  <c r="B564" i="11" s="1"/>
  <c r="A564" i="11"/>
  <c r="D68" i="11"/>
  <c r="B68" i="11" s="1"/>
  <c r="A68" i="11"/>
  <c r="D102" i="11"/>
  <c r="B102" i="11" s="1"/>
  <c r="A102" i="11"/>
  <c r="D151" i="11"/>
  <c r="B151" i="11" s="1"/>
  <c r="A151" i="11"/>
  <c r="D222" i="11"/>
  <c r="B222" i="11" s="1"/>
  <c r="D441" i="11"/>
  <c r="B441" i="11" s="1"/>
  <c r="A441" i="11"/>
  <c r="D210" i="11"/>
  <c r="B210" i="11" s="1"/>
  <c r="D140" i="11"/>
  <c r="B140" i="11" s="1"/>
  <c r="A140" i="11"/>
  <c r="D684" i="11"/>
  <c r="B684" i="11" s="1"/>
  <c r="A684" i="11"/>
  <c r="D167" i="11"/>
  <c r="B167" i="11" s="1"/>
  <c r="A167" i="11"/>
  <c r="D94" i="11"/>
  <c r="B94" i="11" s="1"/>
  <c r="A94" i="11"/>
  <c r="D86" i="11"/>
  <c r="B86" i="11" s="1"/>
  <c r="A86" i="11"/>
  <c r="D78" i="11"/>
  <c r="B78" i="11" s="1"/>
  <c r="A78" i="11"/>
  <c r="D76" i="11"/>
  <c r="B76" i="11" s="1"/>
  <c r="A76" i="11"/>
  <c r="D66" i="11"/>
  <c r="B66" i="11" s="1"/>
  <c r="A66" i="11"/>
  <c r="D89" i="11"/>
  <c r="B89" i="11" s="1"/>
  <c r="A89" i="11"/>
  <c r="D71" i="11"/>
  <c r="B71" i="11" s="1"/>
  <c r="A71" i="11"/>
  <c r="D164" i="11"/>
  <c r="B164" i="11" s="1"/>
  <c r="A164" i="11"/>
  <c r="D156" i="11"/>
  <c r="B156" i="11" s="1"/>
  <c r="A156" i="11"/>
  <c r="D687" i="11"/>
  <c r="B687" i="11" s="1"/>
  <c r="A687" i="11"/>
  <c r="D559" i="11"/>
  <c r="B559" i="11" s="1"/>
  <c r="A559" i="11"/>
  <c r="D187" i="11"/>
  <c r="B187" i="11" s="1"/>
  <c r="A187" i="11"/>
  <c r="D689" i="11"/>
  <c r="B689" i="11" s="1"/>
  <c r="A689" i="11"/>
  <c r="D175" i="11"/>
  <c r="B175" i="11" s="1"/>
  <c r="A175" i="11"/>
  <c r="D163" i="11"/>
  <c r="B163" i="11" s="1"/>
  <c r="A163" i="11"/>
  <c r="D454" i="11"/>
  <c r="B454" i="11" s="1"/>
  <c r="A454" i="11"/>
  <c r="D627" i="11"/>
  <c r="B627" i="11" s="1"/>
  <c r="A627" i="11"/>
  <c r="D188" i="11"/>
  <c r="B188" i="11" s="1"/>
  <c r="D366" i="11"/>
  <c r="B366" i="11" s="1"/>
  <c r="A366" i="11"/>
  <c r="D680" i="11"/>
  <c r="B680" i="11" s="1"/>
  <c r="A680" i="11"/>
  <c r="D127" i="11"/>
  <c r="B127" i="11" s="1"/>
  <c r="A127" i="11"/>
  <c r="D702" i="11"/>
  <c r="B702" i="11" s="1"/>
  <c r="A702" i="11"/>
  <c r="D394" i="11"/>
  <c r="B394" i="11" s="1"/>
  <c r="A394" i="11"/>
  <c r="D625" i="11"/>
  <c r="B625" i="11" s="1"/>
  <c r="A625" i="11"/>
  <c r="D589" i="11"/>
  <c r="B589" i="11" s="1"/>
  <c r="A589" i="11"/>
  <c r="D150" i="11"/>
  <c r="B150" i="11" s="1"/>
  <c r="A150" i="11"/>
  <c r="D430" i="11"/>
  <c r="B430" i="11" s="1"/>
  <c r="A430" i="11"/>
  <c r="D196" i="11"/>
  <c r="B196" i="11" s="1"/>
  <c r="D557" i="11"/>
  <c r="B557" i="11" s="1"/>
  <c r="A557" i="11"/>
  <c r="D616" i="11"/>
  <c r="B616" i="11" s="1"/>
  <c r="A616" i="11"/>
  <c r="D174" i="11"/>
  <c r="B174" i="11" s="1"/>
  <c r="A174" i="11"/>
  <c r="D465" i="11"/>
  <c r="B465" i="11" s="1"/>
  <c r="A465" i="11"/>
  <c r="D161" i="11"/>
  <c r="B161" i="11" s="1"/>
  <c r="A161" i="11"/>
  <c r="D209" i="11"/>
  <c r="B209" i="11" s="1"/>
  <c r="A209" i="11"/>
  <c r="D647" i="11"/>
  <c r="B647" i="11" s="1"/>
  <c r="A647" i="11"/>
  <c r="D214" i="11"/>
  <c r="B214" i="11" s="1"/>
  <c r="D142" i="11"/>
  <c r="B142" i="11" s="1"/>
  <c r="A142" i="11"/>
  <c r="D581" i="11"/>
  <c r="B581" i="11" s="1"/>
  <c r="A581" i="11"/>
  <c r="D213" i="11"/>
  <c r="B213" i="11" s="1"/>
  <c r="A213" i="11"/>
  <c r="D141" i="11"/>
  <c r="B141" i="11" s="1"/>
  <c r="A141" i="11"/>
  <c r="D593" i="11"/>
  <c r="B593" i="11" s="1"/>
  <c r="A593" i="11"/>
  <c r="D225" i="11"/>
  <c r="B225" i="11" s="1"/>
  <c r="D153" i="11"/>
  <c r="B153" i="11" s="1"/>
  <c r="A153" i="11"/>
  <c r="D468" i="11"/>
  <c r="B468" i="11" s="1"/>
  <c r="A468" i="11"/>
  <c r="D157" i="11"/>
  <c r="B157" i="11" s="1"/>
  <c r="A157" i="11"/>
  <c r="D437" i="11"/>
  <c r="B437" i="11" s="1"/>
  <c r="A437" i="11"/>
  <c r="D126" i="11"/>
  <c r="B126" i="11" s="1"/>
  <c r="A126" i="11"/>
  <c r="D191" i="11"/>
  <c r="B191" i="11" s="1"/>
  <c r="A191" i="11"/>
  <c r="A224" i="11"/>
  <c r="D152" i="11"/>
  <c r="B152" i="11" s="1"/>
  <c r="A152" i="11"/>
  <c r="D619" i="11"/>
  <c r="B619" i="11" s="1"/>
  <c r="A619" i="11"/>
  <c r="D189" i="11"/>
  <c r="B189" i="11" s="1"/>
  <c r="D404" i="11"/>
  <c r="B404" i="11" s="1"/>
  <c r="A404" i="11"/>
  <c r="D652" i="11"/>
  <c r="B652" i="11" s="1"/>
  <c r="A652" i="11"/>
  <c r="D575" i="11"/>
  <c r="B575" i="11" s="1"/>
  <c r="A575" i="11"/>
  <c r="D587" i="11"/>
  <c r="B587" i="11" s="1"/>
  <c r="A587" i="11"/>
  <c r="D459" i="11"/>
  <c r="B459" i="11" s="1"/>
  <c r="A459" i="11"/>
  <c r="D679" i="11"/>
  <c r="B679" i="11" s="1"/>
  <c r="A679" i="11"/>
  <c r="D528" i="11"/>
  <c r="B528" i="11" s="1"/>
  <c r="A528" i="11"/>
  <c r="D574" i="11"/>
  <c r="B574" i="11" s="1"/>
  <c r="A574" i="11"/>
  <c r="D502" i="11"/>
  <c r="B502" i="11" s="1"/>
  <c r="A502" i="11"/>
  <c r="D397" i="11"/>
  <c r="B397" i="11" s="1"/>
  <c r="A397" i="11"/>
  <c r="D212" i="11"/>
  <c r="B212" i="11" s="1"/>
  <c r="D503" i="11"/>
  <c r="B503" i="11" s="1"/>
  <c r="A503" i="11"/>
  <c r="D195" i="11"/>
  <c r="B195" i="11" s="1"/>
  <c r="D148" i="11"/>
  <c r="B148" i="11" s="1"/>
  <c r="A148" i="11"/>
  <c r="D556" i="11"/>
  <c r="B556" i="11" s="1"/>
  <c r="A556" i="11"/>
  <c r="D428" i="11"/>
  <c r="B428" i="11" s="1"/>
  <c r="A428" i="11"/>
  <c r="D415" i="11"/>
  <c r="B415" i="11" s="1"/>
  <c r="A415" i="11"/>
  <c r="D651" i="11"/>
  <c r="B651" i="11" s="1"/>
  <c r="A651" i="11"/>
  <c r="D211" i="11"/>
  <c r="B211" i="11" s="1"/>
  <c r="A211" i="11"/>
  <c r="D220" i="11"/>
  <c r="B220" i="11" s="1"/>
  <c r="A220" i="11"/>
  <c r="D216" i="11"/>
  <c r="B216" i="11" s="1"/>
  <c r="A216" i="11"/>
  <c r="D207" i="11"/>
  <c r="B207" i="11" s="1"/>
  <c r="D377" i="11"/>
  <c r="B377" i="11" s="1"/>
  <c r="A377" i="11"/>
  <c r="D368" i="11"/>
  <c r="B368" i="11" s="1"/>
  <c r="A368" i="11"/>
  <c r="D570" i="11"/>
  <c r="B570" i="11" s="1"/>
  <c r="A570" i="11"/>
  <c r="D186" i="11"/>
  <c r="B186" i="11" s="1"/>
  <c r="A186" i="11"/>
  <c r="D106" i="11"/>
  <c r="B106" i="11" s="1"/>
  <c r="A106" i="11"/>
  <c r="D678" i="11"/>
  <c r="B678" i="11" s="1"/>
  <c r="A678" i="11"/>
  <c r="D235" i="11"/>
  <c r="B235" i="11" s="1"/>
  <c r="A235" i="11"/>
  <c r="D146" i="11"/>
  <c r="B146" i="11" s="1"/>
  <c r="A146" i="11"/>
  <c r="D197" i="11"/>
  <c r="B197" i="11" s="1"/>
  <c r="A197" i="11"/>
  <c r="D82" i="11"/>
  <c r="B82" i="11" s="1"/>
  <c r="A82" i="11"/>
  <c r="D112" i="11"/>
  <c r="B112" i="11" s="1"/>
  <c r="A112" i="11"/>
  <c r="D75" i="11"/>
  <c r="B75" i="11" s="1"/>
  <c r="A75" i="11"/>
  <c r="D74" i="11"/>
  <c r="B74" i="11" s="1"/>
  <c r="A74" i="11"/>
  <c r="D85" i="11"/>
  <c r="B85" i="11" s="1"/>
  <c r="A85" i="11"/>
  <c r="D88" i="11"/>
  <c r="B88" i="11" s="1"/>
  <c r="A88" i="11"/>
  <c r="D414" i="11"/>
  <c r="B414" i="11" s="1"/>
  <c r="A414" i="11"/>
  <c r="D645" i="11"/>
  <c r="B645" i="11" s="1"/>
  <c r="A645" i="11"/>
  <c r="D700" i="11"/>
  <c r="B700" i="11" s="1"/>
  <c r="A700" i="11"/>
  <c r="D577" i="11"/>
  <c r="B577" i="11" s="1"/>
  <c r="A577" i="11"/>
  <c r="D626" i="11"/>
  <c r="B626" i="11" s="1"/>
  <c r="A626" i="11"/>
  <c r="D460" i="11"/>
  <c r="B460" i="11" s="1"/>
  <c r="A460" i="11"/>
  <c r="D413" i="11"/>
  <c r="B413" i="11" s="1"/>
  <c r="A413" i="11"/>
  <c r="D644" i="11"/>
  <c r="B644" i="11" s="1"/>
  <c r="A644" i="11"/>
  <c r="D572" i="11"/>
  <c r="B572" i="11" s="1"/>
  <c r="A572" i="11"/>
  <c r="D372" i="11"/>
  <c r="B372" i="11" s="1"/>
  <c r="A372" i="11"/>
  <c r="D398" i="11"/>
  <c r="B398" i="11" s="1"/>
  <c r="A398" i="11"/>
  <c r="D389" i="11"/>
  <c r="B389" i="11" s="1"/>
  <c r="A389" i="11"/>
  <c r="D380" i="11"/>
  <c r="B380" i="11" s="1"/>
  <c r="A380" i="11"/>
  <c r="D490" i="11"/>
  <c r="B490" i="11" s="1"/>
  <c r="A490" i="11"/>
  <c r="D370" i="11"/>
  <c r="B370" i="11" s="1"/>
  <c r="A370" i="11"/>
  <c r="D676" i="11"/>
  <c r="B676" i="11" s="1"/>
  <c r="A676" i="11"/>
  <c r="D584" i="11"/>
  <c r="B584" i="11" s="1"/>
  <c r="A584" i="11"/>
  <c r="D512" i="11"/>
  <c r="B512" i="11" s="1"/>
  <c r="A512" i="11"/>
  <c r="D699" i="11"/>
  <c r="B699" i="11" s="1"/>
  <c r="A699" i="11"/>
  <c r="D576" i="11"/>
  <c r="B576" i="11" s="1"/>
  <c r="A576" i="11"/>
  <c r="D448" i="11"/>
  <c r="B448" i="11" s="1"/>
  <c r="A448" i="11"/>
  <c r="D668" i="11"/>
  <c r="B668" i="11" s="1"/>
  <c r="A668" i="11"/>
  <c r="D524" i="11"/>
  <c r="B524" i="11" s="1"/>
  <c r="A524" i="11"/>
  <c r="D638" i="11"/>
  <c r="B638" i="11" s="1"/>
  <c r="A638" i="11"/>
  <c r="D431" i="11"/>
  <c r="B431" i="11" s="1"/>
  <c r="A431" i="11"/>
  <c r="D695" i="11"/>
  <c r="B695" i="11" s="1"/>
  <c r="A695" i="11"/>
  <c r="D392" i="11"/>
  <c r="B392" i="11" s="1"/>
  <c r="A392" i="11"/>
  <c r="D463" i="11"/>
  <c r="B463" i="11" s="1"/>
  <c r="A463" i="11"/>
  <c r="D391" i="11"/>
  <c r="B391" i="11" s="1"/>
  <c r="A391" i="11"/>
  <c r="D475" i="11"/>
  <c r="B475" i="11" s="1"/>
  <c r="A475" i="11"/>
  <c r="D711" i="11"/>
  <c r="B711" i="11" s="1"/>
  <c r="A711" i="11"/>
  <c r="D634" i="11"/>
  <c r="B634" i="11" s="1"/>
  <c r="A634" i="11"/>
  <c r="D562" i="11"/>
  <c r="B562" i="11" s="1"/>
  <c r="A562" i="11"/>
  <c r="D706" i="11"/>
  <c r="B706" i="11" s="1"/>
  <c r="A706" i="11"/>
  <c r="D578" i="11"/>
  <c r="B578" i="11" s="1"/>
  <c r="A578" i="11"/>
  <c r="D450" i="11"/>
  <c r="B450" i="11" s="1"/>
  <c r="A450" i="11"/>
  <c r="D510" i="11"/>
  <c r="B510" i="11" s="1"/>
  <c r="A510" i="11"/>
  <c r="D474" i="11"/>
  <c r="B474" i="11" s="1"/>
  <c r="A474" i="11"/>
  <c r="D408" i="11"/>
  <c r="B408" i="11" s="1"/>
  <c r="A408" i="11"/>
  <c r="D386" i="11"/>
  <c r="B386" i="11" s="1"/>
  <c r="A386" i="11"/>
  <c r="D496" i="11"/>
  <c r="B496" i="11" s="1"/>
  <c r="A496" i="11"/>
  <c r="D487" i="11"/>
  <c r="B487" i="11" s="1"/>
  <c r="A487" i="11"/>
  <c r="D489" i="11"/>
  <c r="B489" i="11" s="1"/>
  <c r="A489" i="11"/>
  <c r="D629" i="11"/>
  <c r="B629" i="11" s="1"/>
  <c r="A629" i="11"/>
  <c r="A193" i="11" l="1"/>
  <c r="DK7" i="11"/>
  <c r="A226" i="11"/>
  <c r="D190" i="11"/>
  <c r="B190" i="11" s="1"/>
  <c r="AO18" i="10" s="1"/>
  <c r="CN21" i="11"/>
  <c r="D232" i="11"/>
  <c r="B232" i="11" s="1"/>
  <c r="D199" i="11"/>
  <c r="B199" i="11" s="1"/>
  <c r="D204" i="11"/>
  <c r="B204" i="11" s="1"/>
  <c r="DK17" i="11"/>
  <c r="DU44" i="11"/>
  <c r="DO14" i="11"/>
  <c r="CN53" i="11"/>
  <c r="CK29" i="11"/>
  <c r="DL39" i="11"/>
  <c r="DT18" i="11"/>
  <c r="CU7" i="11"/>
  <c r="CV51" i="11"/>
  <c r="CS30" i="11"/>
  <c r="DV14" i="11"/>
  <c r="DV54" i="11"/>
  <c r="CT51" i="11"/>
  <c r="DW14" i="11"/>
  <c r="DR31" i="11"/>
  <c r="CU52" i="11"/>
  <c r="DK37" i="11"/>
  <c r="DO18" i="11"/>
  <c r="DR33" i="11"/>
  <c r="DS30" i="11"/>
  <c r="DT48" i="11"/>
  <c r="DM44" i="11"/>
  <c r="DQ31" i="11"/>
  <c r="DO9" i="11"/>
  <c r="CU11" i="11"/>
  <c r="CV34" i="11"/>
  <c r="CV53" i="11"/>
  <c r="CT34" i="11"/>
  <c r="DS16" i="11"/>
  <c r="DW54" i="11"/>
  <c r="DS33" i="11"/>
  <c r="DS21" i="11"/>
  <c r="DP9" i="11"/>
  <c r="DN33" i="11"/>
  <c r="A203" i="11"/>
  <c r="DS23" i="11"/>
  <c r="A198" i="11"/>
  <c r="DR43" i="11"/>
  <c r="DL43" i="11"/>
  <c r="A229" i="11"/>
  <c r="A194" i="11"/>
  <c r="A201" i="11"/>
  <c r="A208" i="11"/>
  <c r="DM17" i="11"/>
  <c r="CT9" i="11"/>
  <c r="CP49" i="11"/>
  <c r="CT48" i="11"/>
  <c r="CT14" i="11"/>
  <c r="D322" i="11"/>
  <c r="B322" i="11" s="1"/>
  <c r="A322" i="11"/>
  <c r="CU19" i="11"/>
  <c r="DT19" i="11"/>
  <c r="A335" i="11"/>
  <c r="D335" i="11"/>
  <c r="B335" i="11" s="1"/>
  <c r="A344" i="11"/>
  <c r="D344" i="11"/>
  <c r="B344" i="11" s="1"/>
  <c r="A340" i="11"/>
  <c r="D340" i="11"/>
  <c r="B340" i="11" s="1"/>
  <c r="CU14" i="11"/>
  <c r="CU16" i="11"/>
  <c r="DU53" i="11"/>
  <c r="CU46" i="11"/>
  <c r="CV32" i="11"/>
  <c r="CV44" i="11"/>
  <c r="CV21" i="11"/>
  <c r="CU12" i="11"/>
  <c r="CT10" i="11"/>
  <c r="CT28" i="11"/>
  <c r="CT11" i="11"/>
  <c r="CU21" i="11"/>
  <c r="DS40" i="11"/>
  <c r="CT19" i="11"/>
  <c r="CT13" i="11"/>
  <c r="CV19" i="11"/>
  <c r="CT44" i="11"/>
  <c r="DU29" i="11"/>
  <c r="CS20" i="11"/>
  <c r="CV54" i="11"/>
  <c r="DS39" i="11"/>
  <c r="A251" i="11"/>
  <c r="D251" i="11"/>
  <c r="B251" i="11" s="1"/>
  <c r="D291" i="11"/>
  <c r="B291" i="11" s="1"/>
  <c r="A291" i="11"/>
  <c r="D262" i="11"/>
  <c r="B262" i="11" s="1"/>
  <c r="A262" i="11"/>
  <c r="D263" i="11"/>
  <c r="B263" i="11" s="1"/>
  <c r="A263" i="11"/>
  <c r="D275" i="11"/>
  <c r="B275" i="11" s="1"/>
  <c r="A275" i="11"/>
  <c r="D279" i="11"/>
  <c r="B279" i="11" s="1"/>
  <c r="A279" i="11"/>
  <c r="D252" i="11"/>
  <c r="B252" i="11" s="1"/>
  <c r="A252" i="11"/>
  <c r="D295" i="11"/>
  <c r="B295" i="11" s="1"/>
  <c r="A295" i="11"/>
  <c r="D280" i="11"/>
  <c r="B280" i="11" s="1"/>
  <c r="A280" i="11"/>
  <c r="A273" i="11"/>
  <c r="D273" i="11"/>
  <c r="B273" i="11" s="1"/>
  <c r="CQ44" i="11"/>
  <c r="D260" i="11"/>
  <c r="B260" i="11" s="1"/>
  <c r="A260" i="11"/>
  <c r="CL21" i="11"/>
  <c r="CU29" i="11"/>
  <c r="CU36" i="11"/>
  <c r="CU26" i="11"/>
  <c r="CU28" i="11"/>
  <c r="CU22" i="11"/>
  <c r="DS29" i="11"/>
  <c r="CV29" i="11"/>
  <c r="CV13" i="11"/>
  <c r="CT27" i="11"/>
  <c r="CV23" i="11"/>
  <c r="CT33" i="11"/>
  <c r="CU9" i="11"/>
  <c r="CV36" i="11"/>
  <c r="CV11" i="11"/>
  <c r="CT7" i="11"/>
  <c r="DV49" i="11"/>
  <c r="CT54" i="11"/>
  <c r="CT40" i="11"/>
  <c r="DV27" i="11"/>
  <c r="DT44" i="11"/>
  <c r="DT8" i="11"/>
  <c r="DR20" i="11"/>
  <c r="DR8" i="11"/>
  <c r="CV12" i="11"/>
  <c r="CM21" i="11"/>
  <c r="CK21" i="11"/>
  <c r="CU48" i="11"/>
  <c r="CU51" i="11"/>
  <c r="CU49" i="11"/>
  <c r="CU54" i="11"/>
  <c r="CV24" i="11"/>
  <c r="CV22" i="11"/>
  <c r="CV47" i="11"/>
  <c r="CV17" i="11"/>
  <c r="CT47" i="11"/>
  <c r="CV27" i="11"/>
  <c r="CV9" i="11"/>
  <c r="CT53" i="11"/>
  <c r="DW8" i="11"/>
  <c r="CV26" i="11"/>
  <c r="CT17" i="11"/>
  <c r="DW49" i="11"/>
  <c r="CT46" i="11"/>
  <c r="CT29" i="11"/>
  <c r="DV8" i="11"/>
  <c r="CU44" i="11"/>
  <c r="CU32" i="11"/>
  <c r="DT29" i="11"/>
  <c r="D249" i="11"/>
  <c r="B249" i="11" s="1"/>
  <c r="A249" i="11"/>
  <c r="A255" i="11"/>
  <c r="D255" i="11"/>
  <c r="B255" i="11" s="1"/>
  <c r="D261" i="11"/>
  <c r="B261" i="11" s="1"/>
  <c r="A261" i="11"/>
  <c r="D294" i="11"/>
  <c r="B294" i="11" s="1"/>
  <c r="A294" i="11"/>
  <c r="D270" i="11"/>
  <c r="B270" i="11" s="1"/>
  <c r="A270" i="11"/>
  <c r="D288" i="11"/>
  <c r="B288" i="11" s="1"/>
  <c r="A288" i="11"/>
  <c r="D268" i="11"/>
  <c r="B268" i="11" s="1"/>
  <c r="A268" i="11"/>
  <c r="A265" i="11"/>
  <c r="D265" i="11"/>
  <c r="B265" i="11" s="1"/>
  <c r="D285" i="11"/>
  <c r="B285" i="11" s="1"/>
  <c r="A285" i="11"/>
  <c r="D248" i="11"/>
  <c r="B248" i="11" s="1"/>
  <c r="A248" i="11"/>
  <c r="D269" i="11"/>
  <c r="B269" i="11" s="1"/>
  <c r="A269" i="11"/>
  <c r="A257" i="11"/>
  <c r="D257" i="11"/>
  <c r="B257" i="11" s="1"/>
  <c r="CT31" i="11"/>
  <c r="CT21" i="11"/>
  <c r="DT40" i="11"/>
  <c r="DU8" i="11"/>
  <c r="CT24" i="11"/>
  <c r="CT23" i="11"/>
  <c r="DS24" i="11"/>
  <c r="CU24" i="11"/>
  <c r="DQ12" i="11"/>
  <c r="D277" i="11"/>
  <c r="B277" i="11" s="1"/>
  <c r="A277" i="11"/>
  <c r="CT18" i="11"/>
  <c r="D286" i="11"/>
  <c r="B286" i="11" s="1"/>
  <c r="A286" i="11"/>
  <c r="D278" i="11"/>
  <c r="B278" i="11" s="1"/>
  <c r="A278" i="11"/>
  <c r="D272" i="11"/>
  <c r="B272" i="11" s="1"/>
  <c r="A272" i="11"/>
  <c r="D267" i="11"/>
  <c r="B267" i="11" s="1"/>
  <c r="A267" i="11"/>
  <c r="D256" i="11"/>
  <c r="B256" i="11" s="1"/>
  <c r="A256" i="11"/>
  <c r="A247" i="11"/>
  <c r="D247" i="11"/>
  <c r="B247" i="11" s="1"/>
  <c r="D283" i="11"/>
  <c r="B283" i="11" s="1"/>
  <c r="A283" i="11"/>
  <c r="A254" i="11"/>
  <c r="D254" i="11"/>
  <c r="B254" i="11" s="1"/>
  <c r="D306" i="11"/>
  <c r="B306" i="11" s="1"/>
  <c r="A306" i="11"/>
  <c r="D284" i="11"/>
  <c r="B284" i="11" s="1"/>
  <c r="A284" i="11"/>
  <c r="CU31" i="11"/>
  <c r="CV31" i="11"/>
  <c r="CV33" i="11"/>
  <c r="CU33" i="11"/>
  <c r="DQ33" i="11"/>
  <c r="CV6" i="11"/>
  <c r="CK6" i="11"/>
  <c r="CU6" i="11"/>
  <c r="D289" i="11"/>
  <c r="B289" i="11" s="1"/>
  <c r="A289" i="11"/>
  <c r="D292" i="11"/>
  <c r="B292" i="11" s="1"/>
  <c r="A292" i="11"/>
  <c r="D287" i="11"/>
  <c r="B287" i="11" s="1"/>
  <c r="A287" i="11"/>
  <c r="D282" i="11"/>
  <c r="B282" i="11" s="1"/>
  <c r="A282" i="11"/>
  <c r="D276" i="11"/>
  <c r="B276" i="11" s="1"/>
  <c r="A276" i="11"/>
  <c r="D274" i="11"/>
  <c r="B274" i="11" s="1"/>
  <c r="A274" i="11"/>
  <c r="D271" i="11"/>
  <c r="B271" i="11" s="1"/>
  <c r="A271" i="11"/>
  <c r="D281" i="11"/>
  <c r="B281" i="11" s="1"/>
  <c r="A281" i="11"/>
  <c r="D266" i="11"/>
  <c r="B266" i="11" s="1"/>
  <c r="A266" i="11"/>
  <c r="D264" i="11"/>
  <c r="B264" i="11" s="1"/>
  <c r="A264" i="11"/>
  <c r="D258" i="11"/>
  <c r="B258" i="11" s="1"/>
  <c r="A258" i="11"/>
  <c r="D259" i="11"/>
  <c r="B259" i="11" s="1"/>
  <c r="A259" i="11"/>
  <c r="A253" i="11"/>
  <c r="D253" i="11"/>
  <c r="B253" i="11" s="1"/>
  <c r="A339" i="11"/>
  <c r="D339" i="11"/>
  <c r="B339" i="11" s="1"/>
  <c r="D314" i="11"/>
  <c r="B314" i="11" s="1"/>
  <c r="A314" i="11"/>
  <c r="CU42" i="11"/>
  <c r="CU41" i="11"/>
  <c r="CV41" i="11"/>
  <c r="CT41" i="11"/>
  <c r="A250" i="11"/>
  <c r="D250" i="11"/>
  <c r="B250" i="11" s="1"/>
  <c r="CV49" i="11"/>
  <c r="CT43" i="11"/>
  <c r="CV43" i="11"/>
  <c r="CU39" i="11"/>
  <c r="CV39" i="11"/>
  <c r="CT39" i="11"/>
  <c r="CU38" i="11"/>
  <c r="CT38" i="11"/>
  <c r="CU8" i="11"/>
  <c r="CT8" i="11"/>
  <c r="A348" i="11"/>
  <c r="D348" i="11"/>
  <c r="B348" i="11" s="1"/>
  <c r="D349" i="11"/>
  <c r="B349" i="11" s="1"/>
  <c r="A349" i="11"/>
  <c r="D333" i="11"/>
  <c r="B333" i="11" s="1"/>
  <c r="A333" i="11"/>
  <c r="A338" i="11"/>
  <c r="D338" i="11"/>
  <c r="B338" i="11" s="1"/>
  <c r="D313" i="11"/>
  <c r="B313" i="11" s="1"/>
  <c r="A313" i="11"/>
  <c r="D309" i="11"/>
  <c r="B309" i="11" s="1"/>
  <c r="A309" i="11"/>
  <c r="D336" i="11"/>
  <c r="B336" i="11" s="1"/>
  <c r="A336" i="11"/>
  <c r="A343" i="11"/>
  <c r="D343" i="11"/>
  <c r="B343" i="11" s="1"/>
  <c r="D318" i="11"/>
  <c r="B318" i="11" s="1"/>
  <c r="A318" i="11"/>
  <c r="D325" i="11"/>
  <c r="B325" i="11" s="1"/>
  <c r="A325" i="11"/>
  <c r="D307" i="11"/>
  <c r="B307" i="11" s="1"/>
  <c r="A307" i="11"/>
  <c r="A332" i="11"/>
  <c r="D332" i="11"/>
  <c r="B332" i="11" s="1"/>
  <c r="A346" i="11"/>
  <c r="D346" i="11"/>
  <c r="B346" i="11" s="1"/>
  <c r="A331" i="11"/>
  <c r="D331" i="11"/>
  <c r="B331" i="11" s="1"/>
  <c r="D334" i="11"/>
  <c r="B334" i="11" s="1"/>
  <c r="A334" i="11"/>
  <c r="D319" i="11"/>
  <c r="B319" i="11" s="1"/>
  <c r="A319" i="11"/>
  <c r="D324" i="11"/>
  <c r="B324" i="11" s="1"/>
  <c r="A324" i="11"/>
  <c r="A329" i="11"/>
  <c r="D329" i="11"/>
  <c r="B329" i="11" s="1"/>
  <c r="D345" i="11"/>
  <c r="B345" i="11" s="1"/>
  <c r="A345" i="11"/>
  <c r="D315" i="11"/>
  <c r="B315" i="11" s="1"/>
  <c r="A315" i="11"/>
  <c r="D320" i="11"/>
  <c r="B320" i="11" s="1"/>
  <c r="A320" i="11"/>
  <c r="A312" i="11"/>
  <c r="D312" i="11"/>
  <c r="B312" i="11" s="1"/>
  <c r="A311" i="11"/>
  <c r="D311" i="11"/>
  <c r="B311" i="11" s="1"/>
  <c r="A327" i="11"/>
  <c r="D327" i="11"/>
  <c r="B327" i="11" s="1"/>
  <c r="D310" i="11"/>
  <c r="B310" i="11" s="1"/>
  <c r="A310" i="11"/>
  <c r="A328" i="11"/>
  <c r="D328" i="11"/>
  <c r="B328" i="11" s="1"/>
  <c r="D330" i="11"/>
  <c r="B330" i="11" s="1"/>
  <c r="A330" i="11"/>
  <c r="D351" i="11"/>
  <c r="B351" i="11" s="1"/>
  <c r="A351" i="11"/>
  <c r="A308" i="11"/>
  <c r="D308" i="11"/>
  <c r="B308" i="11" s="1"/>
  <c r="D353" i="11"/>
  <c r="B353" i="11" s="1"/>
  <c r="A353" i="11"/>
  <c r="D326" i="11"/>
  <c r="B326" i="11" s="1"/>
  <c r="A326" i="11"/>
  <c r="D316" i="11"/>
  <c r="B316" i="11" s="1"/>
  <c r="A316" i="11"/>
  <c r="D347" i="11"/>
  <c r="B347" i="11" s="1"/>
  <c r="A347" i="11"/>
  <c r="A337" i="11"/>
  <c r="D337" i="11"/>
  <c r="B337" i="11" s="1"/>
  <c r="D352" i="11"/>
  <c r="B352" i="11" s="1"/>
  <c r="A352" i="11"/>
  <c r="A355" i="11"/>
  <c r="D355" i="11"/>
  <c r="B355" i="11" s="1"/>
  <c r="A321" i="11"/>
  <c r="D321" i="11"/>
  <c r="B321" i="11" s="1"/>
  <c r="D323" i="11"/>
  <c r="B323" i="11" s="1"/>
  <c r="A323" i="11"/>
  <c r="D317" i="11"/>
  <c r="B317" i="11" s="1"/>
  <c r="A317" i="11"/>
  <c r="A341" i="11"/>
  <c r="D341" i="11"/>
  <c r="B341" i="11" s="1"/>
  <c r="A342" i="11"/>
  <c r="D342" i="11"/>
  <c r="B342" i="11" s="1"/>
  <c r="DW6" i="11"/>
  <c r="A354" i="11"/>
  <c r="CN54" i="11"/>
  <c r="DK21" i="11"/>
  <c r="DL8" i="11"/>
  <c r="CK53" i="11"/>
  <c r="CL42" i="11"/>
  <c r="AT42" i="11"/>
  <c r="EA42" i="11" s="1"/>
  <c r="CZ49" i="11"/>
  <c r="AT49" i="11"/>
  <c r="EA49" i="11" s="1"/>
  <c r="CZ40" i="11"/>
  <c r="AT40" i="11"/>
  <c r="EA40" i="11" s="1"/>
  <c r="CN37" i="11"/>
  <c r="AT37" i="11"/>
  <c r="EA37" i="11" s="1"/>
  <c r="CZ20" i="11"/>
  <c r="AT20" i="11"/>
  <c r="EA20" i="11" s="1"/>
  <c r="CZ30" i="11"/>
  <c r="AT30" i="11"/>
  <c r="EA30" i="11" s="1"/>
  <c r="CZ10" i="11"/>
  <c r="AT10" i="11"/>
  <c r="EA10" i="11" s="1"/>
  <c r="CZ8" i="11"/>
  <c r="AT8" i="11"/>
  <c r="EA8" i="11" s="1"/>
  <c r="DN49" i="11"/>
  <c r="DN32" i="11"/>
  <c r="CZ17" i="11"/>
  <c r="CZ18" i="11"/>
  <c r="CZ51" i="11"/>
  <c r="CY51" i="11"/>
  <c r="CK19" i="11"/>
  <c r="CZ19" i="11"/>
  <c r="CJ35" i="11"/>
  <c r="DA35" i="11" s="1"/>
  <c r="CZ35" i="11"/>
  <c r="CK39" i="11"/>
  <c r="CZ39" i="11"/>
  <c r="CM41" i="11"/>
  <c r="CZ41" i="11"/>
  <c r="CY41" i="11"/>
  <c r="CK28" i="11"/>
  <c r="CZ28" i="11"/>
  <c r="CM46" i="11"/>
  <c r="CY46" i="11"/>
  <c r="CX46" i="11"/>
  <c r="CZ46" i="11"/>
  <c r="CL23" i="11"/>
  <c r="CZ23" i="11"/>
  <c r="CK31" i="11"/>
  <c r="CZ31" i="11"/>
  <c r="CY31" i="11"/>
  <c r="CN14" i="11"/>
  <c r="CZ14" i="11"/>
  <c r="CK38" i="11"/>
  <c r="CZ38" i="11"/>
  <c r="CN16" i="11"/>
  <c r="CZ16" i="11"/>
  <c r="CY16" i="11"/>
  <c r="CX16" i="11"/>
  <c r="CL43" i="11"/>
  <c r="CZ43" i="11"/>
  <c r="CK37" i="11"/>
  <c r="CZ37" i="11"/>
  <c r="CJ45" i="11"/>
  <c r="DA45" i="11" s="1"/>
  <c r="CZ45" i="11"/>
  <c r="CJ25" i="11"/>
  <c r="DA25" i="11" s="1"/>
  <c r="CZ25" i="11"/>
  <c r="CL44" i="11"/>
  <c r="CZ44" i="11"/>
  <c r="CK9" i="11"/>
  <c r="CZ9" i="11"/>
  <c r="CN34" i="11"/>
  <c r="CZ34" i="11"/>
  <c r="CL27" i="11"/>
  <c r="CZ27" i="11"/>
  <c r="CN7" i="11"/>
  <c r="CZ7" i="11"/>
  <c r="CK26" i="11"/>
  <c r="CZ26" i="11"/>
  <c r="CY26" i="11"/>
  <c r="CX26" i="11"/>
  <c r="CP32" i="11"/>
  <c r="CZ32" i="11"/>
  <c r="CL13" i="11"/>
  <c r="CZ13" i="11"/>
  <c r="CL47" i="11"/>
  <c r="CZ47" i="11"/>
  <c r="CK36" i="11"/>
  <c r="CZ36" i="11"/>
  <c r="CY36" i="11"/>
  <c r="CX36" i="11"/>
  <c r="CM33" i="11"/>
  <c r="CZ33" i="11"/>
  <c r="CM53" i="11"/>
  <c r="CZ53" i="11"/>
  <c r="CN29" i="11"/>
  <c r="CZ29" i="11"/>
  <c r="CK52" i="11"/>
  <c r="CZ52" i="11"/>
  <c r="CL48" i="11"/>
  <c r="CZ48" i="11"/>
  <c r="CJ55" i="11"/>
  <c r="DA55" i="11" s="1"/>
  <c r="CZ55" i="11"/>
  <c r="CM54" i="11"/>
  <c r="CZ54" i="11"/>
  <c r="CY6" i="11"/>
  <c r="CX6" i="11"/>
  <c r="CZ6" i="11"/>
  <c r="DK31" i="11"/>
  <c r="CM12" i="11"/>
  <c r="CZ12" i="11"/>
  <c r="CK22" i="11"/>
  <c r="CZ22" i="11"/>
  <c r="CJ15" i="11"/>
  <c r="DA15" i="11" s="1"/>
  <c r="CZ15" i="11"/>
  <c r="CM42" i="11"/>
  <c r="CZ42" i="11"/>
  <c r="CM11" i="11"/>
  <c r="CZ11" i="11"/>
  <c r="CY11" i="11"/>
  <c r="CN24" i="11"/>
  <c r="CZ24" i="11"/>
  <c r="CZ21" i="11"/>
  <c r="CY21" i="11"/>
  <c r="CL7" i="11"/>
  <c r="CL37" i="11"/>
  <c r="DN43" i="11"/>
  <c r="CR18" i="11"/>
  <c r="CM31" i="11"/>
  <c r="CL31" i="11"/>
  <c r="CK44" i="11"/>
  <c r="CN31" i="11"/>
  <c r="CM44" i="11"/>
  <c r="CS46" i="11"/>
  <c r="CK23" i="11"/>
  <c r="CR6" i="11"/>
  <c r="CN43" i="11"/>
  <c r="CL17" i="11"/>
  <c r="CM39" i="11"/>
  <c r="CN39" i="11"/>
  <c r="CM34" i="11"/>
  <c r="CK43" i="11"/>
  <c r="CL39" i="11"/>
  <c r="CN42" i="11"/>
  <c r="CJ43" i="11"/>
  <c r="DA43" i="11" s="1"/>
  <c r="CL52" i="11"/>
  <c r="CM52" i="11"/>
  <c r="CM29" i="11"/>
  <c r="CN44" i="11"/>
  <c r="CM27" i="11"/>
  <c r="CL33" i="11"/>
  <c r="CK17" i="11"/>
  <c r="DN23" i="11"/>
  <c r="CK24" i="11"/>
  <c r="CL18" i="11"/>
  <c r="CL24" i="11"/>
  <c r="CN13" i="11"/>
  <c r="DN14" i="11"/>
  <c r="DK14" i="11"/>
  <c r="CM6" i="11"/>
  <c r="CK11" i="11"/>
  <c r="CL34" i="11"/>
  <c r="CM36" i="11"/>
  <c r="CN52" i="11"/>
  <c r="CL53" i="11"/>
  <c r="CJ34" i="11"/>
  <c r="DA34" i="11" s="1"/>
  <c r="CK42" i="11"/>
  <c r="CL16" i="11"/>
  <c r="CL11" i="11"/>
  <c r="CR14" i="11"/>
  <c r="CK54" i="11"/>
  <c r="CN23" i="11"/>
  <c r="CL6" i="11"/>
  <c r="CK41" i="11"/>
  <c r="CM24" i="11"/>
  <c r="CK33" i="11"/>
  <c r="CN48" i="11"/>
  <c r="CM13" i="11"/>
  <c r="CK48" i="11"/>
  <c r="CN9" i="11"/>
  <c r="CN6" i="11"/>
  <c r="DV18" i="11"/>
  <c r="DJ18" i="11"/>
  <c r="CO48" i="11"/>
  <c r="CP48" i="11"/>
  <c r="CV48" i="11"/>
  <c r="CR48" i="11"/>
  <c r="CQ48" i="11"/>
  <c r="CJ48" i="11"/>
  <c r="DA48" i="11" s="1"/>
  <c r="CS48" i="11"/>
  <c r="DJ13" i="11"/>
  <c r="DQ13" i="11"/>
  <c r="CT22" i="11"/>
  <c r="CN47" i="11"/>
  <c r="CJ47" i="11"/>
  <c r="DA47" i="11" s="1"/>
  <c r="CQ47" i="11"/>
  <c r="CU47" i="11"/>
  <c r="CP47" i="11"/>
  <c r="CO47" i="11"/>
  <c r="CR47" i="11"/>
  <c r="CS47" i="11"/>
  <c r="DJ46" i="11"/>
  <c r="DO46" i="11"/>
  <c r="DV46" i="11"/>
  <c r="CL19" i="11"/>
  <c r="DK12" i="11"/>
  <c r="DN54" i="11"/>
  <c r="CK47" i="11"/>
  <c r="DM18" i="11"/>
  <c r="CP43" i="11"/>
  <c r="CQ43" i="11"/>
  <c r="CS43" i="11"/>
  <c r="CR43" i="11"/>
  <c r="CU43" i="11"/>
  <c r="CO43" i="11"/>
  <c r="CK13" i="11"/>
  <c r="CN19" i="11"/>
  <c r="CK34" i="11"/>
  <c r="CQ39" i="11"/>
  <c r="CS39" i="11"/>
  <c r="CP39" i="11"/>
  <c r="CO39" i="11"/>
  <c r="CJ39" i="11"/>
  <c r="DA39" i="11" s="1"/>
  <c r="CR39" i="11"/>
  <c r="CO49" i="11"/>
  <c r="CJ49" i="11"/>
  <c r="DA49" i="11" s="1"/>
  <c r="CQ49" i="11"/>
  <c r="CR49" i="11"/>
  <c r="DJ51" i="11"/>
  <c r="DO51" i="11"/>
  <c r="DJ19" i="11"/>
  <c r="DR19" i="11"/>
  <c r="CT12" i="11"/>
  <c r="CJ12" i="11"/>
  <c r="DA12" i="11" s="1"/>
  <c r="CQ12" i="11"/>
  <c r="CP12" i="11"/>
  <c r="CO12" i="11"/>
  <c r="CR12" i="11"/>
  <c r="CS12" i="11"/>
  <c r="DU47" i="11"/>
  <c r="DJ47" i="11"/>
  <c r="CQ46" i="11"/>
  <c r="CJ46" i="11"/>
  <c r="DA46" i="11" s="1"/>
  <c r="CR46" i="11"/>
  <c r="CP46" i="11"/>
  <c r="CO46" i="11"/>
  <c r="CV46" i="11"/>
  <c r="CN26" i="11"/>
  <c r="CN22" i="11"/>
  <c r="CM9" i="11"/>
  <c r="CP9" i="11"/>
  <c r="CO9" i="11"/>
  <c r="CR9" i="11"/>
  <c r="CQ9" i="11"/>
  <c r="CJ9" i="11"/>
  <c r="DA9" i="11" s="1"/>
  <c r="CS9" i="11"/>
  <c r="CN41" i="11"/>
  <c r="CS14" i="11"/>
  <c r="CJ14" i="11"/>
  <c r="DA14" i="11" s="1"/>
  <c r="CV14" i="11"/>
  <c r="CP14" i="11"/>
  <c r="CQ14" i="11"/>
  <c r="CO14" i="11"/>
  <c r="DM19" i="11"/>
  <c r="CR51" i="11"/>
  <c r="CQ51" i="11"/>
  <c r="CJ51" i="11"/>
  <c r="DA51" i="11" s="1"/>
  <c r="CP51" i="11"/>
  <c r="CS51" i="11"/>
  <c r="CO51" i="11"/>
  <c r="CS19" i="11"/>
  <c r="CR19" i="11"/>
  <c r="CJ19" i="11"/>
  <c r="DA19" i="11" s="1"/>
  <c r="CP19" i="11"/>
  <c r="CO19" i="11"/>
  <c r="CQ19" i="11"/>
  <c r="CK49" i="11"/>
  <c r="CJ22" i="11"/>
  <c r="DA22" i="11" s="1"/>
  <c r="CR22" i="11"/>
  <c r="CP22" i="11"/>
  <c r="CQ22" i="11"/>
  <c r="CS22" i="11"/>
  <c r="CO22" i="11"/>
  <c r="CN51" i="11"/>
  <c r="DJ9" i="11"/>
  <c r="DS9" i="11"/>
  <c r="CQ30" i="11"/>
  <c r="CJ30" i="11"/>
  <c r="DA30" i="11" s="1"/>
  <c r="CR30" i="11"/>
  <c r="CN33" i="11"/>
  <c r="CJ40" i="11"/>
  <c r="DA40" i="11" s="1"/>
  <c r="CQ40" i="11"/>
  <c r="CR40" i="11"/>
  <c r="CQ37" i="11"/>
  <c r="CU37" i="11"/>
  <c r="CT37" i="11"/>
  <c r="CO37" i="11"/>
  <c r="CS37" i="11"/>
  <c r="CR37" i="11"/>
  <c r="CJ37" i="11"/>
  <c r="DA37" i="11" s="1"/>
  <c r="CP37" i="11"/>
  <c r="DJ26" i="11"/>
  <c r="DT26" i="11"/>
  <c r="CN49" i="11"/>
  <c r="CS41" i="11"/>
  <c r="CR41" i="11"/>
  <c r="CP41" i="11"/>
  <c r="CJ41" i="11"/>
  <c r="DA41" i="11" s="1"/>
  <c r="CQ41" i="11"/>
  <c r="CO41" i="11"/>
  <c r="DJ38" i="11"/>
  <c r="DQ38" i="11"/>
  <c r="DJ16" i="11"/>
  <c r="DT16" i="11"/>
  <c r="DO16" i="11"/>
  <c r="CJ20" i="11"/>
  <c r="DA20" i="11" s="1"/>
  <c r="CR20" i="11"/>
  <c r="DJ22" i="11"/>
  <c r="DO22" i="11"/>
  <c r="DQ22" i="11"/>
  <c r="CK51" i="11"/>
  <c r="CK12" i="11"/>
  <c r="CL36" i="11"/>
  <c r="CR36" i="11"/>
  <c r="CO36" i="11"/>
  <c r="CJ36" i="11"/>
  <c r="DA36" i="11" s="1"/>
  <c r="CQ36" i="11"/>
  <c r="CS36" i="11"/>
  <c r="CP36" i="11"/>
  <c r="CT36" i="11"/>
  <c r="CO33" i="11"/>
  <c r="CP33" i="11"/>
  <c r="CS33" i="11"/>
  <c r="CQ33" i="11"/>
  <c r="CR33" i="11"/>
  <c r="CJ33" i="11"/>
  <c r="DA33" i="11" s="1"/>
  <c r="DM26" i="11"/>
  <c r="CL22" i="11"/>
  <c r="DJ40" i="11"/>
  <c r="DR40" i="11"/>
  <c r="DU37" i="11"/>
  <c r="DJ37" i="11"/>
  <c r="CR26" i="11"/>
  <c r="CO26" i="11"/>
  <c r="CP26" i="11"/>
  <c r="CJ26" i="11"/>
  <c r="DA26" i="11" s="1"/>
  <c r="CT26" i="11"/>
  <c r="CS26" i="11"/>
  <c r="CQ26" i="11"/>
  <c r="CO38" i="11"/>
  <c r="CS38" i="11"/>
  <c r="CV38" i="11"/>
  <c r="CQ38" i="11"/>
  <c r="CP38" i="11"/>
  <c r="CR38" i="11"/>
  <c r="CJ38" i="11"/>
  <c r="DA38" i="11" s="1"/>
  <c r="CP28" i="11"/>
  <c r="CO28" i="11"/>
  <c r="CR28" i="11"/>
  <c r="CJ28" i="11"/>
  <c r="DA28" i="11" s="1"/>
  <c r="CV28" i="11"/>
  <c r="CQ28" i="11"/>
  <c r="CS28" i="11"/>
  <c r="CO27" i="11"/>
  <c r="CU27" i="11"/>
  <c r="CJ27" i="11"/>
  <c r="DA27" i="11" s="1"/>
  <c r="CR27" i="11"/>
  <c r="CP27" i="11"/>
  <c r="CQ27" i="11"/>
  <c r="CL41" i="11"/>
  <c r="CS27" i="11"/>
  <c r="CN27" i="11"/>
  <c r="CM16" i="11"/>
  <c r="DT36" i="11"/>
  <c r="DO36" i="11"/>
  <c r="DJ36" i="11"/>
  <c r="CO54" i="11"/>
  <c r="CQ54" i="11"/>
  <c r="CJ54" i="11"/>
  <c r="DA54" i="11" s="1"/>
  <c r="CR54" i="11"/>
  <c r="CS54" i="11"/>
  <c r="CP54" i="11"/>
  <c r="DP53" i="11"/>
  <c r="DJ53" i="11"/>
  <c r="DS53" i="11"/>
  <c r="DO29" i="11"/>
  <c r="DR29" i="11"/>
  <c r="DJ29" i="11"/>
  <c r="CM7" i="11"/>
  <c r="CQ7" i="11"/>
  <c r="CV7" i="11"/>
  <c r="CP7" i="11"/>
  <c r="CO7" i="11"/>
  <c r="CS7" i="11"/>
  <c r="CR7" i="11"/>
  <c r="CJ7" i="11"/>
  <c r="DA7" i="11" s="1"/>
  <c r="DJ41" i="11"/>
  <c r="DQ41" i="11"/>
  <c r="CM49" i="11"/>
  <c r="CL28" i="11"/>
  <c r="DK36" i="11"/>
  <c r="CV52" i="11"/>
  <c r="CJ52" i="11"/>
  <c r="DA52" i="11" s="1"/>
  <c r="CT52" i="11"/>
  <c r="CS52" i="11"/>
  <c r="CQ52" i="11"/>
  <c r="CP52" i="11"/>
  <c r="CO52" i="11"/>
  <c r="CR52" i="11"/>
  <c r="CL54" i="11"/>
  <c r="CM38" i="11"/>
  <c r="CM17" i="11"/>
  <c r="CO17" i="11"/>
  <c r="CR17" i="11"/>
  <c r="CJ17" i="11"/>
  <c r="DA17" i="11" s="1"/>
  <c r="CS17" i="11"/>
  <c r="CQ17" i="11"/>
  <c r="CU17" i="11"/>
  <c r="CP17" i="11"/>
  <c r="DP34" i="11"/>
  <c r="DJ34" i="11"/>
  <c r="CK27" i="11"/>
  <c r="CL9" i="11"/>
  <c r="DQ28" i="11"/>
  <c r="DS28" i="11"/>
  <c r="DJ28" i="11"/>
  <c r="CM37" i="11"/>
  <c r="CN28" i="11"/>
  <c r="CM28" i="11"/>
  <c r="DQ27" i="11"/>
  <c r="DJ27" i="11"/>
  <c r="DU27" i="11"/>
  <c r="DO27" i="11"/>
  <c r="CL12" i="11"/>
  <c r="CK16" i="11"/>
  <c r="CL14" i="11"/>
  <c r="CN12" i="11"/>
  <c r="CL51" i="11"/>
  <c r="CN18" i="11"/>
  <c r="CQ42" i="11"/>
  <c r="CR42" i="11"/>
  <c r="CJ42" i="11"/>
  <c r="DA42" i="11" s="1"/>
  <c r="CO42" i="11"/>
  <c r="CP42" i="11"/>
  <c r="CT42" i="11"/>
  <c r="CS42" i="11"/>
  <c r="CO11" i="11"/>
  <c r="CS11" i="11"/>
  <c r="CP11" i="11"/>
  <c r="CJ11" i="11"/>
  <c r="DA11" i="11" s="1"/>
  <c r="CQ11" i="11"/>
  <c r="CR11" i="11"/>
  <c r="DL47" i="11"/>
  <c r="CM43" i="11"/>
  <c r="CK18" i="11"/>
  <c r="CN17" i="11"/>
  <c r="CQ53" i="11"/>
  <c r="CR53" i="11"/>
  <c r="CJ53" i="11"/>
  <c r="DA53" i="11" s="1"/>
  <c r="CP53" i="11"/>
  <c r="CU53" i="11"/>
  <c r="CS53" i="11"/>
  <c r="CO53" i="11"/>
  <c r="CQ29" i="11"/>
  <c r="CR29" i="11"/>
  <c r="CP29" i="11"/>
  <c r="CS29" i="11"/>
  <c r="CJ29" i="11"/>
  <c r="DA29" i="11" s="1"/>
  <c r="CO29" i="11"/>
  <c r="DV7" i="11"/>
  <c r="DO7" i="11"/>
  <c r="DJ7" i="11"/>
  <c r="CS49" i="11"/>
  <c r="CQ16" i="11"/>
  <c r="CR16" i="11"/>
  <c r="CO16" i="11"/>
  <c r="CJ16" i="11"/>
  <c r="DA16" i="11" s="1"/>
  <c r="CS16" i="11"/>
  <c r="CV16" i="11"/>
  <c r="CP16" i="11"/>
  <c r="DL18" i="11"/>
  <c r="CM19" i="11"/>
  <c r="DV52" i="11"/>
  <c r="DJ52" i="11"/>
  <c r="DP52" i="11"/>
  <c r="CN38" i="11"/>
  <c r="CJ10" i="11"/>
  <c r="DA10" i="11" s="1"/>
  <c r="CR10" i="11"/>
  <c r="CQ10" i="11"/>
  <c r="DU17" i="11"/>
  <c r="DP17" i="11"/>
  <c r="DJ17" i="11"/>
  <c r="CS34" i="11"/>
  <c r="CR34" i="11"/>
  <c r="CU34" i="11"/>
  <c r="CP34" i="11"/>
  <c r="CQ34" i="11"/>
  <c r="CO34" i="11"/>
  <c r="CM47" i="11"/>
  <c r="CJ44" i="11"/>
  <c r="DA44" i="11" s="1"/>
  <c r="CP44" i="11"/>
  <c r="CS44" i="11"/>
  <c r="CO44" i="11"/>
  <c r="CR44" i="11"/>
  <c r="CN46" i="11"/>
  <c r="CL46" i="11"/>
  <c r="DM13" i="11"/>
  <c r="CT16" i="11"/>
  <c r="CL38" i="11"/>
  <c r="CM51" i="11"/>
  <c r="DP42" i="11"/>
  <c r="DJ42" i="11"/>
  <c r="DP11" i="11"/>
  <c r="DJ11" i="11"/>
  <c r="DO11" i="11"/>
  <c r="CK46" i="11"/>
  <c r="DN17" i="11"/>
  <c r="DK46" i="11"/>
  <c r="CN11" i="11"/>
  <c r="CJ6" i="11"/>
  <c r="DA6" i="11" s="1"/>
  <c r="CP6" i="11"/>
  <c r="CS6" i="11"/>
  <c r="CO6" i="11"/>
  <c r="CT6" i="11"/>
  <c r="CQ6" i="11"/>
  <c r="CO8" i="11"/>
  <c r="CR8" i="11"/>
  <c r="CJ8" i="11"/>
  <c r="DA8" i="11" s="1"/>
  <c r="CS8" i="11"/>
  <c r="CQ8" i="11"/>
  <c r="CV8" i="11"/>
  <c r="CL49" i="11"/>
  <c r="CM14" i="11"/>
  <c r="DN38" i="11"/>
  <c r="DK9" i="11"/>
  <c r="CK7" i="11"/>
  <c r="CS18" i="11"/>
  <c r="CU18" i="11"/>
  <c r="CV18" i="11"/>
  <c r="CO18" i="11"/>
  <c r="CQ18" i="11"/>
  <c r="CP18" i="11"/>
  <c r="CJ18" i="11"/>
  <c r="DA18" i="11" s="1"/>
  <c r="CS32" i="11"/>
  <c r="CM32" i="11"/>
  <c r="CR32" i="11"/>
  <c r="CJ32" i="11"/>
  <c r="DA32" i="11" s="1"/>
  <c r="CT32" i="11"/>
  <c r="CK32" i="11"/>
  <c r="CL32" i="11"/>
  <c r="CQ32" i="11"/>
  <c r="CO32" i="11"/>
  <c r="CN32" i="11"/>
  <c r="DJ48" i="11"/>
  <c r="DS48" i="11"/>
  <c r="CJ13" i="11"/>
  <c r="DA13" i="11" s="1"/>
  <c r="CS13" i="11"/>
  <c r="CR13" i="11"/>
  <c r="CO13" i="11"/>
  <c r="CU13" i="11"/>
  <c r="CP13" i="11"/>
  <c r="CQ13" i="11"/>
  <c r="CM22" i="11"/>
  <c r="DO44" i="11"/>
  <c r="DR44" i="11"/>
  <c r="DJ44" i="11"/>
  <c r="CL26" i="11"/>
  <c r="DM47" i="11"/>
  <c r="DL31" i="11"/>
  <c r="CM48" i="11"/>
  <c r="DK16" i="11"/>
  <c r="CK14" i="11"/>
  <c r="CM18" i="11"/>
  <c r="CM23" i="11"/>
  <c r="CJ23" i="11"/>
  <c r="DA23" i="11" s="1"/>
  <c r="CP23" i="11"/>
  <c r="CQ23" i="11"/>
  <c r="CO23" i="11"/>
  <c r="CR23" i="11"/>
  <c r="CU23" i="11"/>
  <c r="CS23" i="11"/>
  <c r="CQ31" i="11"/>
  <c r="CP31" i="11"/>
  <c r="CO31" i="11"/>
  <c r="CR31" i="11"/>
  <c r="CS31" i="11"/>
  <c r="CJ31" i="11"/>
  <c r="DA31" i="11" s="1"/>
  <c r="CM26" i="11"/>
  <c r="CN36" i="11"/>
  <c r="CP24" i="11"/>
  <c r="CR24" i="11"/>
  <c r="CS24" i="11"/>
  <c r="CJ24" i="11"/>
  <c r="DA24" i="11" s="1"/>
  <c r="CQ24" i="11"/>
  <c r="CO24" i="11"/>
  <c r="DJ6" i="11"/>
  <c r="DR6" i="11"/>
  <c r="DT6" i="11"/>
  <c r="CQ21" i="11"/>
  <c r="CR21" i="11"/>
  <c r="CP21" i="11"/>
  <c r="CJ21" i="11"/>
  <c r="DA21" i="11" s="1"/>
  <c r="CS21" i="11"/>
  <c r="CO21" i="11"/>
  <c r="AL19" i="10"/>
  <c r="AA19" i="10"/>
  <c r="AB26" i="10"/>
  <c r="Q24" i="10"/>
  <c r="Q23" i="10"/>
  <c r="AA7" i="10"/>
  <c r="AB14" i="10"/>
  <c r="AA14" i="10"/>
  <c r="AB16" i="10"/>
  <c r="R14" i="10"/>
  <c r="AB21" i="10"/>
  <c r="AB17" i="10"/>
  <c r="R13" i="10"/>
  <c r="AA9" i="10"/>
  <c r="AA13" i="10" l="1"/>
  <c r="AA22" i="10"/>
  <c r="AO8" i="10"/>
  <c r="AO6" i="10"/>
  <c r="I11" i="10"/>
  <c r="AP11" i="10"/>
  <c r="AO9" i="10"/>
  <c r="AS11" i="10"/>
  <c r="AB13" i="10"/>
  <c r="AO19" i="10"/>
  <c r="L19" i="10"/>
  <c r="Q13" i="10"/>
  <c r="Q14" i="10"/>
  <c r="AB23" i="10"/>
  <c r="K19" i="10"/>
  <c r="L23" i="10"/>
  <c r="G13" i="10"/>
  <c r="K6" i="10"/>
  <c r="K14" i="10"/>
  <c r="J17" i="10"/>
  <c r="L22" i="10"/>
  <c r="L27" i="10"/>
  <c r="L29" i="10"/>
  <c r="L6" i="10"/>
  <c r="K13" i="10"/>
  <c r="K17" i="10"/>
  <c r="K11" i="10"/>
  <c r="R12" i="10"/>
  <c r="K18" i="10"/>
  <c r="AO12" i="10"/>
  <c r="J14" i="10"/>
  <c r="AP28" i="10"/>
  <c r="L8" i="10"/>
  <c r="R11" i="10"/>
  <c r="AP18" i="10"/>
  <c r="R6" i="10"/>
  <c r="AP13" i="10"/>
  <c r="R7" i="10"/>
  <c r="AL22" i="10"/>
  <c r="E30" i="10"/>
  <c r="AA29" i="10"/>
  <c r="I17" i="10"/>
  <c r="AS26" i="10"/>
  <c r="AT17" i="10"/>
  <c r="AL21" i="10"/>
  <c r="I23" i="10"/>
  <c r="AA26" i="10"/>
  <c r="G23" i="10"/>
  <c r="AA17" i="10"/>
  <c r="AS7" i="10"/>
  <c r="G24" i="10"/>
  <c r="AA28" i="10"/>
  <c r="L26" i="10"/>
  <c r="AP29" i="10"/>
  <c r="AB7" i="10"/>
  <c r="AP26" i="10"/>
  <c r="K7" i="10"/>
  <c r="BU22" i="10"/>
  <c r="BO14" i="10"/>
  <c r="AP12" i="10"/>
  <c r="H17" i="10"/>
  <c r="K26" i="10"/>
  <c r="G29" i="10"/>
  <c r="AN28" i="10"/>
  <c r="AA27" i="10"/>
  <c r="H26" i="10"/>
  <c r="I7" i="10"/>
  <c r="H29" i="10"/>
  <c r="H18" i="10"/>
  <c r="AA8" i="10"/>
  <c r="E9" i="10"/>
  <c r="H21" i="10"/>
  <c r="G18" i="10"/>
  <c r="G19" i="10"/>
  <c r="H27" i="10"/>
  <c r="BU27" i="10"/>
  <c r="AO28" i="10"/>
  <c r="L24" i="10"/>
  <c r="AS23" i="10"/>
  <c r="O16" i="10"/>
  <c r="AB22" i="10"/>
  <c r="I26" i="10"/>
  <c r="F28" i="10"/>
  <c r="AS17" i="10"/>
  <c r="K22" i="10"/>
  <c r="AK24" i="10"/>
  <c r="AT14" i="10"/>
  <c r="N19" i="10"/>
  <c r="AD14" i="10"/>
  <c r="F6" i="10"/>
  <c r="BP14" i="10"/>
  <c r="BU13" i="10"/>
  <c r="BP9" i="10"/>
  <c r="BO12" i="10"/>
  <c r="AN8" i="10"/>
  <c r="AM9" i="10"/>
  <c r="AN6" i="10"/>
  <c r="AE14" i="10"/>
  <c r="AC8" i="10"/>
  <c r="M8" i="10"/>
  <c r="AL10" i="10"/>
  <c r="BP17" i="10"/>
  <c r="BP16" i="10"/>
  <c r="X24" i="10"/>
  <c r="AE11" i="10"/>
  <c r="AQ14" i="10"/>
  <c r="Y27" i="10"/>
  <c r="G11" i="10"/>
  <c r="AC9" i="10"/>
  <c r="C17" i="10"/>
  <c r="J18" i="10"/>
  <c r="I6" i="10"/>
  <c r="V7" i="10"/>
  <c r="O21" i="10"/>
  <c r="E8" i="10"/>
  <c r="BJ7" i="10"/>
  <c r="BP7" i="10"/>
  <c r="BP25" i="10"/>
  <c r="BU8" i="10"/>
  <c r="AM6" i="10"/>
  <c r="P8" i="10"/>
  <c r="AC6" i="10"/>
  <c r="Z10" i="10"/>
  <c r="L16" i="10"/>
  <c r="M16" i="10"/>
  <c r="T13" i="10"/>
  <c r="AD15" i="10"/>
  <c r="AD21" i="10"/>
  <c r="U18" i="10"/>
  <c r="AP15" i="10"/>
  <c r="AA11" i="10"/>
  <c r="N22" i="10"/>
  <c r="J28" i="10"/>
  <c r="C29" i="10"/>
  <c r="E24" i="10"/>
  <c r="K10" i="10"/>
  <c r="D11" i="10"/>
  <c r="AR6" i="10"/>
  <c r="T12" i="10"/>
  <c r="Z19" i="10"/>
  <c r="S10" i="10"/>
  <c r="F9" i="10"/>
  <c r="AN10" i="10"/>
  <c r="D23" i="10"/>
  <c r="AM20" i="10"/>
  <c r="AC21" i="10"/>
  <c r="AQ13" i="10"/>
  <c r="AE12" i="10"/>
  <c r="K30" i="10"/>
  <c r="S24" i="10"/>
  <c r="AN29" i="10"/>
  <c r="BK7" i="10"/>
  <c r="F8" i="10"/>
  <c r="AH6" i="10"/>
  <c r="AM7" i="10"/>
  <c r="R9" i="10"/>
  <c r="AC17" i="10"/>
  <c r="AB18" i="10"/>
  <c r="H16" i="10"/>
  <c r="X13" i="10"/>
  <c r="V18" i="10"/>
  <c r="Q9" i="10"/>
  <c r="AM13" i="10"/>
  <c r="AH24" i="10"/>
  <c r="Q6" i="10"/>
  <c r="S9" i="10"/>
  <c r="AC11" i="10"/>
  <c r="V9" i="10"/>
  <c r="AK6" i="10"/>
  <c r="O11" i="10"/>
  <c r="AI9" i="10"/>
  <c r="AE7" i="10"/>
  <c r="AP10" i="10"/>
  <c r="T8" i="10"/>
  <c r="AN9" i="10"/>
  <c r="V11" i="10"/>
  <c r="AF13" i="10"/>
  <c r="N15" i="10"/>
  <c r="AP16" i="10"/>
  <c r="AR17" i="10"/>
  <c r="X20" i="10"/>
  <c r="O15" i="10"/>
  <c r="AI16" i="10"/>
  <c r="M18" i="10"/>
  <c r="G21" i="10"/>
  <c r="V12" i="10"/>
  <c r="AF14" i="10"/>
  <c r="V16" i="10"/>
  <c r="AR25" i="10"/>
  <c r="W12" i="10"/>
  <c r="E17" i="10"/>
  <c r="R27" i="10"/>
  <c r="AJ13" i="10"/>
  <c r="AL16" i="10"/>
  <c r="S7" i="10"/>
  <c r="U10" i="10"/>
  <c r="W13" i="10"/>
  <c r="AO15" i="10"/>
  <c r="C20" i="10"/>
  <c r="F25" i="10"/>
  <c r="AD9" i="10"/>
  <c r="D12" i="10"/>
  <c r="N14" i="10"/>
  <c r="Z16" i="10"/>
  <c r="D20" i="10"/>
  <c r="AI7" i="10"/>
  <c r="S12" i="10"/>
  <c r="AC14" i="10"/>
  <c r="U21" i="10"/>
  <c r="U25" i="10"/>
  <c r="W28" i="10"/>
  <c r="X28" i="10"/>
  <c r="Y24" i="10"/>
  <c r="AL25" i="10"/>
  <c r="E19" i="10"/>
  <c r="U27" i="10"/>
  <c r="F23" i="10"/>
  <c r="BC25" i="10"/>
  <c r="M9" i="10"/>
  <c r="AB9" i="10"/>
  <c r="T9" i="10"/>
  <c r="F7" i="10"/>
  <c r="E7" i="10"/>
  <c r="W7" i="10"/>
  <c r="AR9" i="10"/>
  <c r="C7" i="10"/>
  <c r="AG9" i="10"/>
  <c r="T6" i="10"/>
  <c r="AH9" i="10"/>
  <c r="AQ6" i="10"/>
  <c r="M12" i="10"/>
  <c r="N6" i="10"/>
  <c r="AN7" i="10"/>
  <c r="AM10" i="10"/>
  <c r="K9" i="10"/>
  <c r="AG13" i="10"/>
  <c r="X6" i="10"/>
  <c r="AR8" i="10"/>
  <c r="AA12" i="10"/>
  <c r="AH8" i="10"/>
  <c r="H10" i="10"/>
  <c r="AB11" i="10"/>
  <c r="D13" i="10"/>
  <c r="AN13" i="10"/>
  <c r="V15" i="10"/>
  <c r="D17" i="10"/>
  <c r="AL20" i="10"/>
  <c r="C14" i="10"/>
  <c r="W15" i="10"/>
  <c r="AQ16" i="10"/>
  <c r="AB12" i="10"/>
  <c r="D14" i="10"/>
  <c r="AN14" i="10"/>
  <c r="J20" i="10"/>
  <c r="C11" i="10"/>
  <c r="M13" i="10"/>
  <c r="AO14" i="10"/>
  <c r="S18" i="10"/>
  <c r="P12" i="10"/>
  <c r="AH14" i="10"/>
  <c r="AJ17" i="10"/>
  <c r="AF23" i="10"/>
  <c r="I8" i="10"/>
  <c r="M14" i="10"/>
  <c r="Y16" i="10"/>
  <c r="AK21" i="10"/>
  <c r="T7" i="10"/>
  <c r="V10" i="10"/>
  <c r="AG8" i="10"/>
  <c r="G10" i="10"/>
  <c r="U15" i="10"/>
  <c r="Y19" i="10"/>
  <c r="U29" i="10"/>
  <c r="AB29" i="10"/>
  <c r="AB27" i="10"/>
  <c r="AO21" i="10"/>
  <c r="Q26" i="10"/>
  <c r="Z22" i="10"/>
  <c r="AF6" i="10"/>
  <c r="E6" i="10"/>
  <c r="Y6" i="10"/>
  <c r="D6" i="10"/>
  <c r="C6" i="10"/>
  <c r="AE6" i="10"/>
  <c r="O8" i="10"/>
  <c r="AQ9" i="10"/>
  <c r="J6" i="10"/>
  <c r="AJ7" i="10"/>
  <c r="AQ12" i="10"/>
  <c r="AK7" i="10"/>
  <c r="AE10" i="10"/>
  <c r="AL7" i="10"/>
  <c r="AF10" i="10"/>
  <c r="AK8" i="10"/>
  <c r="U6" i="10"/>
  <c r="V6" i="10"/>
  <c r="H8" i="10"/>
  <c r="J11" i="10"/>
  <c r="G6" i="10"/>
  <c r="AD7" i="10"/>
  <c r="AP6" i="10"/>
  <c r="AD6" i="10"/>
  <c r="L9" i="10"/>
  <c r="AO13" i="10"/>
  <c r="J9" i="10"/>
  <c r="AD10" i="10"/>
  <c r="L12" i="10"/>
  <c r="J13" i="10"/>
  <c r="X14" i="10"/>
  <c r="AR15" i="10"/>
  <c r="J19" i="10"/>
  <c r="T22" i="10"/>
  <c r="Y14" i="10"/>
  <c r="E16" i="10"/>
  <c r="J23" i="10"/>
  <c r="L13" i="10"/>
  <c r="X15" i="10"/>
  <c r="L17" i="10"/>
  <c r="Y15" i="10"/>
  <c r="AE19" i="10"/>
  <c r="F13" i="10"/>
  <c r="R15" i="10"/>
  <c r="R19" i="10"/>
  <c r="AM8" i="10"/>
  <c r="C12" i="10"/>
  <c r="O17" i="10"/>
  <c r="J8" i="10"/>
  <c r="L11" i="10"/>
  <c r="AF12" i="10"/>
  <c r="AR14" i="10"/>
  <c r="P17" i="10"/>
  <c r="AN27" i="10"/>
  <c r="AK10" i="10"/>
  <c r="I13" i="10"/>
  <c r="K16" i="10"/>
  <c r="AQ17" i="10"/>
  <c r="AK20" i="10"/>
  <c r="S22" i="10"/>
  <c r="W24" i="10"/>
  <c r="S26" i="10"/>
  <c r="AQ22" i="10"/>
  <c r="V30" i="10"/>
  <c r="Q21" i="10"/>
  <c r="AP20" i="10"/>
  <c r="AV17" i="10"/>
  <c r="BL26" i="10"/>
  <c r="BC10" i="10"/>
  <c r="AW25" i="10"/>
  <c r="AU14" i="10"/>
  <c r="BN28" i="10"/>
  <c r="BN12" i="10"/>
  <c r="BL21" i="10"/>
  <c r="BJ30" i="10"/>
  <c r="BJ14" i="10"/>
  <c r="BH23" i="10"/>
  <c r="BH7" i="10"/>
  <c r="BF16" i="10"/>
  <c r="BD25" i="10"/>
  <c r="BD9" i="10"/>
  <c r="BM24" i="10"/>
  <c r="BM8" i="10"/>
  <c r="BK17" i="10"/>
  <c r="BI26" i="10"/>
  <c r="BI10" i="10"/>
  <c r="BG19" i="10"/>
  <c r="BE28" i="10"/>
  <c r="BE12" i="10"/>
  <c r="BC21" i="10"/>
  <c r="BA30" i="10"/>
  <c r="BA14" i="10"/>
  <c r="AY23" i="10"/>
  <c r="AY7" i="10"/>
  <c r="AW16" i="10"/>
  <c r="BN15" i="10"/>
  <c r="BM23" i="10"/>
  <c r="BM7" i="10"/>
  <c r="BK16" i="10"/>
  <c r="BI25" i="10"/>
  <c r="BI9" i="10"/>
  <c r="BG18" i="10"/>
  <c r="BE27" i="10"/>
  <c r="BE11" i="10"/>
  <c r="BC20" i="10"/>
  <c r="BA29" i="10"/>
  <c r="BA13" i="10"/>
  <c r="AY22" i="10"/>
  <c r="BN18" i="10"/>
  <c r="BL27" i="10"/>
  <c r="BL11" i="10"/>
  <c r="BJ16" i="10"/>
  <c r="BH9" i="10"/>
  <c r="BD27" i="10"/>
  <c r="BB21" i="10"/>
  <c r="AY21" i="10"/>
  <c r="AX24" i="10"/>
  <c r="AV29" i="10"/>
  <c r="AV11" i="10"/>
  <c r="AS18" i="10"/>
  <c r="BM30" i="10"/>
  <c r="BI16" i="10"/>
  <c r="BG9" i="10"/>
  <c r="BC27" i="10"/>
  <c r="BB20" i="10"/>
  <c r="AZ20" i="10"/>
  <c r="AX23" i="10"/>
  <c r="AU29" i="10"/>
  <c r="AU11" i="10"/>
  <c r="BL24" i="10"/>
  <c r="BM25" i="10"/>
  <c r="BA19" i="10"/>
  <c r="AW21" i="10"/>
  <c r="AS27" i="10"/>
  <c r="BN24" i="10"/>
  <c r="BN8" i="10"/>
  <c r="BL17" i="10"/>
  <c r="BJ26" i="10"/>
  <c r="BJ10" i="10"/>
  <c r="BH19" i="10"/>
  <c r="BF28" i="10"/>
  <c r="BF12" i="10"/>
  <c r="BD21" i="10"/>
  <c r="BB30" i="10"/>
  <c r="BM20" i="10"/>
  <c r="BK29" i="10"/>
  <c r="BK13" i="10"/>
  <c r="BI22" i="10"/>
  <c r="BI6" i="10"/>
  <c r="BG15" i="10"/>
  <c r="BE24" i="10"/>
  <c r="BE8" i="10"/>
  <c r="BC17" i="10"/>
  <c r="BA26" i="10"/>
  <c r="BA10" i="10"/>
  <c r="AY19" i="10"/>
  <c r="AW28" i="10"/>
  <c r="BN27" i="10"/>
  <c r="BN11" i="10"/>
  <c r="BM19" i="10"/>
  <c r="BK28" i="10"/>
  <c r="BK12" i="10"/>
  <c r="BI21" i="10"/>
  <c r="BG30" i="10"/>
  <c r="BG14" i="10"/>
  <c r="BE23" i="10"/>
  <c r="BE7" i="10"/>
  <c r="BC16" i="10"/>
  <c r="BA25" i="10"/>
  <c r="BA9" i="10"/>
  <c r="BN30" i="10"/>
  <c r="BN14" i="10"/>
  <c r="BL23" i="10"/>
  <c r="BL28" i="10"/>
  <c r="BJ8" i="10"/>
  <c r="BF26" i="10"/>
  <c r="BD19" i="10"/>
  <c r="BB15" i="10"/>
  <c r="AZ15" i="10"/>
  <c r="AW19" i="10"/>
  <c r="AU25" i="10"/>
  <c r="AU7" i="10"/>
  <c r="AS14" i="10"/>
  <c r="BK27" i="10"/>
  <c r="BI8" i="10"/>
  <c r="BE26" i="10"/>
  <c r="BC19" i="10"/>
  <c r="BB14" i="10"/>
  <c r="AZ14" i="10"/>
  <c r="AX18" i="10"/>
  <c r="AV24" i="10"/>
  <c r="AV6" i="10"/>
  <c r="AT13" i="10"/>
  <c r="BL8" i="10"/>
  <c r="BH24" i="10"/>
  <c r="BF17" i="10"/>
  <c r="BD10" i="10"/>
  <c r="BB7" i="10"/>
  <c r="AY9" i="10"/>
  <c r="AX12" i="10"/>
  <c r="AV19" i="10"/>
  <c r="AS9" i="10"/>
  <c r="BJ21" i="10"/>
  <c r="BH14" i="10"/>
  <c r="BF7" i="10"/>
  <c r="BB25" i="10"/>
  <c r="AY25" i="10"/>
  <c r="AX27" i="10"/>
  <c r="AX7" i="10"/>
  <c r="AV14" i="10"/>
  <c r="AS21" i="10"/>
  <c r="BM18" i="10"/>
  <c r="BJ12" i="10"/>
  <c r="BF30" i="10"/>
  <c r="BD23" i="10"/>
  <c r="BG24" i="10"/>
  <c r="AY28" i="10"/>
  <c r="AU30" i="10"/>
  <c r="BN20" i="10"/>
  <c r="BL29" i="10"/>
  <c r="BL13" i="10"/>
  <c r="BJ22" i="10"/>
  <c r="BJ6" i="10"/>
  <c r="BH15" i="10"/>
  <c r="BF24" i="10"/>
  <c r="BF8" i="10"/>
  <c r="BD17" i="10"/>
  <c r="BB26" i="10"/>
  <c r="BM16" i="10"/>
  <c r="BK25" i="10"/>
  <c r="BK9" i="10"/>
  <c r="BI18" i="10"/>
  <c r="BG27" i="10"/>
  <c r="BG11" i="10"/>
  <c r="BE20" i="10"/>
  <c r="BC29" i="10"/>
  <c r="BC13" i="10"/>
  <c r="BA22" i="10"/>
  <c r="BA6" i="10"/>
  <c r="AY15" i="10"/>
  <c r="AW24" i="10"/>
  <c r="BN23" i="10"/>
  <c r="BN7" i="10"/>
  <c r="BM15" i="10"/>
  <c r="BK24" i="10"/>
  <c r="BK8" i="10"/>
  <c r="BI17" i="10"/>
  <c r="BG26" i="10"/>
  <c r="BG10" i="10"/>
  <c r="BE19" i="10"/>
  <c r="BC28" i="10"/>
  <c r="BC12" i="10"/>
  <c r="BA21" i="10"/>
  <c r="AY30" i="10"/>
  <c r="BN26" i="10"/>
  <c r="BN10" i="10"/>
  <c r="BL19" i="10"/>
  <c r="BL12" i="10"/>
  <c r="BH25" i="10"/>
  <c r="BF18" i="10"/>
  <c r="BD11" i="10"/>
  <c r="BB8" i="10"/>
  <c r="AY10" i="10"/>
  <c r="AW14" i="10"/>
  <c r="AV20" i="10"/>
  <c r="AT27" i="10"/>
  <c r="AS10" i="10"/>
  <c r="BK11" i="10"/>
  <c r="BG25" i="10"/>
  <c r="BE18" i="10"/>
  <c r="BC11" i="10"/>
  <c r="BA8" i="10"/>
  <c r="AZ9" i="10"/>
  <c r="AX13" i="10"/>
  <c r="AU20" i="10"/>
  <c r="AT26" i="10"/>
  <c r="AT9" i="10"/>
  <c r="BI24" i="10"/>
  <c r="BH16" i="10"/>
  <c r="BF9" i="10"/>
  <c r="BB27" i="10"/>
  <c r="AZ25" i="10"/>
  <c r="AX28" i="10"/>
  <c r="AW8" i="10"/>
  <c r="AU15" i="10"/>
  <c r="AT21" i="10"/>
  <c r="BM22" i="10"/>
  <c r="BJ13" i="10"/>
  <c r="BH6" i="10"/>
  <c r="BD24" i="10"/>
  <c r="BB19" i="10"/>
  <c r="BL9" i="10"/>
  <c r="BF20" i="10"/>
  <c r="BM12" i="10"/>
  <c r="BG23" i="10"/>
  <c r="BC9" i="10"/>
  <c r="AW20" i="10"/>
  <c r="BK20" i="10"/>
  <c r="BG6" i="10"/>
  <c r="BA17" i="10"/>
  <c r="BL15" i="10"/>
  <c r="BB28" i="10"/>
  <c r="AU16" i="10"/>
  <c r="BG17" i="10"/>
  <c r="AX29" i="10"/>
  <c r="BH8" i="10"/>
  <c r="BA20" i="10"/>
  <c r="AW23" i="10"/>
  <c r="AV10" i="10"/>
  <c r="AS13" i="10"/>
  <c r="BH22" i="10"/>
  <c r="BD8" i="10"/>
  <c r="AZ13" i="10"/>
  <c r="AW12" i="10"/>
  <c r="AV9" i="10"/>
  <c r="AT12" i="10"/>
  <c r="BJ20" i="10"/>
  <c r="BF22" i="10"/>
  <c r="BD7" i="10"/>
  <c r="AZ30" i="10"/>
  <c r="AZ7" i="10"/>
  <c r="AX11" i="10"/>
  <c r="AV18" i="10"/>
  <c r="AS25" i="10"/>
  <c r="AS8" i="10"/>
  <c r="BI20" i="10"/>
  <c r="BG13" i="10"/>
  <c r="BE6" i="10"/>
  <c r="BA24" i="10"/>
  <c r="AZ23" i="10"/>
  <c r="AX26" i="10"/>
  <c r="AX6" i="10"/>
  <c r="AU13" i="10"/>
  <c r="AS20" i="10"/>
  <c r="BM10" i="10"/>
  <c r="BJ11" i="10"/>
  <c r="BF29" i="10"/>
  <c r="BD22" i="10"/>
  <c r="BB16" i="10"/>
  <c r="AY17" i="10"/>
  <c r="AX20" i="10"/>
  <c r="AV26" i="10"/>
  <c r="AU8" i="10"/>
  <c r="AS15" i="10"/>
  <c r="BK15" i="10"/>
  <c r="BH26" i="10"/>
  <c r="BF19" i="10"/>
  <c r="BD12" i="10"/>
  <c r="BB9" i="10"/>
  <c r="AZ10" i="10"/>
  <c r="AX14" i="10"/>
  <c r="AU21" i="10"/>
  <c r="AS28" i="10"/>
  <c r="AT10" i="10"/>
  <c r="AF30" i="10"/>
  <c r="D30" i="10"/>
  <c r="V28" i="10"/>
  <c r="AD27" i="10"/>
  <c r="AN26" i="10"/>
  <c r="J26" i="10"/>
  <c r="T25" i="10"/>
  <c r="AB24" i="10"/>
  <c r="AL23" i="10"/>
  <c r="H23" i="10"/>
  <c r="R22" i="10"/>
  <c r="AH21" i="10"/>
  <c r="AJ20" i="10"/>
  <c r="F20" i="10"/>
  <c r="P19" i="10"/>
  <c r="Z18" i="10"/>
  <c r="AP17" i="10"/>
  <c r="Y30" i="10"/>
  <c r="AO29" i="10"/>
  <c r="AQ28" i="10"/>
  <c r="M28" i="10"/>
  <c r="W27" i="10"/>
  <c r="BE17" i="10"/>
  <c r="AS19" i="10"/>
  <c r="BJ18" i="10"/>
  <c r="BD29" i="10"/>
  <c r="BK21" i="10"/>
  <c r="BG7" i="10"/>
  <c r="BA18" i="10"/>
  <c r="BN19" i="10"/>
  <c r="BI29" i="10"/>
  <c r="BE15" i="10"/>
  <c r="AY26" i="10"/>
  <c r="BJ25" i="10"/>
  <c r="AZ27" i="10"/>
  <c r="AT22" i="10"/>
  <c r="BE10" i="10"/>
  <c r="AX8" i="10"/>
  <c r="BM26" i="10"/>
  <c r="BF25" i="10"/>
  <c r="BB13" i="10"/>
  <c r="AW18" i="10"/>
  <c r="AT30" i="10"/>
  <c r="BK23" i="10"/>
  <c r="BF23" i="10"/>
  <c r="BB12" i="10"/>
  <c r="AZ8" i="10"/>
  <c r="AU28" i="10"/>
  <c r="AS30" i="10"/>
  <c r="AT8" i="10"/>
  <c r="BH29" i="10"/>
  <c r="BF14" i="10"/>
  <c r="BB24" i="10"/>
  <c r="AZ24" i="10"/>
  <c r="AW27" i="10"/>
  <c r="AW7" i="10"/>
  <c r="AV13" i="10"/>
  <c r="AT20" i="10"/>
  <c r="BM14" i="10"/>
  <c r="BI12" i="10"/>
  <c r="BE30" i="10"/>
  <c r="BC23" i="10"/>
  <c r="BB17" i="10"/>
  <c r="AZ17" i="10"/>
  <c r="AX21" i="10"/>
  <c r="AU27" i="10"/>
  <c r="AV8" i="10"/>
  <c r="AT15" i="10"/>
  <c r="BL16" i="10"/>
  <c r="BH28" i="10"/>
  <c r="BF21" i="10"/>
  <c r="BD14" i="10"/>
  <c r="BB10" i="10"/>
  <c r="AZ11" i="10"/>
  <c r="AW15" i="10"/>
  <c r="AV21" i="10"/>
  <c r="AT28" i="10"/>
  <c r="BI28" i="10"/>
  <c r="BH18" i="10"/>
  <c r="BF11" i="10"/>
  <c r="BB29" i="10"/>
  <c r="AZ28" i="10"/>
  <c r="AX30" i="10"/>
  <c r="AW10" i="10"/>
  <c r="AV16" i="10"/>
  <c r="AT23" i="10"/>
  <c r="AT6" i="10"/>
  <c r="Z30" i="10"/>
  <c r="AR28" i="10"/>
  <c r="N28" i="10"/>
  <c r="X27" i="10"/>
  <c r="AF26" i="10"/>
  <c r="D26" i="10"/>
  <c r="L25" i="10"/>
  <c r="V24" i="10"/>
  <c r="AD23" i="10"/>
  <c r="AN22" i="10"/>
  <c r="J22" i="10"/>
  <c r="T21" i="10"/>
  <c r="AB20" i="10"/>
  <c r="H19" i="10"/>
  <c r="R18" i="10"/>
  <c r="AH17" i="10"/>
  <c r="Q30" i="10"/>
  <c r="AG29" i="10"/>
  <c r="AI28" i="10"/>
  <c r="E28" i="10"/>
  <c r="O27" i="10"/>
  <c r="AY12" i="10"/>
  <c r="BN16" i="10"/>
  <c r="BH27" i="10"/>
  <c r="BD13" i="10"/>
  <c r="BI30" i="10"/>
  <c r="BE16" i="10"/>
  <c r="AY27" i="10"/>
  <c r="BM27" i="10"/>
  <c r="BI13" i="10"/>
  <c r="BC24" i="10"/>
  <c r="BN22" i="10"/>
  <c r="BH17" i="10"/>
  <c r="AW30" i="10"/>
  <c r="AS6" i="10"/>
  <c r="BA28" i="10"/>
  <c r="AV15" i="10"/>
  <c r="BJ15" i="10"/>
  <c r="BD26" i="10"/>
  <c r="AZ19" i="10"/>
  <c r="AV28" i="10"/>
  <c r="BL7" i="10"/>
  <c r="BF15" i="10"/>
  <c r="BB6" i="10"/>
  <c r="AX22" i="10"/>
  <c r="AV23" i="10"/>
  <c r="AT25" i="10"/>
  <c r="BL20" i="10"/>
  <c r="BH21" i="10"/>
  <c r="BF6" i="10"/>
  <c r="BB18" i="10"/>
  <c r="AY18" i="10"/>
  <c r="AW22" i="10"/>
  <c r="AV27" i="10"/>
  <c r="AU9" i="10"/>
  <c r="AS16" i="10"/>
  <c r="BK19" i="10"/>
  <c r="BG29" i="10"/>
  <c r="BE22" i="10"/>
  <c r="BC15" i="10"/>
  <c r="BB11" i="10"/>
  <c r="AZ12" i="10"/>
  <c r="AX15" i="10"/>
  <c r="AV22" i="10"/>
  <c r="AS29" i="10"/>
  <c r="AT11" i="10"/>
  <c r="BJ28" i="10"/>
  <c r="BH20" i="10"/>
  <c r="BF13" i="10"/>
  <c r="BD6" i="10"/>
  <c r="AY29" i="10"/>
  <c r="AY6" i="10"/>
  <c r="AX10" i="10"/>
  <c r="AU17" i="10"/>
  <c r="AS24" i="10"/>
  <c r="BJ17" i="10"/>
  <c r="BH10" i="10"/>
  <c r="BD28" i="10"/>
  <c r="BB22" i="10"/>
  <c r="AZ21" i="10"/>
  <c r="AX25" i="10"/>
  <c r="AV30" i="10"/>
  <c r="AU12" i="10"/>
  <c r="AT18" i="10"/>
  <c r="R30" i="10"/>
  <c r="AH29" i="10"/>
  <c r="AJ28" i="10"/>
  <c r="P27" i="10"/>
  <c r="Z26" i="10"/>
  <c r="AP25" i="10"/>
  <c r="AR24" i="10"/>
  <c r="N24" i="10"/>
  <c r="X23" i="10"/>
  <c r="BH11" i="10"/>
  <c r="AY11" i="10"/>
  <c r="BN6" i="10"/>
  <c r="AZ26" i="10"/>
  <c r="BD18" i="10"/>
  <c r="AX17" i="10"/>
  <c r="BH13" i="10"/>
  <c r="AX16" i="10"/>
  <c r="BJ29" i="10"/>
  <c r="AZ29" i="10"/>
  <c r="AT24" i="10"/>
  <c r="BD30" i="10"/>
  <c r="AW6" i="10"/>
  <c r="BD20" i="10"/>
  <c r="AV25" i="10"/>
  <c r="AN30" i="10"/>
  <c r="F24" i="10"/>
  <c r="D22" i="10"/>
  <c r="V20" i="10"/>
  <c r="X19" i="10"/>
  <c r="D18" i="10"/>
  <c r="C30" i="10"/>
  <c r="U28" i="10"/>
  <c r="AM26" i="10"/>
  <c r="S25" i="10"/>
  <c r="AA24" i="10"/>
  <c r="AK23" i="10"/>
  <c r="Q22" i="10"/>
  <c r="AG21" i="10"/>
  <c r="AI20" i="10"/>
  <c r="E20" i="10"/>
  <c r="O19" i="10"/>
  <c r="Y18" i="10"/>
  <c r="AO17" i="10"/>
  <c r="X30" i="10"/>
  <c r="AF29" i="10"/>
  <c r="D29" i="10"/>
  <c r="L28" i="10"/>
  <c r="V27" i="10"/>
  <c r="AD26" i="10"/>
  <c r="AN25" i="10"/>
  <c r="J25" i="10"/>
  <c r="T24" i="10"/>
  <c r="H22" i="10"/>
  <c r="R21" i="10"/>
  <c r="AH20" i="10"/>
  <c r="AJ19" i="10"/>
  <c r="F19" i="10"/>
  <c r="P18" i="10"/>
  <c r="Z17" i="10"/>
  <c r="O30" i="10"/>
  <c r="Y29" i="10"/>
  <c r="AQ27" i="10"/>
  <c r="W26" i="10"/>
  <c r="AE25" i="10"/>
  <c r="C25" i="10"/>
  <c r="K24" i="10"/>
  <c r="U23" i="10"/>
  <c r="AC22" i="10"/>
  <c r="AM21" i="10"/>
  <c r="I21" i="10"/>
  <c r="S20" i="10"/>
  <c r="AK18" i="10"/>
  <c r="AR30" i="10"/>
  <c r="N30" i="10"/>
  <c r="X29" i="10"/>
  <c r="AF28" i="10"/>
  <c r="D28" i="10"/>
  <c r="V26" i="10"/>
  <c r="AD25" i="10"/>
  <c r="AN24" i="10"/>
  <c r="J24" i="10"/>
  <c r="T23" i="10"/>
  <c r="AQ30" i="10"/>
  <c r="M30" i="10"/>
  <c r="W29" i="10"/>
  <c r="AE28" i="10"/>
  <c r="C28" i="10"/>
  <c r="K27" i="10"/>
  <c r="U26" i="10"/>
  <c r="AC25" i="10"/>
  <c r="AM24" i="10"/>
  <c r="I24" i="10"/>
  <c r="S23" i="10"/>
  <c r="AP30" i="10"/>
  <c r="AR29" i="10"/>
  <c r="N29" i="10"/>
  <c r="AU18" i="10"/>
  <c r="BM28" i="10"/>
  <c r="BM11" i="10"/>
  <c r="BF10" i="10"/>
  <c r="AS22" i="10"/>
  <c r="AY14" i="10"/>
  <c r="BH30" i="10"/>
  <c r="AU19" i="10"/>
  <c r="BD15" i="10"/>
  <c r="AU23" i="10"/>
  <c r="BG21" i="10"/>
  <c r="AZ6" i="10"/>
  <c r="AT7" i="10"/>
  <c r="BB23" i="10"/>
  <c r="AV12" i="10"/>
  <c r="BM6" i="10"/>
  <c r="BA16" i="10"/>
  <c r="AV7" i="10"/>
  <c r="J30" i="10"/>
  <c r="AB28" i="10"/>
  <c r="R26" i="10"/>
  <c r="P23" i="10"/>
  <c r="AP21" i="10"/>
  <c r="N20" i="10"/>
  <c r="AN18" i="10"/>
  <c r="AM30" i="10"/>
  <c r="S29" i="10"/>
  <c r="AK27" i="10"/>
  <c r="AE26" i="10"/>
  <c r="C26" i="10"/>
  <c r="K25" i="10"/>
  <c r="U24" i="10"/>
  <c r="AC23" i="10"/>
  <c r="AM22" i="10"/>
  <c r="I22" i="10"/>
  <c r="S21" i="10"/>
  <c r="AA20" i="10"/>
  <c r="AK19" i="10"/>
  <c r="Q18" i="10"/>
  <c r="AG17" i="10"/>
  <c r="P30" i="10"/>
  <c r="Z29" i="10"/>
  <c r="AR27" i="10"/>
  <c r="N27" i="10"/>
  <c r="X26" i="10"/>
  <c r="AF25" i="10"/>
  <c r="D25" i="10"/>
  <c r="V23" i="10"/>
  <c r="AD22" i="10"/>
  <c r="AN21" i="10"/>
  <c r="J21" i="10"/>
  <c r="T20" i="10"/>
  <c r="AB19" i="10"/>
  <c r="AL18" i="10"/>
  <c r="AK30" i="10"/>
  <c r="G30" i="10"/>
  <c r="Q29" i="10"/>
  <c r="AG28" i="10"/>
  <c r="AI27" i="10"/>
  <c r="E27" i="10"/>
  <c r="O26" i="10"/>
  <c r="Y25" i="10"/>
  <c r="AO24" i="10"/>
  <c r="AQ23" i="10"/>
  <c r="M23" i="10"/>
  <c r="W22" i="10"/>
  <c r="AE21" i="10"/>
  <c r="C21" i="10"/>
  <c r="K20" i="10"/>
  <c r="U19" i="10"/>
  <c r="AC18" i="10"/>
  <c r="AM17" i="10"/>
  <c r="AJ30" i="10"/>
  <c r="F30" i="10"/>
  <c r="P29" i="10"/>
  <c r="Z28" i="10"/>
  <c r="AP27" i="10"/>
  <c r="AR26" i="10"/>
  <c r="N26" i="10"/>
  <c r="X25" i="10"/>
  <c r="AF24" i="10"/>
  <c r="D24" i="10"/>
  <c r="AI30" i="10"/>
  <c r="O29" i="10"/>
  <c r="Y28" i="10"/>
  <c r="AO27" i="10"/>
  <c r="AQ26" i="10"/>
  <c r="M26" i="10"/>
  <c r="W25" i="10"/>
  <c r="AE24" i="10"/>
  <c r="C24" i="10"/>
  <c r="K23" i="10"/>
  <c r="AH30" i="10"/>
  <c r="AJ29" i="10"/>
  <c r="F29" i="10"/>
  <c r="P28" i="10"/>
  <c r="S30" i="10"/>
  <c r="AK28" i="10"/>
  <c r="G28" i="10"/>
  <c r="Q27" i="10"/>
  <c r="AG26" i="10"/>
  <c r="AI25" i="10"/>
  <c r="E25" i="10"/>
  <c r="O24" i="10"/>
  <c r="Y23" i="10"/>
  <c r="AO22" i="10"/>
  <c r="AQ21" i="10"/>
  <c r="M21" i="10"/>
  <c r="AP22" i="10"/>
  <c r="BI14" i="10"/>
  <c r="BG22" i="10"/>
  <c r="AX9" i="10"/>
  <c r="AU24" i="10"/>
  <c r="BD16" i="10"/>
  <c r="AT16" i="10"/>
  <c r="BA12" i="10"/>
  <c r="AT29" i="10"/>
  <c r="BE14" i="10"/>
  <c r="AW11" i="10"/>
  <c r="BJ19" i="10"/>
  <c r="AZ22" i="10"/>
  <c r="AT19" i="10"/>
  <c r="BJ9" i="10"/>
  <c r="AZ16" i="10"/>
  <c r="AH25" i="10"/>
  <c r="AF22" i="10"/>
  <c r="L21" i="10"/>
  <c r="AF18" i="10"/>
  <c r="AE30" i="10"/>
  <c r="K29" i="10"/>
  <c r="AC27" i="10"/>
  <c r="Y26" i="10"/>
  <c r="AO25" i="10"/>
  <c r="AQ24" i="10"/>
  <c r="M24" i="10"/>
  <c r="W23" i="10"/>
  <c r="AE22" i="10"/>
  <c r="C22" i="10"/>
  <c r="K21" i="10"/>
  <c r="U20" i="10"/>
  <c r="AC19" i="10"/>
  <c r="AM18" i="10"/>
  <c r="I18" i="10"/>
  <c r="AL30" i="10"/>
  <c r="H30" i="10"/>
  <c r="R29" i="10"/>
  <c r="AH28" i="10"/>
  <c r="AJ27" i="10"/>
  <c r="F27" i="10"/>
  <c r="P26" i="10"/>
  <c r="Z25" i="10"/>
  <c r="AP24" i="10"/>
  <c r="AR23" i="10"/>
  <c r="N23" i="10"/>
  <c r="X22" i="10"/>
  <c r="AF21" i="10"/>
  <c r="D21" i="10"/>
  <c r="L20" i="10"/>
  <c r="V19" i="10"/>
  <c r="AD18" i="10"/>
  <c r="AN17" i="10"/>
  <c r="AC30" i="10"/>
  <c r="AM29" i="10"/>
  <c r="I29" i="10"/>
  <c r="S28" i="10"/>
  <c r="AK26" i="10"/>
  <c r="G26" i="10"/>
  <c r="Q25" i="10"/>
  <c r="AG24" i="10"/>
  <c r="AI23" i="10"/>
  <c r="E23" i="10"/>
  <c r="O22" i="10"/>
  <c r="Y21" i="10"/>
  <c r="AO20" i="10"/>
  <c r="AQ19" i="10"/>
  <c r="M19" i="10"/>
  <c r="W18" i="10"/>
  <c r="AE17" i="10"/>
  <c r="AB30" i="10"/>
  <c r="AL29" i="10"/>
  <c r="R28" i="10"/>
  <c r="AH27" i="10"/>
  <c r="AJ26" i="10"/>
  <c r="F26" i="10"/>
  <c r="P25" i="10"/>
  <c r="Z24" i="10"/>
  <c r="AP23" i="10"/>
  <c r="AR22" i="10"/>
  <c r="AA30" i="10"/>
  <c r="AK29" i="10"/>
  <c r="Q28" i="10"/>
  <c r="AG27" i="10"/>
  <c r="AI26" i="10"/>
  <c r="E26" i="10"/>
  <c r="J7" i="10"/>
  <c r="AD8" i="10"/>
  <c r="L10" i="10"/>
  <c r="S6" i="10"/>
  <c r="N7" i="10"/>
  <c r="U8" i="10"/>
  <c r="C10" i="10"/>
  <c r="X11" i="10"/>
  <c r="O7" i="10"/>
  <c r="V8" i="10"/>
  <c r="D10" i="10"/>
  <c r="Z11" i="10"/>
  <c r="G8" i="10"/>
  <c r="AH10" i="10"/>
  <c r="S13" i="10"/>
  <c r="U9" i="10"/>
  <c r="AB6" i="10"/>
  <c r="Q7" i="10"/>
  <c r="X8" i="10"/>
  <c r="AJ9" i="10"/>
  <c r="AD11" i="10"/>
  <c r="AA6" i="10"/>
  <c r="O6" i="10"/>
  <c r="G7" i="10"/>
  <c r="I10" i="10"/>
  <c r="AK11" i="10"/>
  <c r="M6" i="10"/>
  <c r="H6" i="10"/>
  <c r="AL6" i="10"/>
  <c r="N8" i="10"/>
  <c r="AP9" i="10"/>
  <c r="P11" i="10"/>
  <c r="AR7" i="10"/>
  <c r="AP8" i="10"/>
  <c r="Z9" i="10"/>
  <c r="P10" i="10"/>
  <c r="F11" i="10"/>
  <c r="AJ11" i="10"/>
  <c r="AH12" i="10"/>
  <c r="H14" i="10"/>
  <c r="AL14" i="10"/>
  <c r="AB15" i="10"/>
  <c r="T16" i="10"/>
  <c r="L18" i="10"/>
  <c r="AN19" i="10"/>
  <c r="F21" i="10"/>
  <c r="P24" i="10"/>
  <c r="I14" i="10"/>
  <c r="AM14" i="10"/>
  <c r="AC15" i="10"/>
  <c r="U16" i="10"/>
  <c r="AA18" i="10"/>
  <c r="I20" i="10"/>
  <c r="AJ25" i="10"/>
  <c r="AJ12" i="10"/>
  <c r="AH13" i="10"/>
  <c r="H15" i="10"/>
  <c r="AL15" i="10"/>
  <c r="T17" i="10"/>
  <c r="AR18" i="10"/>
  <c r="Z20" i="10"/>
  <c r="V22" i="10"/>
  <c r="J27" i="10"/>
  <c r="AM11" i="10"/>
  <c r="AC12" i="10"/>
  <c r="U13" i="10"/>
  <c r="C15" i="10"/>
  <c r="AE15" i="10"/>
  <c r="W16" i="10"/>
  <c r="M17" i="10"/>
  <c r="AG18" i="10"/>
  <c r="O20" i="10"/>
  <c r="E22" i="10"/>
  <c r="AF11" i="10"/>
  <c r="X12" i="10"/>
  <c r="N13" i="10"/>
  <c r="AR13" i="10"/>
  <c r="AP14" i="10"/>
  <c r="Z15" i="10"/>
  <c r="P16" i="10"/>
  <c r="F17" i="10"/>
  <c r="T18" i="10"/>
  <c r="AF19" i="10"/>
  <c r="AJ21" i="10"/>
  <c r="AG7" i="10"/>
  <c r="Q8" i="10"/>
  <c r="G9" i="10"/>
  <c r="AK9" i="10"/>
  <c r="AA10" i="10"/>
  <c r="S11" i="10"/>
  <c r="I12" i="10"/>
  <c r="AM12" i="10"/>
  <c r="AC13" i="10"/>
  <c r="U14" i="10"/>
  <c r="K15" i="10"/>
  <c r="C16" i="10"/>
  <c r="AE16" i="10"/>
  <c r="W17" i="10"/>
  <c r="AI18" i="10"/>
  <c r="Q20" i="10"/>
  <c r="T26" i="10"/>
  <c r="AH7" i="10"/>
  <c r="R8" i="10"/>
  <c r="H9" i="10"/>
  <c r="AL9" i="10"/>
  <c r="AB10" i="10"/>
  <c r="T11" i="10"/>
  <c r="J12" i="10"/>
  <c r="AN12" i="10"/>
  <c r="AD13" i="10"/>
  <c r="V14" i="10"/>
  <c r="L15" i="10"/>
  <c r="D16" i="10"/>
  <c r="AF16" i="10"/>
  <c r="X17" i="10"/>
  <c r="AJ18" i="10"/>
  <c r="R20" i="10"/>
  <c r="M22" i="10"/>
  <c r="M7" i="10"/>
  <c r="AQ7" i="10"/>
  <c r="Y9" i="10"/>
  <c r="O10" i="10"/>
  <c r="E11" i="10"/>
  <c r="AI11" i="10"/>
  <c r="AG12" i="10"/>
  <c r="G14" i="10"/>
  <c r="AK14" i="10"/>
  <c r="AA15" i="10"/>
  <c r="S16" i="10"/>
  <c r="AM19" i="10"/>
  <c r="E21" i="10"/>
  <c r="H24" i="10"/>
  <c r="AA21" i="10"/>
  <c r="AG22" i="10"/>
  <c r="AE23" i="10"/>
  <c r="AC24" i="10"/>
  <c r="AA25" i="10"/>
  <c r="AO26" i="10"/>
  <c r="AE27" i="10"/>
  <c r="AC28" i="10"/>
  <c r="AG30" i="10"/>
  <c r="AD28" i="10"/>
  <c r="L30" i="10"/>
  <c r="AG23" i="10"/>
  <c r="G25" i="10"/>
  <c r="S27" i="10"/>
  <c r="AC29" i="10"/>
  <c r="AH23" i="10"/>
  <c r="Y17" i="10"/>
  <c r="G22" i="10"/>
  <c r="I25" i="10"/>
  <c r="AE29" i="10"/>
  <c r="X18" i="10"/>
  <c r="Z21" i="10"/>
  <c r="R25" i="10"/>
  <c r="T28" i="10"/>
  <c r="AD30" i="10"/>
  <c r="W19" i="10"/>
  <c r="Y22" i="10"/>
  <c r="AI24" i="10"/>
  <c r="G27" i="10"/>
  <c r="AD19" i="10"/>
  <c r="AJ24" i="10"/>
  <c r="BC7" i="10"/>
  <c r="AZ18" i="10"/>
  <c r="BL25" i="10"/>
  <c r="AF7" i="10"/>
  <c r="AI12" i="10"/>
  <c r="Z6" i="10"/>
  <c r="X7" i="10"/>
  <c r="N9" i="10"/>
  <c r="W11" i="10"/>
  <c r="AG6" i="10"/>
  <c r="Y7" i="10"/>
  <c r="AI8" i="10"/>
  <c r="Q10" i="10"/>
  <c r="E12" i="10"/>
  <c r="Z7" i="10"/>
  <c r="AJ8" i="10"/>
  <c r="R10" i="10"/>
  <c r="F12" i="10"/>
  <c r="W8" i="10"/>
  <c r="H11" i="10"/>
  <c r="D7" i="10"/>
  <c r="AJ6" i="10"/>
  <c r="AC7" i="10"/>
  <c r="AL8" i="10"/>
  <c r="T10" i="10"/>
  <c r="N12" i="10"/>
  <c r="P7" i="10"/>
  <c r="W6" i="10"/>
  <c r="AQ8" i="10"/>
  <c r="Y10" i="10"/>
  <c r="U12" i="10"/>
  <c r="AI6" i="10"/>
  <c r="P6" i="10"/>
  <c r="H7" i="10"/>
  <c r="AB8" i="10"/>
  <c r="J10" i="10"/>
  <c r="AL11" i="10"/>
  <c r="D9" i="10"/>
  <c r="AF9" i="10"/>
  <c r="X10" i="10"/>
  <c r="N11" i="10"/>
  <c r="AR11" i="10"/>
  <c r="Z13" i="10"/>
  <c r="P14" i="10"/>
  <c r="F15" i="10"/>
  <c r="AJ15" i="10"/>
  <c r="AH16" i="10"/>
  <c r="R17" i="10"/>
  <c r="H20" i="10"/>
  <c r="X21" i="10"/>
  <c r="AB25" i="10"/>
  <c r="G15" i="10"/>
  <c r="AK15" i="10"/>
  <c r="AA16" i="10"/>
  <c r="S17" i="10"/>
  <c r="AQ18" i="10"/>
  <c r="Y20" i="10"/>
  <c r="U22" i="10"/>
  <c r="D27" i="10"/>
  <c r="AR12" i="10"/>
  <c r="Z14" i="10"/>
  <c r="P15" i="10"/>
  <c r="F16" i="10"/>
  <c r="AJ16" i="10"/>
  <c r="AD17" i="10"/>
  <c r="AN20" i="10"/>
  <c r="R23" i="10"/>
  <c r="AG10" i="10"/>
  <c r="Q11" i="10"/>
  <c r="G12" i="10"/>
  <c r="AK12" i="10"/>
  <c r="S14" i="10"/>
  <c r="I15" i="10"/>
  <c r="AM15" i="10"/>
  <c r="AC16" i="10"/>
  <c r="U17" i="10"/>
  <c r="C19" i="10"/>
  <c r="AC20" i="10"/>
  <c r="Z23" i="10"/>
  <c r="AN11" i="10"/>
  <c r="AD12" i="10"/>
  <c r="V13" i="10"/>
  <c r="L14" i="10"/>
  <c r="D15" i="10"/>
  <c r="AF15" i="10"/>
  <c r="X16" i="10"/>
  <c r="N17" i="10"/>
  <c r="AH18" i="10"/>
  <c r="P20" i="10"/>
  <c r="F22" i="10"/>
  <c r="Z27" i="10"/>
  <c r="AO7" i="10"/>
  <c r="Y8" i="10"/>
  <c r="O9" i="10"/>
  <c r="E10" i="10"/>
  <c r="AI10" i="10"/>
  <c r="AG11" i="10"/>
  <c r="Q12" i="10"/>
  <c r="AK13" i="10"/>
  <c r="S15" i="10"/>
  <c r="I16" i="10"/>
  <c r="AM16" i="10"/>
  <c r="AK17" i="10"/>
  <c r="S19" i="10"/>
  <c r="AE20" i="10"/>
  <c r="AF27" i="10"/>
  <c r="AP7" i="10"/>
  <c r="Z8" i="10"/>
  <c r="P9" i="10"/>
  <c r="F10" i="10"/>
  <c r="AJ10" i="10"/>
  <c r="AH11" i="10"/>
  <c r="H13" i="10"/>
  <c r="AL13" i="10"/>
  <c r="T15" i="10"/>
  <c r="J16" i="10"/>
  <c r="AN16" i="10"/>
  <c r="AL17" i="10"/>
  <c r="T19" i="10"/>
  <c r="AF20" i="10"/>
  <c r="AH22" i="10"/>
  <c r="U7" i="10"/>
  <c r="K8" i="10"/>
  <c r="C9" i="10"/>
  <c r="AE9" i="10"/>
  <c r="W10" i="10"/>
  <c r="M11" i="10"/>
  <c r="AQ11" i="10"/>
  <c r="Y13" i="10"/>
  <c r="O14" i="10"/>
  <c r="E15" i="10"/>
  <c r="AI15" i="10"/>
  <c r="AG16" i="10"/>
  <c r="Q17" i="10"/>
  <c r="G20" i="10"/>
  <c r="W21" i="10"/>
  <c r="V25" i="10"/>
  <c r="AI21" i="10"/>
  <c r="C23" i="10"/>
  <c r="AM23" i="10"/>
  <c r="AQ25" i="10"/>
  <c r="C27" i="10"/>
  <c r="AM27" i="10"/>
  <c r="E29" i="10"/>
  <c r="AI29" i="10"/>
  <c r="AO30" i="10"/>
  <c r="AL28" i="10"/>
  <c r="T30" i="10"/>
  <c r="AO23" i="10"/>
  <c r="O25" i="10"/>
  <c r="I28" i="10"/>
  <c r="U30" i="10"/>
  <c r="R24" i="10"/>
  <c r="AI19" i="10"/>
  <c r="AK22" i="10"/>
  <c r="AM25" i="10"/>
  <c r="K28" i="10"/>
  <c r="W30" i="10"/>
  <c r="P22" i="10"/>
  <c r="AJ23" i="10"/>
  <c r="C18" i="10"/>
  <c r="M20" i="10"/>
  <c r="AG25" i="10"/>
  <c r="T29" i="10"/>
  <c r="AX19" i="10"/>
  <c r="AW26" i="10"/>
  <c r="AS12" i="10"/>
  <c r="BJ24" i="10"/>
  <c r="N16" i="10"/>
  <c r="AR16" i="10"/>
  <c r="N18" i="10"/>
  <c r="AP19" i="10"/>
  <c r="AD24" i="10"/>
  <c r="AO10" i="10"/>
  <c r="Y11" i="10"/>
  <c r="O12" i="10"/>
  <c r="AI13" i="10"/>
  <c r="AG14" i="10"/>
  <c r="Q15" i="10"/>
  <c r="G16" i="10"/>
  <c r="AI17" i="10"/>
  <c r="Q19" i="10"/>
  <c r="N21" i="10"/>
  <c r="AL24" i="10"/>
  <c r="H12" i="10"/>
  <c r="AL12" i="10"/>
  <c r="T14" i="10"/>
  <c r="J15" i="10"/>
  <c r="AN15" i="10"/>
  <c r="AD16" i="10"/>
  <c r="V17" i="10"/>
  <c r="D19" i="10"/>
  <c r="AD20" i="10"/>
  <c r="C8" i="10"/>
  <c r="AE8" i="10"/>
  <c r="W9" i="10"/>
  <c r="M10" i="10"/>
  <c r="AQ10" i="10"/>
  <c r="AO11" i="10"/>
  <c r="Y12" i="10"/>
  <c r="O13" i="10"/>
  <c r="AI14" i="10"/>
  <c r="AG15" i="10"/>
  <c r="Q16" i="10"/>
  <c r="G17" i="10"/>
  <c r="E18" i="10"/>
  <c r="AG19" i="10"/>
  <c r="P21" i="10"/>
  <c r="AN23" i="10"/>
  <c r="L7" i="10"/>
  <c r="D8" i="10"/>
  <c r="AF8" i="10"/>
  <c r="X9" i="10"/>
  <c r="N10" i="10"/>
  <c r="AR10" i="10"/>
  <c r="Z12" i="10"/>
  <c r="P13" i="10"/>
  <c r="F14" i="10"/>
  <c r="AJ14" i="10"/>
  <c r="AH15" i="10"/>
  <c r="R16" i="10"/>
  <c r="F18" i="10"/>
  <c r="AH19" i="10"/>
  <c r="V21" i="10"/>
  <c r="N25" i="10"/>
  <c r="S8" i="10"/>
  <c r="I9" i="10"/>
  <c r="AC10" i="10"/>
  <c r="U11" i="10"/>
  <c r="K12" i="10"/>
  <c r="C13" i="10"/>
  <c r="AE13" i="10"/>
  <c r="W14" i="10"/>
  <c r="M15" i="10"/>
  <c r="AQ15" i="10"/>
  <c r="AO16" i="10"/>
  <c r="I19" i="10"/>
  <c r="W20" i="10"/>
  <c r="AR21" i="10"/>
  <c r="AH26" i="10"/>
  <c r="M25" i="10"/>
  <c r="I27" i="10"/>
  <c r="O28" i="10"/>
  <c r="M29" i="10"/>
  <c r="AQ29" i="10"/>
  <c r="H28" i="10"/>
  <c r="V29" i="10"/>
  <c r="AI22" i="10"/>
  <c r="AK25" i="10"/>
  <c r="AM28" i="10"/>
  <c r="AJ22" i="10"/>
  <c r="H25" i="10"/>
  <c r="T27" i="10"/>
  <c r="AD29" i="10"/>
  <c r="O18" i="10"/>
  <c r="AG20" i="10"/>
  <c r="AA23" i="10"/>
  <c r="AC26" i="10"/>
  <c r="AF17" i="10"/>
  <c r="AR19" i="10"/>
  <c r="AL26" i="10"/>
  <c r="J29" i="10"/>
  <c r="AE18" i="10"/>
  <c r="AQ20" i="10"/>
  <c r="O23" i="10"/>
  <c r="I30" i="10"/>
  <c r="AR20" i="10"/>
  <c r="AL27" i="10"/>
  <c r="BF27" i="10"/>
  <c r="BH12" i="10"/>
  <c r="AY13" i="10"/>
  <c r="BC8" i="10"/>
  <c r="BA7" i="10"/>
  <c r="BC26" i="10"/>
  <c r="BI15" i="10"/>
  <c r="BL10" i="10"/>
  <c r="BK6" i="10"/>
  <c r="BN13" i="10"/>
  <c r="AW9" i="10"/>
  <c r="AY16" i="10"/>
  <c r="BA23" i="10"/>
  <c r="BG8" i="10"/>
  <c r="BK26" i="10"/>
  <c r="BC14" i="10"/>
  <c r="BC30" i="10"/>
  <c r="BE21" i="10"/>
  <c r="BG12" i="10"/>
  <c r="BG28" i="10"/>
  <c r="BI19" i="10"/>
  <c r="BK10" i="10"/>
  <c r="BM9" i="10"/>
  <c r="BM29" i="10"/>
  <c r="BL14" i="10"/>
  <c r="BN17" i="10"/>
  <c r="AU6" i="10"/>
  <c r="AU22" i="10"/>
  <c r="AW13" i="10"/>
  <c r="AW29" i="10"/>
  <c r="AY20" i="10"/>
  <c r="BA11" i="10"/>
  <c r="BA27" i="10"/>
  <c r="BC18" i="10"/>
  <c r="BE9" i="10"/>
  <c r="BE25" i="10"/>
  <c r="BG16" i="10"/>
  <c r="BI7" i="10"/>
  <c r="BI23" i="10"/>
  <c r="BK18" i="10"/>
  <c r="BM13" i="10"/>
  <c r="BJ23" i="10"/>
  <c r="BL22" i="10"/>
  <c r="BN29" i="10"/>
  <c r="AU10" i="10"/>
  <c r="AU26" i="10"/>
  <c r="AW17" i="10"/>
  <c r="AY8" i="10"/>
  <c r="AY24" i="10"/>
  <c r="BA15" i="10"/>
  <c r="BC6" i="10"/>
  <c r="BC22" i="10"/>
  <c r="BE13" i="10"/>
  <c r="BE29" i="10"/>
  <c r="BG20" i="10"/>
  <c r="BI11" i="10"/>
  <c r="BI27" i="10"/>
  <c r="BK22" i="10"/>
  <c r="BM17" i="10"/>
  <c r="BL6" i="10"/>
  <c r="BP27" i="10"/>
  <c r="BP13" i="10"/>
  <c r="BO18" i="10"/>
  <c r="BU14" i="10"/>
  <c r="BU19" i="10"/>
  <c r="BQ26" i="10"/>
  <c r="BS20" i="10"/>
  <c r="BP11" i="10"/>
  <c r="BP24" i="10"/>
  <c r="BP18" i="10"/>
  <c r="BO15" i="10"/>
  <c r="BP19" i="10"/>
  <c r="BO16" i="10"/>
  <c r="BO13" i="10"/>
  <c r="BO27" i="10"/>
  <c r="BP23" i="10"/>
  <c r="BP8" i="10"/>
  <c r="BO17" i="10"/>
  <c r="BP21" i="10"/>
  <c r="BO30" i="10"/>
  <c r="BT14" i="10"/>
  <c r="BV28" i="10"/>
  <c r="BN25" i="10"/>
  <c r="BL30" i="10"/>
  <c r="BN21" i="10"/>
  <c r="BK14" i="10"/>
  <c r="BK30" i="10"/>
  <c r="BM21" i="10"/>
  <c r="BJ27" i="10"/>
  <c r="BL18" i="10"/>
  <c r="BN9" i="10"/>
  <c r="BT21" i="10"/>
  <c r="BT18" i="10"/>
  <c r="BU24" i="10"/>
  <c r="BT12" i="10"/>
  <c r="BV12" i="10"/>
  <c r="BQ21" i="10"/>
  <c r="BQ9" i="10"/>
  <c r="BT28" i="10"/>
  <c r="BS9" i="10"/>
  <c r="BR14" i="10"/>
  <c r="BQ11" i="10"/>
  <c r="BS11" i="10"/>
  <c r="BS28" i="10"/>
  <c r="BV19" i="10"/>
  <c r="BS17" i="10"/>
  <c r="BR30" i="10"/>
  <c r="BS10" i="10"/>
  <c r="BU11" i="10"/>
  <c r="BR21" i="10"/>
  <c r="BQ10" i="10"/>
  <c r="BS26" i="10"/>
  <c r="BU25" i="10"/>
  <c r="BS21" i="10"/>
  <c r="BR18" i="10"/>
  <c r="BQ19" i="10"/>
  <c r="BV17" i="10"/>
  <c r="BO19" i="10"/>
  <c r="BO20" i="10"/>
  <c r="BP12" i="10"/>
  <c r="BP28" i="10"/>
  <c r="BO21" i="10"/>
  <c r="BP29" i="10"/>
  <c r="BP6" i="10"/>
  <c r="BP22" i="10"/>
  <c r="BQ17" i="10"/>
  <c r="BQ25" i="10"/>
  <c r="BS8" i="10"/>
  <c r="BR9" i="10"/>
  <c r="BR25" i="10"/>
  <c r="BT16" i="10"/>
  <c r="BV7" i="10"/>
  <c r="BV23" i="10"/>
  <c r="BQ14" i="10"/>
  <c r="BQ30" i="10"/>
  <c r="BU12" i="10"/>
  <c r="BU28" i="10"/>
  <c r="BT9" i="10"/>
  <c r="BT25" i="10"/>
  <c r="BV16" i="10"/>
  <c r="BQ7" i="10"/>
  <c r="BQ23" i="10"/>
  <c r="BS14" i="10"/>
  <c r="BS30" i="10"/>
  <c r="BU29" i="10"/>
  <c r="BO7" i="10"/>
  <c r="BO23" i="10"/>
  <c r="BP15" i="10"/>
  <c r="BO8" i="10"/>
  <c r="BO24" i="10"/>
  <c r="BO9" i="10"/>
  <c r="BO25" i="10"/>
  <c r="BO6" i="10"/>
  <c r="BO22" i="10"/>
  <c r="BP10" i="10"/>
  <c r="BP26" i="10"/>
  <c r="BS24" i="10"/>
  <c r="BU7" i="10"/>
  <c r="BU15" i="10"/>
  <c r="BS16" i="10"/>
  <c r="BR13" i="10"/>
  <c r="BR29" i="10"/>
  <c r="BT20" i="10"/>
  <c r="BV11" i="10"/>
  <c r="BV27" i="10"/>
  <c r="BQ18" i="10"/>
  <c r="BS25" i="10"/>
  <c r="BU16" i="10"/>
  <c r="BR6" i="10"/>
  <c r="BR22" i="10"/>
  <c r="BT13" i="10"/>
  <c r="BT29" i="10"/>
  <c r="BV20" i="10"/>
  <c r="BQ27" i="10"/>
  <c r="BS18" i="10"/>
  <c r="BU9" i="10"/>
  <c r="BR7" i="10"/>
  <c r="BT26" i="10"/>
  <c r="BU30" i="10"/>
  <c r="BV21" i="10"/>
  <c r="BQ16" i="10"/>
  <c r="BO11" i="10"/>
  <c r="BO28" i="10"/>
  <c r="BP20" i="10"/>
  <c r="BO29" i="10"/>
  <c r="BO10" i="10"/>
  <c r="BO26" i="10"/>
  <c r="BP30" i="10"/>
  <c r="BQ13" i="10"/>
  <c r="BQ29" i="10"/>
  <c r="BS12" i="10"/>
  <c r="BU23" i="10"/>
  <c r="BR17" i="10"/>
  <c r="BT8" i="10"/>
  <c r="BT24" i="10"/>
  <c r="BV15" i="10"/>
  <c r="BQ6" i="10"/>
  <c r="BQ22" i="10"/>
  <c r="BS13" i="10"/>
  <c r="BS29" i="10"/>
  <c r="BU20" i="10"/>
  <c r="BR10" i="10"/>
  <c r="BR26" i="10"/>
  <c r="BT17" i="10"/>
  <c r="BV8" i="10"/>
  <c r="BV24" i="10"/>
  <c r="BQ15" i="10"/>
  <c r="BS6" i="10"/>
  <c r="BS22" i="10"/>
  <c r="BR23" i="10"/>
  <c r="BT10" i="10"/>
  <c r="BT30" i="10"/>
  <c r="BU17" i="10"/>
  <c r="BR19" i="10"/>
  <c r="BT15" i="10"/>
  <c r="BU6" i="10"/>
  <c r="BU21" i="10"/>
  <c r="BR11" i="10"/>
  <c r="BR27" i="10"/>
  <c r="BV9" i="10"/>
  <c r="BV25" i="10"/>
  <c r="BQ20" i="10"/>
  <c r="BS19" i="10"/>
  <c r="BU10" i="10"/>
  <c r="BR12" i="10"/>
  <c r="BR15" i="10"/>
  <c r="BT6" i="10"/>
  <c r="BT22" i="10"/>
  <c r="BV13" i="10"/>
  <c r="BQ8" i="10"/>
  <c r="BQ24" i="10"/>
  <c r="BS23" i="10"/>
  <c r="BT7" i="10"/>
  <c r="BQ12" i="10"/>
  <c r="BQ28" i="10"/>
  <c r="BS27" i="10"/>
  <c r="BU26" i="10"/>
  <c r="BV14" i="10"/>
  <c r="BV18" i="10"/>
  <c r="BR16" i="10"/>
  <c r="BV10" i="10"/>
  <c r="BT19" i="10"/>
  <c r="BV22" i="10"/>
  <c r="BT23" i="10"/>
  <c r="BV26" i="10"/>
  <c r="BS15" i="10"/>
  <c r="BR8" i="10"/>
  <c r="BT11" i="10"/>
  <c r="BV30" i="10"/>
  <c r="BS7" i="10"/>
  <c r="BR20" i="10"/>
  <c r="BT27" i="10"/>
  <c r="BV29" i="10"/>
  <c r="BU18" i="10"/>
  <c r="BR24" i="10"/>
  <c r="BV6" i="10"/>
  <c r="BR28" i="10"/>
</calcChain>
</file>

<file path=xl/sharedStrings.xml><?xml version="1.0" encoding="utf-8"?>
<sst xmlns="http://schemas.openxmlformats.org/spreadsheetml/2006/main" count="2596" uniqueCount="184">
  <si>
    <t>THỨ</t>
  </si>
  <si>
    <t>TIẾT</t>
  </si>
  <si>
    <t>Tiểu học và THCS UNIGO
Năm học 2024 - 2025
Học kỳ 1</t>
  </si>
  <si>
    <t>Sáng</t>
  </si>
  <si>
    <t>Chiều</t>
  </si>
  <si>
    <t>THỜI KHOÁ BIỂU số 1</t>
  </si>
  <si>
    <t>1A1</t>
  </si>
  <si>
    <t>GDTC - Hồng</t>
  </si>
  <si>
    <t>1C1</t>
  </si>
  <si>
    <t>HĐTN - Nhi</t>
  </si>
  <si>
    <t>Toán - Chi</t>
  </si>
  <si>
    <t>TViệt - Nhi</t>
  </si>
  <si>
    <t>2C1</t>
  </si>
  <si>
    <t>3C1</t>
  </si>
  <si>
    <t>TViệt - Xuân</t>
  </si>
  <si>
    <t>HĐTN - Ngọc</t>
  </si>
  <si>
    <t>6A1</t>
  </si>
  <si>
    <t>Toán - Ph.Anh</t>
  </si>
  <si>
    <t>Văn - Hà</t>
  </si>
  <si>
    <t>SH tập thể - Hiền</t>
  </si>
  <si>
    <t>Toán - Hiền</t>
  </si>
  <si>
    <t>Lối sống - Hiền</t>
  </si>
  <si>
    <t>TViệt - Hiền</t>
  </si>
  <si>
    <t>KCST - Hiền</t>
  </si>
  <si>
    <t>HĐ tự chọn - Hiền</t>
  </si>
  <si>
    <t>Đọc sách - Hiền</t>
  </si>
  <si>
    <t>Tìm hiểu thiên nhiên - Hiền</t>
  </si>
  <si>
    <t>Chi</t>
  </si>
  <si>
    <t>Hiền</t>
  </si>
  <si>
    <t>Hồng</t>
  </si>
  <si>
    <t>Linh</t>
  </si>
  <si>
    <t>Ngọc</t>
  </si>
  <si>
    <t>Quỳnh</t>
  </si>
  <si>
    <t>Xuân</t>
  </si>
  <si>
    <t>Đạo đức - Nhi</t>
  </si>
  <si>
    <t>TNXH - Nhi</t>
  </si>
  <si>
    <t>Ly</t>
  </si>
  <si>
    <t>HĐTN - Ly</t>
  </si>
  <si>
    <t>TViệt - Ly</t>
  </si>
  <si>
    <t>Tiểu học và THCS UNIGO
Năm học 2024 - 2025
Học kỳ 2</t>
  </si>
  <si>
    <t>BUỔI</t>
  </si>
  <si>
    <t>MÔN LỚP</t>
  </si>
  <si>
    <t xml:space="preserve">GV </t>
  </si>
  <si>
    <t>LỚP</t>
  </si>
  <si>
    <t>GVVN</t>
  </si>
  <si>
    <t>GVNN</t>
  </si>
  <si>
    <t>CombineGVVN</t>
  </si>
  <si>
    <t>CombineGVNN</t>
  </si>
  <si>
    <t>2A1</t>
  </si>
  <si>
    <t>7A1</t>
  </si>
  <si>
    <t>GV</t>
  </si>
  <si>
    <t>HĐTN - Ngọc Ánh</t>
  </si>
  <si>
    <t>TViệt -Ngọc Ánh</t>
  </si>
  <si>
    <t>KCST - Nhi</t>
  </si>
  <si>
    <t>GDĐP - Ánh NV</t>
  </si>
  <si>
    <t>Toán - Ngọc Ánh</t>
  </si>
  <si>
    <t>TViệt - Ngọc Ánh</t>
  </si>
  <si>
    <t>GVVN - Quỳnh</t>
  </si>
  <si>
    <t>TNXH - Xuân</t>
  </si>
  <si>
    <t>GVVN - Chánh</t>
  </si>
  <si>
    <t>GDCD - Hà</t>
  </si>
  <si>
    <t>GVVN - Trang</t>
  </si>
  <si>
    <t>GVVN - Bích</t>
  </si>
  <si>
    <t>Viết sáng tạo - Xuân</t>
  </si>
  <si>
    <t>VĐ Ngoài trời - Hiền</t>
  </si>
  <si>
    <t>Đọc sách - Xuân</t>
  </si>
  <si>
    <t>TNXH - Ngọc Ánh</t>
  </si>
  <si>
    <t>4C1</t>
  </si>
  <si>
    <t>Wady</t>
  </si>
  <si>
    <t>Chánh</t>
  </si>
  <si>
    <t>Trang</t>
  </si>
  <si>
    <t>Moe</t>
  </si>
  <si>
    <t>Nam</t>
  </si>
  <si>
    <t>Bích</t>
  </si>
  <si>
    <t>Đạo đức - Xuân</t>
  </si>
  <si>
    <t>Mĩ thuật - Phương</t>
  </si>
  <si>
    <t>KHTN - Nhung</t>
  </si>
  <si>
    <t>Vận động theo nhạc - Hiền</t>
  </si>
  <si>
    <t>Cãm xúc xã hội - Hiền</t>
  </si>
  <si>
    <t>Check trùng</t>
  </si>
  <si>
    <t>CHECK GVNN TRỢ GIẢNG</t>
  </si>
  <si>
    <t>CHECK Tiết trùng GVNN</t>
  </si>
  <si>
    <t>CHECK Tiết trùng GVVN</t>
  </si>
  <si>
    <t>Phương</t>
  </si>
  <si>
    <t>Ánh NV</t>
  </si>
  <si>
    <t>GVM</t>
  </si>
  <si>
    <t>Lớp mới</t>
  </si>
  <si>
    <t>3A1</t>
  </si>
  <si>
    <t>5C1</t>
  </si>
  <si>
    <t>8A1</t>
  </si>
  <si>
    <t>TTH 1</t>
  </si>
  <si>
    <t>TTH2</t>
  </si>
  <si>
    <t>TTH1</t>
  </si>
  <si>
    <t>TT3</t>
  </si>
  <si>
    <t>Blue Sky</t>
  </si>
  <si>
    <t>Brighstar</t>
  </si>
  <si>
    <t>Sunny</t>
  </si>
  <si>
    <t>Sunshine</t>
  </si>
  <si>
    <t>GVVN - Huyền</t>
  </si>
  <si>
    <t>GVVN - Trà</t>
  </si>
  <si>
    <t>Toán - Linh TH</t>
  </si>
  <si>
    <t>TNXH - Linh TH</t>
  </si>
  <si>
    <t>TViệt - Linh TH</t>
  </si>
  <si>
    <t>GVNN - Tay, Huyền</t>
  </si>
  <si>
    <t>GVNN - Tay, Trà</t>
  </si>
  <si>
    <t>GVNN - Tay, Quỳnh</t>
  </si>
  <si>
    <t>GVNN - Tay, Bích</t>
  </si>
  <si>
    <t>GVNN - Tay, Chánh</t>
  </si>
  <si>
    <t>Nhạc - Trang ÂN</t>
  </si>
  <si>
    <t>Vận động theo nhạc - MN1</t>
  </si>
  <si>
    <t>Vận động theo nhạc - MN2</t>
  </si>
  <si>
    <t>Toán - Tân</t>
  </si>
  <si>
    <t>Tin - Nguyên</t>
  </si>
  <si>
    <t>Đạo đức - Ngọc Ánh</t>
  </si>
  <si>
    <t>Robotics - Nguyên</t>
  </si>
  <si>
    <t>Tiếng Trung - Thanh</t>
  </si>
  <si>
    <t>KCST - Ngọc Ánh</t>
  </si>
  <si>
    <t>HĐTN - Chi</t>
  </si>
  <si>
    <t>Đạo đức - Linh TH</t>
  </si>
  <si>
    <t>SH tập thể - MN1</t>
  </si>
  <si>
    <t>SH tập thể - MN2</t>
  </si>
  <si>
    <t>HĐTN - Xuân</t>
  </si>
  <si>
    <t>Toán - Ngọc</t>
  </si>
  <si>
    <t>TViệt - Ngọc</t>
  </si>
  <si>
    <t>Đạo đức - Ly</t>
  </si>
  <si>
    <t>LS&amp;ĐL - Ly</t>
  </si>
  <si>
    <t>Văn - Ánh NV</t>
  </si>
  <si>
    <t>LS&amp;ĐL - Hà</t>
  </si>
  <si>
    <t>Đọc sách - Hà</t>
  </si>
  <si>
    <t>Đọc sách - Ánh NV</t>
  </si>
  <si>
    <t>Tiếng Trung - Châu</t>
  </si>
  <si>
    <t>TDNN - Linh TH</t>
  </si>
  <si>
    <t>GVNN - Kel, Huyền</t>
  </si>
  <si>
    <t>Đọc sách - MN1</t>
  </si>
  <si>
    <t>TViệt - MN1</t>
  </si>
  <si>
    <t>HĐ tự chọn - MN1</t>
  </si>
  <si>
    <t>Đọc sách - MN2</t>
  </si>
  <si>
    <t>HĐ tự chọn - MN2</t>
  </si>
  <si>
    <t>TViệt - MN2</t>
  </si>
  <si>
    <t>Toán - MN1</t>
  </si>
  <si>
    <t>Toán - MN2</t>
  </si>
  <si>
    <t>Lối sống - MN1</t>
  </si>
  <si>
    <t>Tìm hiểu thiên nhiên - MN1</t>
  </si>
  <si>
    <t>VĐ Ngoài trời - MN1</t>
  </si>
  <si>
    <t>Cảm xúc xã hội - MN1</t>
  </si>
  <si>
    <t>KCST - MN1</t>
  </si>
  <si>
    <t>Tìm hiểu thiên nhiên - MN2</t>
  </si>
  <si>
    <t>Lối sống - MN2</t>
  </si>
  <si>
    <t>VĐ Ngoài trời - MN2</t>
  </si>
  <si>
    <t>Cãm xúc xã hội - MN2</t>
  </si>
  <si>
    <t>Cảm xúc xã hội - MN2</t>
  </si>
  <si>
    <t>KCST - MN2</t>
  </si>
  <si>
    <t>Kel</t>
  </si>
  <si>
    <t>GVVN - Linh</t>
  </si>
  <si>
    <t>Mĩ thuật -TTH3</t>
  </si>
  <si>
    <t>Nhung</t>
  </si>
  <si>
    <t>TViệt - LinhTH</t>
  </si>
  <si>
    <t>HĐTN - Linh TH</t>
  </si>
  <si>
    <t>HĐTN - Phương Anh</t>
  </si>
  <si>
    <t>Science - Bích</t>
  </si>
  <si>
    <t>Science - Quỳnh</t>
  </si>
  <si>
    <t>Science - Trà</t>
  </si>
  <si>
    <t>Tay</t>
  </si>
  <si>
    <t>Toán - Phương Anh</t>
  </si>
  <si>
    <t>Tiểu học và THCS UNIGO
Năm học 2026 - 2027
Học kỳ 1</t>
  </si>
  <si>
    <t>Nhạc -TTH3</t>
  </si>
  <si>
    <t>GDTC - TTH3</t>
  </si>
  <si>
    <t>TDNN - Nhi</t>
  </si>
  <si>
    <t>Châu</t>
  </si>
  <si>
    <t>quỳnh</t>
  </si>
  <si>
    <t>Cảm xúc xã hội - Hiền</t>
  </si>
  <si>
    <t>GVNN - Aziz, Trang</t>
  </si>
  <si>
    <t>GVNN - Aziz, Trà</t>
  </si>
  <si>
    <t>GVNN - Aziz, Huyền</t>
  </si>
  <si>
    <t>GVNN - Aziz Huyền</t>
  </si>
  <si>
    <t>GVNN - Aziz Quỳnh</t>
  </si>
  <si>
    <t>GVNN - Aziz, Quỳnh</t>
  </si>
  <si>
    <t>GVNN - Aziz, Ngân</t>
  </si>
  <si>
    <t>GVNN - Aziz, Dung</t>
  </si>
  <si>
    <t>GVNN - Aziz, Phượng</t>
  </si>
  <si>
    <t>NGƯỜI LẬP</t>
  </si>
  <si>
    <t>Nguyễn Văn Khoa</t>
  </si>
  <si>
    <t>Trịnh Kiều Trang</t>
  </si>
  <si>
    <t>PHT THƯỜNG TRỰC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</si>
</sst>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Times New Roman"/>
      <family val="1"/>
    </font>
    <font>
      <b/>
      <sz val="24"/>
      <name val="Times New Roman"/>
      <family val="1"/>
    </font>
    <font>
      <sz val="10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2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 shrinkToFit="1"/>
    </xf>
    <xf numFmtId="0" fontId="4" fillId="2" borderId="6" xfId="0" applyNumberFormat="1" applyFont="1" applyFill="1" applyBorder="1" applyAlignment="1">
      <alignment horizontal="center" vertical="center" shrinkToFit="1"/>
    </xf>
    <xf numFmtId="0" fontId="4" fillId="2" borderId="19" xfId="0" applyNumberFormat="1" applyFont="1" applyFill="1" applyBorder="1" applyAlignment="1">
      <alignment horizontal="center" vertical="center" shrinkToFit="1"/>
    </xf>
    <xf numFmtId="0" fontId="0" fillId="0" borderId="19" xfId="0" applyNumberFormat="1" applyBorder="1"/>
    <xf numFmtId="0" fontId="4" fillId="2" borderId="2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 shrinkToFit="1"/>
    </xf>
    <xf numFmtId="0" fontId="4" fillId="2" borderId="20" xfId="0" applyNumberFormat="1" applyFont="1" applyFill="1" applyBorder="1" applyAlignment="1">
      <alignment horizontal="center" vertical="center" shrinkToFit="1"/>
    </xf>
    <xf numFmtId="0" fontId="0" fillId="0" borderId="20" xfId="0" applyNumberFormat="1" applyBorder="1"/>
    <xf numFmtId="0" fontId="4" fillId="2" borderId="21" xfId="0" applyNumberFormat="1" applyFont="1" applyFill="1" applyBorder="1" applyAlignment="1">
      <alignment horizontal="center" vertical="center" shrinkToFit="1"/>
    </xf>
    <xf numFmtId="0" fontId="0" fillId="0" borderId="21" xfId="0" applyNumberFormat="1" applyBorder="1"/>
    <xf numFmtId="0" fontId="3" fillId="2" borderId="13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15" xfId="0" applyNumberFormat="1" applyFont="1" applyFill="1" applyBorder="1" applyAlignment="1">
      <alignment horizontal="center" vertical="center" wrapText="1"/>
    </xf>
    <xf numFmtId="0" fontId="5" fillId="2" borderId="18" xfId="0" applyNumberFormat="1" applyFont="1" applyFill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0" fillId="0" borderId="0" xfId="0" applyNumberFormat="1"/>
    <xf numFmtId="0" fontId="0" fillId="0" borderId="22" xfId="0" applyNumberFormat="1" applyBorder="1"/>
    <xf numFmtId="49" fontId="4" fillId="3" borderId="4" xfId="0" applyNumberFormat="1" applyFont="1" applyFill="1" applyBorder="1" applyAlignment="1">
      <alignment horizontal="center" vertical="center" shrinkToFit="1"/>
    </xf>
    <xf numFmtId="0" fontId="4" fillId="3" borderId="4" xfId="0" applyNumberFormat="1" applyFont="1" applyFill="1" applyBorder="1" applyAlignment="1">
      <alignment horizontal="center" vertical="center" shrinkToFit="1"/>
    </xf>
    <xf numFmtId="0" fontId="8" fillId="0" borderId="0" xfId="0" applyNumberFormat="1" applyFont="1"/>
    <xf numFmtId="0" fontId="8" fillId="0" borderId="0" xfId="0" applyNumberFormat="1" applyFont="1" applyBorder="1"/>
    <xf numFmtId="0" fontId="0" fillId="0" borderId="0" xfId="0" applyNumberFormat="1" applyBorder="1"/>
    <xf numFmtId="0" fontId="0" fillId="0" borderId="0" xfId="0" applyNumberFormat="1" applyFill="1" applyBorder="1"/>
    <xf numFmtId="49" fontId="5" fillId="0" borderId="10" xfId="0" applyNumberFormat="1" applyFont="1" applyBorder="1" applyAlignment="1" applyProtection="1">
      <alignment horizontal="center" vertical="center" wrapText="1"/>
    </xf>
    <xf numFmtId="49" fontId="5" fillId="0" borderId="11" xfId="0" applyNumberFormat="1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4" fillId="0" borderId="4" xfId="0" applyNumberFormat="1" applyFont="1" applyBorder="1" applyAlignment="1" applyProtection="1">
      <alignment horizontal="center" vertical="center" shrinkToFit="1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3" xfId="0" applyNumberFormat="1" applyFont="1" applyBorder="1" applyAlignment="1" applyProtection="1">
      <alignment horizontal="center" vertical="center"/>
    </xf>
    <xf numFmtId="49" fontId="4" fillId="0" borderId="4" xfId="0" applyNumberFormat="1" applyFont="1" applyBorder="1" applyAlignment="1" applyProtection="1">
      <alignment horizontal="center" vertical="center" shrinkToFit="1"/>
    </xf>
    <xf numFmtId="49" fontId="4" fillId="0" borderId="5" xfId="0" applyNumberFormat="1" applyFont="1" applyBorder="1" applyAlignment="1" applyProtection="1">
      <alignment horizontal="center" vertical="center" shrinkToFit="1"/>
    </xf>
    <xf numFmtId="0" fontId="0" fillId="0" borderId="0" xfId="0" applyProtection="1"/>
    <xf numFmtId="49" fontId="4" fillId="0" borderId="6" xfId="0" applyNumberFormat="1" applyFont="1" applyBorder="1" applyAlignment="1" applyProtection="1">
      <alignment horizontal="center" vertical="center" shrinkToFit="1"/>
    </xf>
    <xf numFmtId="49" fontId="4" fillId="0" borderId="7" xfId="0" applyNumberFormat="1" applyFont="1" applyBorder="1" applyAlignment="1" applyProtection="1">
      <alignment horizontal="center" vertical="center" shrinkToFit="1"/>
    </xf>
    <xf numFmtId="49" fontId="4" fillId="0" borderId="8" xfId="0" applyNumberFormat="1" applyFont="1" applyBorder="1" applyAlignment="1" applyProtection="1">
      <alignment horizontal="center" vertical="center" shrinkToFit="1"/>
    </xf>
    <xf numFmtId="49" fontId="4" fillId="0" borderId="9" xfId="0" applyNumberFormat="1" applyFont="1" applyBorder="1" applyAlignment="1" applyProtection="1">
      <alignment horizontal="center" vertical="center" shrinkToFit="1"/>
    </xf>
    <xf numFmtId="49" fontId="0" fillId="0" borderId="0" xfId="0" applyNumberFormat="1" applyProtection="1">
      <protection locked="0"/>
    </xf>
    <xf numFmtId="49" fontId="4" fillId="0" borderId="18" xfId="0" applyNumberFormat="1" applyFont="1" applyBorder="1" applyAlignment="1">
      <alignment horizontal="center" vertical="center" shrinkToFit="1"/>
    </xf>
    <xf numFmtId="0" fontId="0" fillId="0" borderId="18" xfId="0" applyBorder="1"/>
    <xf numFmtId="0" fontId="5" fillId="2" borderId="12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5" fillId="2" borderId="2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shrinkToFi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9" fontId="5" fillId="0" borderId="15" xfId="0" applyNumberFormat="1" applyFont="1" applyBorder="1" applyAlignment="1" applyProtection="1">
      <alignment horizontal="center" vertical="center" wrapText="1"/>
      <protection locked="0"/>
    </xf>
    <xf numFmtId="49" fontId="5" fillId="0" borderId="16" xfId="0" applyNumberFormat="1" applyFont="1" applyBorder="1" applyAlignment="1" applyProtection="1">
      <alignment horizontal="center" vertical="center" wrapText="1"/>
      <protection locked="0"/>
    </xf>
    <xf numFmtId="0" fontId="5" fillId="0" borderId="22" xfId="0" applyNumberFormat="1" applyFont="1" applyBorder="1"/>
    <xf numFmtId="49" fontId="4" fillId="0" borderId="18" xfId="0" applyNumberFormat="1" applyFont="1" applyFill="1" applyBorder="1" applyAlignment="1">
      <alignment horizontal="center" vertical="center" shrinkToFit="1"/>
    </xf>
    <xf numFmtId="0" fontId="0" fillId="0" borderId="18" xfId="0" applyFill="1" applyBorder="1"/>
    <xf numFmtId="49" fontId="6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3" fillId="0" borderId="12" xfId="0" applyNumberFormat="1" applyFont="1" applyBorder="1" applyAlignment="1" applyProtection="1">
      <alignment horizontal="center" vertical="center"/>
    </xf>
    <xf numFmtId="49" fontId="3" fillId="0" borderId="13" xfId="0" applyNumberFormat="1" applyFont="1" applyBorder="1" applyAlignment="1" applyProtection="1">
      <alignment horizontal="center" vertical="center"/>
    </xf>
    <xf numFmtId="49" fontId="3" fillId="0" borderId="14" xfId="0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5" fillId="0" borderId="15" xfId="0" applyNumberFormat="1" applyFont="1" applyBorder="1" applyAlignment="1" applyProtection="1">
      <alignment horizontal="center" vertical="center" wrapText="1"/>
      <protection locked="0"/>
    </xf>
    <xf numFmtId="49" fontId="5" fillId="0" borderId="16" xfId="0" applyNumberFormat="1" applyFont="1" applyBorder="1" applyAlignment="1" applyProtection="1">
      <alignment horizontal="center" vertical="center" wrapText="1"/>
      <protection locked="0"/>
    </xf>
    <xf numFmtId="49" fontId="5" fillId="0" borderId="12" xfId="0" applyNumberFormat="1" applyFont="1" applyBorder="1" applyAlignment="1" applyProtection="1">
      <alignment horizontal="center" vertical="center"/>
    </xf>
    <xf numFmtId="49" fontId="5" fillId="0" borderId="14" xfId="0" applyNumberFormat="1" applyFont="1" applyBorder="1" applyAlignment="1" applyProtection="1">
      <alignment horizontal="center" vertical="center"/>
    </xf>
    <xf numFmtId="49" fontId="5" fillId="5" borderId="15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16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7" fillId="2" borderId="12" xfId="0" applyNumberFormat="1" applyFont="1" applyFill="1" applyBorder="1" applyAlignment="1">
      <alignment horizontal="center" vertical="center"/>
    </xf>
    <xf numFmtId="0" fontId="7" fillId="2" borderId="13" xfId="0" applyNumberFormat="1" applyFont="1" applyFill="1" applyBorder="1" applyAlignment="1">
      <alignment horizontal="center" vertical="center"/>
    </xf>
    <xf numFmtId="0" fontId="7" fillId="2" borderId="14" xfId="0" applyNumberFormat="1" applyFont="1" applyFill="1" applyBorder="1" applyAlignment="1">
      <alignment horizontal="center" vertical="center"/>
    </xf>
    <xf numFmtId="0" fontId="3" fillId="2" borderId="12" xfId="0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3" fillId="2" borderId="14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 shrinkToFit="1"/>
    </xf>
    <xf numFmtId="0" fontId="0" fillId="0" borderId="0" xfId="0" applyBorder="1"/>
    <xf numFmtId="49" fontId="3" fillId="2" borderId="18" xfId="0" applyNumberFormat="1" applyFont="1" applyFill="1" applyBorder="1" applyAlignment="1">
      <alignment horizontal="center" vertical="center"/>
    </xf>
    <xf numFmtId="49" fontId="4" fillId="2" borderId="18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shrinkToFit="1"/>
    </xf>
    <xf numFmtId="49" fontId="6" fillId="2" borderId="0" xfId="0" applyNumberFormat="1" applyFont="1" applyFill="1" applyBorder="1" applyAlignment="1">
      <alignment horizontal="center" vertical="center" shrinkToFit="1"/>
    </xf>
    <xf numFmtId="49" fontId="9" fillId="2" borderId="0" xfId="0" applyNumberFormat="1" applyFont="1" applyFill="1" applyBorder="1" applyAlignment="1">
      <alignment horizontal="center" vertical="center" shrinkToFit="1"/>
    </xf>
    <xf numFmtId="0" fontId="9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36"/>
  <sheetViews>
    <sheetView tabSelected="1" zoomScaleNormal="100" zoomScaleSheetLayoutView="100" workbookViewId="0">
      <pane xSplit="2" ySplit="5" topLeftCell="AG6" activePane="bottomRight" state="frozen"/>
      <selection pane="topRight"/>
      <selection pane="bottomLeft"/>
      <selection pane="bottomRight" activeCell="F36" sqref="F36"/>
    </sheetView>
  </sheetViews>
  <sheetFormatPr defaultColWidth="8.875" defaultRowHeight="15.75" x14ac:dyDescent="0.25"/>
  <cols>
    <col min="1" max="2" width="4.625" customWidth="1"/>
    <col min="3" max="10" width="15.25" customWidth="1"/>
    <col min="11" max="12" width="7.75" customWidth="1"/>
    <col min="13" max="20" width="14.5" customWidth="1"/>
    <col min="21" max="22" width="6.75" customWidth="1"/>
    <col min="23" max="28" width="11.875" customWidth="1"/>
    <col min="29" max="29" width="12.625" customWidth="1"/>
    <col min="30" max="30" width="12.125" customWidth="1"/>
    <col min="31" max="32" width="12.375" customWidth="1"/>
    <col min="33" max="34" width="6.75" customWidth="1"/>
    <col min="35" max="35" width="14.25" customWidth="1"/>
    <col min="36" max="36" width="12.25" customWidth="1"/>
    <col min="37" max="37" width="11.625" customWidth="1"/>
    <col min="38" max="38" width="12" customWidth="1"/>
    <col min="39" max="39" width="11.5" customWidth="1"/>
    <col min="40" max="40" width="11.75" customWidth="1"/>
    <col min="41" max="41" width="10.375" customWidth="1"/>
    <col min="42" max="43" width="11" customWidth="1"/>
    <col min="44" max="44" width="10.875" customWidth="1"/>
  </cols>
  <sheetData>
    <row r="1" spans="1:44" ht="30" x14ac:dyDescent="0.25">
      <c r="A1" s="74" t="s">
        <v>164</v>
      </c>
      <c r="B1" s="74"/>
      <c r="C1" s="74"/>
      <c r="D1" s="74"/>
      <c r="E1" s="74"/>
      <c r="F1" s="1" t="s">
        <v>5</v>
      </c>
      <c r="G1" s="1"/>
      <c r="H1" s="1"/>
      <c r="I1" s="1"/>
      <c r="J1" s="1"/>
      <c r="K1" s="1"/>
      <c r="L1" s="1"/>
      <c r="M1" s="1"/>
      <c r="N1" s="1" t="s">
        <v>5</v>
      </c>
      <c r="O1" s="1"/>
      <c r="P1" s="1"/>
      <c r="Q1" s="1"/>
      <c r="R1" s="1"/>
      <c r="S1" s="1"/>
      <c r="T1" s="1"/>
      <c r="U1" s="1"/>
      <c r="V1" s="1"/>
      <c r="W1" s="1"/>
      <c r="X1" s="1" t="s">
        <v>5</v>
      </c>
      <c r="Y1" s="1"/>
      <c r="Z1" s="1"/>
      <c r="AA1" s="1"/>
      <c r="AB1" s="1"/>
      <c r="AJ1" s="1" t="s">
        <v>5</v>
      </c>
    </row>
    <row r="2" spans="1:44" ht="15.75" customHeight="1" x14ac:dyDescent="0.25">
      <c r="A2" s="74"/>
      <c r="B2" s="74"/>
      <c r="C2" s="74"/>
      <c r="D2" s="74"/>
      <c r="E2" s="7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3"/>
    </row>
    <row r="3" spans="1:44" ht="3.9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44" ht="16.7" customHeight="1" x14ac:dyDescent="0.25">
      <c r="A4" s="85" t="s">
        <v>0</v>
      </c>
      <c r="B4" s="85" t="s">
        <v>1</v>
      </c>
      <c r="C4" s="77" t="s">
        <v>6</v>
      </c>
      <c r="D4" s="78"/>
      <c r="E4" s="77" t="s">
        <v>8</v>
      </c>
      <c r="F4" s="78"/>
      <c r="G4" s="77" t="s">
        <v>48</v>
      </c>
      <c r="H4" s="78"/>
      <c r="I4" s="77" t="s">
        <v>12</v>
      </c>
      <c r="J4" s="78"/>
      <c r="K4" s="85" t="s">
        <v>0</v>
      </c>
      <c r="L4" s="85" t="s">
        <v>1</v>
      </c>
      <c r="M4" s="77" t="s">
        <v>87</v>
      </c>
      <c r="N4" s="78"/>
      <c r="O4" s="77" t="s">
        <v>13</v>
      </c>
      <c r="P4" s="78"/>
      <c r="Q4" s="77" t="s">
        <v>67</v>
      </c>
      <c r="R4" s="78"/>
      <c r="S4" s="77" t="s">
        <v>88</v>
      </c>
      <c r="T4" s="78"/>
      <c r="U4" s="85" t="s">
        <v>0</v>
      </c>
      <c r="V4" s="85" t="s">
        <v>1</v>
      </c>
      <c r="W4" s="77" t="s">
        <v>16</v>
      </c>
      <c r="X4" s="78"/>
      <c r="Y4" s="77" t="s">
        <v>49</v>
      </c>
      <c r="Z4" s="79"/>
      <c r="AA4" s="76" t="s">
        <v>89</v>
      </c>
      <c r="AB4" s="76"/>
      <c r="AC4" s="80" t="s">
        <v>90</v>
      </c>
      <c r="AD4" s="81"/>
      <c r="AE4" s="80" t="s">
        <v>91</v>
      </c>
      <c r="AF4" s="81"/>
      <c r="AG4" s="85" t="s">
        <v>0</v>
      </c>
      <c r="AH4" s="85" t="s">
        <v>1</v>
      </c>
      <c r="AI4" s="67" t="s">
        <v>93</v>
      </c>
      <c r="AJ4" s="68"/>
      <c r="AK4" s="67" t="s">
        <v>94</v>
      </c>
      <c r="AL4" s="68"/>
      <c r="AM4" s="67" t="s">
        <v>95</v>
      </c>
      <c r="AN4" s="68"/>
      <c r="AO4" s="67" t="s">
        <v>96</v>
      </c>
      <c r="AP4" s="68"/>
      <c r="AQ4" s="67" t="s">
        <v>97</v>
      </c>
      <c r="AR4" s="68"/>
    </row>
    <row r="5" spans="1:44" ht="16.7" customHeight="1" x14ac:dyDescent="0.25">
      <c r="A5" s="86"/>
      <c r="B5" s="86"/>
      <c r="C5" s="58" t="s">
        <v>3</v>
      </c>
      <c r="D5" s="59" t="s">
        <v>4</v>
      </c>
      <c r="E5" s="58" t="s">
        <v>3</v>
      </c>
      <c r="F5" s="59" t="s">
        <v>4</v>
      </c>
      <c r="G5" s="58" t="s">
        <v>3</v>
      </c>
      <c r="H5" s="59" t="s">
        <v>4</v>
      </c>
      <c r="I5" s="58" t="s">
        <v>3</v>
      </c>
      <c r="J5" s="59" t="s">
        <v>4</v>
      </c>
      <c r="K5" s="86"/>
      <c r="L5" s="86"/>
      <c r="M5" s="58" t="s">
        <v>3</v>
      </c>
      <c r="N5" s="59" t="s">
        <v>4</v>
      </c>
      <c r="O5" s="58" t="s">
        <v>3</v>
      </c>
      <c r="P5" s="59" t="s">
        <v>4</v>
      </c>
      <c r="Q5" s="58" t="s">
        <v>3</v>
      </c>
      <c r="R5" s="59" t="s">
        <v>4</v>
      </c>
      <c r="S5" s="58" t="s">
        <v>3</v>
      </c>
      <c r="T5" s="59" t="s">
        <v>4</v>
      </c>
      <c r="U5" s="86"/>
      <c r="V5" s="86"/>
      <c r="W5" s="58" t="s">
        <v>3</v>
      </c>
      <c r="X5" s="59" t="s">
        <v>4</v>
      </c>
      <c r="Y5" s="60" t="s">
        <v>3</v>
      </c>
      <c r="Z5" s="61" t="s">
        <v>4</v>
      </c>
      <c r="AA5" s="62" t="s">
        <v>3</v>
      </c>
      <c r="AB5" s="63" t="s">
        <v>4</v>
      </c>
      <c r="AC5" s="62" t="s">
        <v>3</v>
      </c>
      <c r="AD5" s="63" t="s">
        <v>4</v>
      </c>
      <c r="AE5" s="62" t="s">
        <v>3</v>
      </c>
      <c r="AF5" s="63" t="s">
        <v>4</v>
      </c>
      <c r="AG5" s="86"/>
      <c r="AH5" s="86"/>
      <c r="AI5" s="62" t="s">
        <v>3</v>
      </c>
      <c r="AJ5" s="63" t="s">
        <v>4</v>
      </c>
      <c r="AK5" s="62" t="s">
        <v>3</v>
      </c>
      <c r="AL5" s="63" t="s">
        <v>4</v>
      </c>
      <c r="AM5" s="62" t="s">
        <v>3</v>
      </c>
      <c r="AN5" s="63" t="s">
        <v>4</v>
      </c>
      <c r="AO5" s="62" t="s">
        <v>3</v>
      </c>
      <c r="AP5" s="63" t="s">
        <v>4</v>
      </c>
      <c r="AQ5" s="62" t="s">
        <v>3</v>
      </c>
      <c r="AR5" s="63" t="s">
        <v>4</v>
      </c>
    </row>
    <row r="6" spans="1:44" ht="16.7" customHeight="1" x14ac:dyDescent="0.25">
      <c r="A6" s="87">
        <v>2</v>
      </c>
      <c r="B6" s="4">
        <v>1</v>
      </c>
      <c r="C6" s="72" t="s">
        <v>113</v>
      </c>
      <c r="D6" s="72" t="s">
        <v>61</v>
      </c>
      <c r="E6" s="72" t="s">
        <v>34</v>
      </c>
      <c r="F6" s="72" t="s">
        <v>11</v>
      </c>
      <c r="G6" s="72" t="s">
        <v>118</v>
      </c>
      <c r="H6" s="72" t="s">
        <v>115</v>
      </c>
      <c r="I6" s="72" t="s">
        <v>74</v>
      </c>
      <c r="J6" s="72" t="s">
        <v>104</v>
      </c>
      <c r="K6" s="87">
        <v>2</v>
      </c>
      <c r="L6" s="4">
        <v>1</v>
      </c>
      <c r="M6" s="72" t="s">
        <v>15</v>
      </c>
      <c r="N6" s="72" t="s">
        <v>7</v>
      </c>
      <c r="O6" s="72" t="s">
        <v>124</v>
      </c>
      <c r="P6" s="72" t="s">
        <v>38</v>
      </c>
      <c r="Q6" s="72" t="s">
        <v>57</v>
      </c>
      <c r="R6" s="72" t="s">
        <v>163</v>
      </c>
      <c r="S6" s="72" t="s">
        <v>117</v>
      </c>
      <c r="T6" s="72" t="s">
        <v>62</v>
      </c>
      <c r="U6" s="87">
        <v>2</v>
      </c>
      <c r="V6" s="4">
        <v>1</v>
      </c>
      <c r="W6" s="72" t="s">
        <v>127</v>
      </c>
      <c r="X6" s="72" t="s">
        <v>54</v>
      </c>
      <c r="Y6" s="72" t="s">
        <v>54</v>
      </c>
      <c r="Z6" s="72" t="s">
        <v>112</v>
      </c>
      <c r="AA6" s="72" t="s">
        <v>111</v>
      </c>
      <c r="AB6" s="72" t="s">
        <v>111</v>
      </c>
      <c r="AC6" s="72" t="s">
        <v>19</v>
      </c>
      <c r="AD6" s="72" t="s">
        <v>24</v>
      </c>
      <c r="AE6" s="72" t="s">
        <v>119</v>
      </c>
      <c r="AF6" s="72" t="s">
        <v>135</v>
      </c>
      <c r="AG6" s="87">
        <v>2</v>
      </c>
      <c r="AH6" s="4">
        <v>1</v>
      </c>
      <c r="AI6" s="72" t="s">
        <v>120</v>
      </c>
      <c r="AJ6" s="72" t="s">
        <v>137</v>
      </c>
      <c r="AK6" s="51"/>
      <c r="AL6" s="52"/>
      <c r="AM6" s="51"/>
      <c r="AN6" s="52"/>
      <c r="AO6" s="51" t="s">
        <v>178</v>
      </c>
      <c r="AP6" s="52"/>
      <c r="AQ6" s="51"/>
      <c r="AR6" s="52"/>
    </row>
    <row r="7" spans="1:44" ht="16.7" customHeight="1" x14ac:dyDescent="0.25">
      <c r="A7" s="88"/>
      <c r="B7" s="6">
        <v>2</v>
      </c>
      <c r="C7" s="72" t="s">
        <v>61</v>
      </c>
      <c r="D7" s="72" t="s">
        <v>56</v>
      </c>
      <c r="E7" s="72" t="s">
        <v>103</v>
      </c>
      <c r="F7" s="72" t="s">
        <v>98</v>
      </c>
      <c r="G7" s="72" t="s">
        <v>102</v>
      </c>
      <c r="H7" s="72" t="s">
        <v>100</v>
      </c>
      <c r="I7" s="72" t="s">
        <v>99</v>
      </c>
      <c r="J7" s="72" t="s">
        <v>161</v>
      </c>
      <c r="K7" s="88"/>
      <c r="L7" s="6">
        <v>2</v>
      </c>
      <c r="M7" s="72" t="s">
        <v>63</v>
      </c>
      <c r="N7" s="72" t="s">
        <v>7</v>
      </c>
      <c r="O7" s="72" t="s">
        <v>10</v>
      </c>
      <c r="P7" s="72" t="s">
        <v>115</v>
      </c>
      <c r="Q7" s="72" t="s">
        <v>38</v>
      </c>
      <c r="R7" s="72" t="s">
        <v>38</v>
      </c>
      <c r="S7" s="72" t="s">
        <v>159</v>
      </c>
      <c r="T7" s="72" t="s">
        <v>106</v>
      </c>
      <c r="U7" s="88"/>
      <c r="V7" s="6">
        <v>2</v>
      </c>
      <c r="W7" s="72" t="s">
        <v>59</v>
      </c>
      <c r="X7" s="72" t="s">
        <v>18</v>
      </c>
      <c r="Y7" s="72" t="s">
        <v>108</v>
      </c>
      <c r="Z7" s="72" t="s">
        <v>126</v>
      </c>
      <c r="AA7" s="72" t="s">
        <v>57</v>
      </c>
      <c r="AB7" s="72" t="s">
        <v>130</v>
      </c>
      <c r="AC7" s="72" t="s">
        <v>25</v>
      </c>
      <c r="AD7" s="72" t="s">
        <v>22</v>
      </c>
      <c r="AE7" s="72" t="s">
        <v>133</v>
      </c>
      <c r="AF7" s="72" t="s">
        <v>61</v>
      </c>
      <c r="AG7" s="88"/>
      <c r="AH7" s="6">
        <v>2</v>
      </c>
      <c r="AI7" s="72" t="s">
        <v>138</v>
      </c>
      <c r="AJ7" s="72" t="s">
        <v>61</v>
      </c>
      <c r="AK7" s="51" t="s">
        <v>175</v>
      </c>
      <c r="AL7" s="51"/>
      <c r="AM7" s="51"/>
      <c r="AN7" s="51"/>
      <c r="AO7" s="51" t="s">
        <v>153</v>
      </c>
      <c r="AP7" s="51"/>
      <c r="AQ7" s="51"/>
      <c r="AR7" s="51" t="s">
        <v>179</v>
      </c>
    </row>
    <row r="8" spans="1:44" ht="20.25" customHeight="1" x14ac:dyDescent="0.25">
      <c r="A8" s="88"/>
      <c r="B8" s="6">
        <v>3</v>
      </c>
      <c r="C8" s="72" t="s">
        <v>55</v>
      </c>
      <c r="D8" s="72" t="s">
        <v>56</v>
      </c>
      <c r="E8" s="72" t="s">
        <v>108</v>
      </c>
      <c r="F8" s="72" t="s">
        <v>163</v>
      </c>
      <c r="G8" s="72" t="s">
        <v>102</v>
      </c>
      <c r="H8" s="72" t="s">
        <v>61</v>
      </c>
      <c r="I8" s="72" t="s">
        <v>14</v>
      </c>
      <c r="J8" s="72" t="s">
        <v>63</v>
      </c>
      <c r="K8" s="88"/>
      <c r="L8" s="6">
        <v>3</v>
      </c>
      <c r="M8" s="72" t="s">
        <v>123</v>
      </c>
      <c r="N8" s="72" t="s">
        <v>99</v>
      </c>
      <c r="O8" s="72" t="s">
        <v>38</v>
      </c>
      <c r="P8" s="72" t="s">
        <v>159</v>
      </c>
      <c r="Q8" s="72" t="s">
        <v>158</v>
      </c>
      <c r="R8" s="72" t="s">
        <v>115</v>
      </c>
      <c r="S8" s="72" t="s">
        <v>10</v>
      </c>
      <c r="T8" s="72" t="s">
        <v>10</v>
      </c>
      <c r="U8" s="88"/>
      <c r="V8" s="6">
        <v>3</v>
      </c>
      <c r="W8" s="72" t="s">
        <v>107</v>
      </c>
      <c r="X8" s="72" t="s">
        <v>18</v>
      </c>
      <c r="Y8" s="72" t="s">
        <v>111</v>
      </c>
      <c r="Z8" s="72" t="s">
        <v>130</v>
      </c>
      <c r="AA8" s="72" t="s">
        <v>127</v>
      </c>
      <c r="AB8" s="72" t="s">
        <v>105</v>
      </c>
      <c r="AC8" s="72" t="s">
        <v>98</v>
      </c>
      <c r="AD8" s="72" t="s">
        <v>7</v>
      </c>
      <c r="AE8" s="72" t="s">
        <v>7</v>
      </c>
      <c r="AF8" s="72" t="s">
        <v>134</v>
      </c>
      <c r="AG8" s="88"/>
      <c r="AH8" s="6">
        <v>3</v>
      </c>
      <c r="AI8" s="72" t="s">
        <v>140</v>
      </c>
      <c r="AJ8" s="72" t="s">
        <v>136</v>
      </c>
      <c r="AK8" s="51"/>
      <c r="AL8" s="51"/>
      <c r="AM8" s="51" t="s">
        <v>177</v>
      </c>
      <c r="AN8" s="51" t="s">
        <v>153</v>
      </c>
      <c r="AO8" s="51"/>
      <c r="AP8" s="51" t="s">
        <v>178</v>
      </c>
      <c r="AQ8" s="51" t="s">
        <v>153</v>
      </c>
      <c r="AR8" s="51"/>
    </row>
    <row r="9" spans="1:44" ht="16.7" customHeight="1" x14ac:dyDescent="0.25">
      <c r="A9" s="88"/>
      <c r="B9" s="6">
        <v>4</v>
      </c>
      <c r="C9" s="72" t="s">
        <v>112</v>
      </c>
      <c r="D9" s="72" t="s">
        <v>116</v>
      </c>
      <c r="E9" s="72" t="s">
        <v>161</v>
      </c>
      <c r="F9" s="72" t="s">
        <v>11</v>
      </c>
      <c r="G9" s="72" t="s">
        <v>61</v>
      </c>
      <c r="H9" s="72" t="s">
        <v>101</v>
      </c>
      <c r="I9" s="72" t="s">
        <v>14</v>
      </c>
      <c r="J9" s="72" t="s">
        <v>115</v>
      </c>
      <c r="K9" s="88"/>
      <c r="L9" s="6">
        <v>4</v>
      </c>
      <c r="M9" s="72" t="s">
        <v>35</v>
      </c>
      <c r="N9" s="72" t="s">
        <v>99</v>
      </c>
      <c r="O9" s="72" t="s">
        <v>10</v>
      </c>
      <c r="P9" s="72" t="s">
        <v>106</v>
      </c>
      <c r="Q9" s="72" t="s">
        <v>105</v>
      </c>
      <c r="R9" s="72" t="s">
        <v>124</v>
      </c>
      <c r="S9" s="72" t="s">
        <v>123</v>
      </c>
      <c r="T9" s="72" t="s">
        <v>123</v>
      </c>
      <c r="U9" s="88"/>
      <c r="V9" s="6">
        <v>4</v>
      </c>
      <c r="W9" s="72" t="s">
        <v>108</v>
      </c>
      <c r="X9" s="72" t="s">
        <v>130</v>
      </c>
      <c r="Y9" s="72" t="s">
        <v>59</v>
      </c>
      <c r="Z9" s="72" t="s">
        <v>127</v>
      </c>
      <c r="AA9" s="72" t="s">
        <v>126</v>
      </c>
      <c r="AB9" s="72" t="s">
        <v>158</v>
      </c>
      <c r="AC9" s="72" t="s">
        <v>173</v>
      </c>
      <c r="AD9" s="72" t="s">
        <v>7</v>
      </c>
      <c r="AE9" s="72" t="s">
        <v>7</v>
      </c>
      <c r="AF9" s="72" t="s">
        <v>173</v>
      </c>
      <c r="AG9" s="88"/>
      <c r="AH9" s="6">
        <v>4</v>
      </c>
      <c r="AI9" s="72" t="s">
        <v>140</v>
      </c>
      <c r="AJ9" s="72" t="s">
        <v>132</v>
      </c>
      <c r="AK9" s="52"/>
      <c r="AL9" s="51" t="s">
        <v>153</v>
      </c>
      <c r="AM9" s="51"/>
      <c r="AN9" s="51"/>
      <c r="AO9" s="52"/>
      <c r="AP9" s="51"/>
      <c r="AQ9" s="52"/>
      <c r="AR9" s="51"/>
    </row>
    <row r="10" spans="1:44" ht="16.7" customHeight="1" x14ac:dyDescent="0.25">
      <c r="A10" s="89"/>
      <c r="B10" s="7">
        <v>5</v>
      </c>
      <c r="C10" s="72"/>
      <c r="D10" s="72"/>
      <c r="E10" s="72"/>
      <c r="F10" s="72"/>
      <c r="G10" s="72"/>
      <c r="H10" s="72"/>
      <c r="I10" s="72"/>
      <c r="J10" s="72"/>
      <c r="K10" s="89"/>
      <c r="L10" s="7">
        <v>5</v>
      </c>
      <c r="M10" s="72"/>
      <c r="N10" s="72"/>
      <c r="O10" s="72"/>
      <c r="P10" s="72"/>
      <c r="Q10" s="72"/>
      <c r="R10" s="72"/>
      <c r="S10" s="72"/>
      <c r="T10" s="72"/>
      <c r="U10" s="89"/>
      <c r="V10" s="7">
        <v>5</v>
      </c>
      <c r="W10" s="72" t="s">
        <v>111</v>
      </c>
      <c r="X10" s="72"/>
      <c r="Y10" s="72" t="s">
        <v>59</v>
      </c>
      <c r="Z10" s="72"/>
      <c r="AA10" s="72" t="s">
        <v>126</v>
      </c>
      <c r="AB10" s="72"/>
      <c r="AC10" s="72"/>
      <c r="AD10" s="72"/>
      <c r="AE10" s="72"/>
      <c r="AF10" s="72"/>
      <c r="AG10" s="89"/>
      <c r="AH10" s="7">
        <v>5</v>
      </c>
      <c r="AI10" s="72"/>
      <c r="AJ10" s="72"/>
      <c r="AK10" s="52"/>
      <c r="AL10" s="52"/>
      <c r="AM10" s="52"/>
      <c r="AN10" s="52"/>
      <c r="AO10" s="52"/>
      <c r="AP10" s="52"/>
      <c r="AQ10" s="52"/>
      <c r="AR10" s="52"/>
    </row>
    <row r="11" spans="1:44" ht="16.7" customHeight="1" x14ac:dyDescent="0.25">
      <c r="A11" s="82">
        <v>3</v>
      </c>
      <c r="B11" s="4">
        <v>1</v>
      </c>
      <c r="C11" s="72" t="s">
        <v>56</v>
      </c>
      <c r="D11" s="72" t="s">
        <v>66</v>
      </c>
      <c r="E11" s="72" t="s">
        <v>163</v>
      </c>
      <c r="F11" s="72" t="s">
        <v>98</v>
      </c>
      <c r="G11" s="72" t="s">
        <v>156</v>
      </c>
      <c r="H11" s="72" t="s">
        <v>112</v>
      </c>
      <c r="I11" s="72" t="s">
        <v>10</v>
      </c>
      <c r="J11" s="72" t="s">
        <v>58</v>
      </c>
      <c r="K11" s="82">
        <v>3</v>
      </c>
      <c r="L11" s="4">
        <v>1</v>
      </c>
      <c r="M11" s="72" t="s">
        <v>167</v>
      </c>
      <c r="N11" s="72" t="s">
        <v>99</v>
      </c>
      <c r="O11" s="72" t="s">
        <v>7</v>
      </c>
      <c r="P11" s="72" t="s">
        <v>10</v>
      </c>
      <c r="Q11" s="72" t="s">
        <v>108</v>
      </c>
      <c r="R11" s="72" t="s">
        <v>57</v>
      </c>
      <c r="S11" s="72" t="s">
        <v>106</v>
      </c>
      <c r="T11" s="72" t="s">
        <v>123</v>
      </c>
      <c r="U11" s="82">
        <v>3</v>
      </c>
      <c r="V11" s="4">
        <v>1</v>
      </c>
      <c r="W11" s="72" t="s">
        <v>76</v>
      </c>
      <c r="X11" s="72" t="s">
        <v>111</v>
      </c>
      <c r="Y11" s="72" t="s">
        <v>107</v>
      </c>
      <c r="Z11" s="72" t="s">
        <v>107</v>
      </c>
      <c r="AA11" s="72" t="s">
        <v>111</v>
      </c>
      <c r="AB11" s="72" t="s">
        <v>76</v>
      </c>
      <c r="AC11" s="72" t="s">
        <v>20</v>
      </c>
      <c r="AD11" s="72" t="s">
        <v>24</v>
      </c>
      <c r="AE11" s="72" t="s">
        <v>139</v>
      </c>
      <c r="AF11" s="72" t="s">
        <v>135</v>
      </c>
      <c r="AG11" s="82">
        <v>3</v>
      </c>
      <c r="AH11" s="4">
        <v>1</v>
      </c>
      <c r="AI11" s="72" t="s">
        <v>146</v>
      </c>
      <c r="AJ11" s="72" t="s">
        <v>137</v>
      </c>
      <c r="AK11" s="51"/>
      <c r="AL11" s="52"/>
      <c r="AM11" s="51"/>
      <c r="AN11" s="52"/>
      <c r="AO11" s="51"/>
      <c r="AP11" s="52"/>
      <c r="AQ11" s="51" t="s">
        <v>179</v>
      </c>
      <c r="AR11" s="52"/>
    </row>
    <row r="12" spans="1:44" ht="16.7" customHeight="1" x14ac:dyDescent="0.25">
      <c r="A12" s="83"/>
      <c r="B12" s="6">
        <v>2</v>
      </c>
      <c r="C12" s="72" t="s">
        <v>56</v>
      </c>
      <c r="D12" s="72" t="s">
        <v>55</v>
      </c>
      <c r="E12" s="72" t="s">
        <v>103</v>
      </c>
      <c r="F12" s="72" t="s">
        <v>112</v>
      </c>
      <c r="G12" s="72" t="s">
        <v>102</v>
      </c>
      <c r="H12" s="72" t="s">
        <v>61</v>
      </c>
      <c r="I12" s="72" t="s">
        <v>14</v>
      </c>
      <c r="J12" s="72" t="s">
        <v>99</v>
      </c>
      <c r="K12" s="83"/>
      <c r="L12" s="6">
        <v>2</v>
      </c>
      <c r="M12" s="72" t="s">
        <v>108</v>
      </c>
      <c r="N12" s="72" t="s">
        <v>122</v>
      </c>
      <c r="O12" s="72" t="s">
        <v>7</v>
      </c>
      <c r="P12" s="72" t="s">
        <v>38</v>
      </c>
      <c r="Q12" s="72" t="s">
        <v>105</v>
      </c>
      <c r="R12" s="72" t="s">
        <v>163</v>
      </c>
      <c r="S12" s="72" t="s">
        <v>125</v>
      </c>
      <c r="T12" s="72" t="s">
        <v>62</v>
      </c>
      <c r="U12" s="83"/>
      <c r="V12" s="6">
        <v>2</v>
      </c>
      <c r="W12" s="72" t="s">
        <v>76</v>
      </c>
      <c r="X12" s="72" t="s">
        <v>18</v>
      </c>
      <c r="Y12" s="72" t="s">
        <v>111</v>
      </c>
      <c r="Z12" s="72" t="s">
        <v>111</v>
      </c>
      <c r="AA12" s="72" t="s">
        <v>60</v>
      </c>
      <c r="AB12" s="72" t="s">
        <v>76</v>
      </c>
      <c r="AC12" s="72" t="s">
        <v>20</v>
      </c>
      <c r="AD12" s="72" t="s">
        <v>26</v>
      </c>
      <c r="AE12" s="72" t="s">
        <v>139</v>
      </c>
      <c r="AF12" s="72" t="s">
        <v>142</v>
      </c>
      <c r="AG12" s="83"/>
      <c r="AH12" s="6">
        <v>2</v>
      </c>
      <c r="AI12" s="72" t="s">
        <v>147</v>
      </c>
      <c r="AJ12" s="72" t="s">
        <v>146</v>
      </c>
      <c r="AK12" s="51" t="s">
        <v>176</v>
      </c>
      <c r="AL12" s="51"/>
      <c r="AM12" s="51"/>
      <c r="AN12" s="51" t="s">
        <v>153</v>
      </c>
      <c r="AO12" s="51"/>
      <c r="AP12" s="51" t="s">
        <v>178</v>
      </c>
      <c r="AQ12" s="51"/>
      <c r="AR12" s="51"/>
    </row>
    <row r="13" spans="1:44" ht="16.7" customHeight="1" x14ac:dyDescent="0.25">
      <c r="A13" s="83"/>
      <c r="B13" s="6">
        <v>3</v>
      </c>
      <c r="C13" s="72" t="s">
        <v>108</v>
      </c>
      <c r="D13" s="72" t="s">
        <v>116</v>
      </c>
      <c r="E13" s="72" t="s">
        <v>11</v>
      </c>
      <c r="F13" s="72" t="s">
        <v>7</v>
      </c>
      <c r="G13" s="72" t="s">
        <v>61</v>
      </c>
      <c r="H13" s="72" t="s">
        <v>100</v>
      </c>
      <c r="I13" s="72" t="s">
        <v>161</v>
      </c>
      <c r="J13" s="72" t="s">
        <v>10</v>
      </c>
      <c r="K13" s="83"/>
      <c r="L13" s="6">
        <v>3</v>
      </c>
      <c r="M13" s="72" t="s">
        <v>123</v>
      </c>
      <c r="N13" s="72" t="s">
        <v>122</v>
      </c>
      <c r="O13" s="72" t="s">
        <v>106</v>
      </c>
      <c r="P13" s="72" t="s">
        <v>38</v>
      </c>
      <c r="Q13" s="72" t="s">
        <v>125</v>
      </c>
      <c r="R13" s="72" t="s">
        <v>160</v>
      </c>
      <c r="S13" s="72" t="s">
        <v>112</v>
      </c>
      <c r="T13" s="72" t="s">
        <v>159</v>
      </c>
      <c r="U13" s="83"/>
      <c r="V13" s="6">
        <v>3</v>
      </c>
      <c r="W13" s="72" t="s">
        <v>18</v>
      </c>
      <c r="X13" s="72" t="s">
        <v>128</v>
      </c>
      <c r="Y13" s="72" t="s">
        <v>76</v>
      </c>
      <c r="Z13" s="72" t="s">
        <v>112</v>
      </c>
      <c r="AA13" s="72" t="s">
        <v>105</v>
      </c>
      <c r="AB13" s="72" t="s">
        <v>126</v>
      </c>
      <c r="AC13" s="72" t="s">
        <v>26</v>
      </c>
      <c r="AD13" s="72" t="s">
        <v>22</v>
      </c>
      <c r="AE13" s="72" t="s">
        <v>142</v>
      </c>
      <c r="AF13" s="72" t="s">
        <v>61</v>
      </c>
      <c r="AG13" s="83"/>
      <c r="AH13" s="6">
        <v>3</v>
      </c>
      <c r="AI13" s="72" t="s">
        <v>7</v>
      </c>
      <c r="AJ13" s="72" t="s">
        <v>61</v>
      </c>
      <c r="AK13" s="51"/>
      <c r="AL13" s="51" t="s">
        <v>176</v>
      </c>
      <c r="AM13" s="51" t="s">
        <v>177</v>
      </c>
      <c r="AN13" s="51"/>
      <c r="AO13" s="51" t="s">
        <v>153</v>
      </c>
      <c r="AP13" s="51"/>
      <c r="AR13" s="51"/>
    </row>
    <row r="14" spans="1:44" ht="16.7" customHeight="1" x14ac:dyDescent="0.25">
      <c r="A14" s="83"/>
      <c r="B14" s="6">
        <v>4</v>
      </c>
      <c r="C14" s="72" t="s">
        <v>61</v>
      </c>
      <c r="D14" s="72" t="s">
        <v>61</v>
      </c>
      <c r="E14" s="72" t="s">
        <v>11</v>
      </c>
      <c r="F14" s="72" t="s">
        <v>7</v>
      </c>
      <c r="G14" s="72" t="s">
        <v>101</v>
      </c>
      <c r="H14" s="72" t="s">
        <v>100</v>
      </c>
      <c r="I14" s="72" t="s">
        <v>104</v>
      </c>
      <c r="J14" s="72" t="s">
        <v>14</v>
      </c>
      <c r="K14" s="83"/>
      <c r="L14" s="6">
        <v>4</v>
      </c>
      <c r="M14" s="72" t="s">
        <v>123</v>
      </c>
      <c r="N14" s="72" t="s">
        <v>99</v>
      </c>
      <c r="O14" s="72" t="s">
        <v>10</v>
      </c>
      <c r="P14" s="72" t="s">
        <v>62</v>
      </c>
      <c r="Q14" s="72" t="s">
        <v>163</v>
      </c>
      <c r="R14" s="72" t="s">
        <v>38</v>
      </c>
      <c r="S14" s="72" t="s">
        <v>114</v>
      </c>
      <c r="T14" s="72" t="s">
        <v>10</v>
      </c>
      <c r="U14" s="83"/>
      <c r="V14" s="6">
        <v>4</v>
      </c>
      <c r="W14" s="72" t="s">
        <v>107</v>
      </c>
      <c r="X14" s="72" t="s">
        <v>111</v>
      </c>
      <c r="Y14" s="72" t="s">
        <v>76</v>
      </c>
      <c r="Z14" s="72" t="s">
        <v>114</v>
      </c>
      <c r="AA14" s="72" t="s">
        <v>57</v>
      </c>
      <c r="AB14" s="72" t="s">
        <v>126</v>
      </c>
      <c r="AC14" s="72" t="s">
        <v>21</v>
      </c>
      <c r="AD14" s="72" t="s">
        <v>98</v>
      </c>
      <c r="AE14" s="72" t="s">
        <v>141</v>
      </c>
      <c r="AF14" s="72" t="s">
        <v>134</v>
      </c>
      <c r="AG14" s="83"/>
      <c r="AH14" s="6">
        <v>4</v>
      </c>
      <c r="AI14" s="72" t="s">
        <v>7</v>
      </c>
      <c r="AJ14" s="72" t="s">
        <v>138</v>
      </c>
      <c r="AK14" s="51"/>
      <c r="AL14" s="51"/>
      <c r="AM14" s="51"/>
      <c r="AN14" s="51" t="s">
        <v>177</v>
      </c>
      <c r="AO14" s="51"/>
      <c r="AP14" s="51"/>
      <c r="AQ14" s="51"/>
      <c r="AR14" s="51" t="s">
        <v>153</v>
      </c>
    </row>
    <row r="15" spans="1:44" ht="16.7" customHeight="1" x14ac:dyDescent="0.25">
      <c r="A15" s="84"/>
      <c r="B15" s="7">
        <v>5</v>
      </c>
      <c r="C15" s="72"/>
      <c r="D15" s="72"/>
      <c r="E15" s="72"/>
      <c r="F15" s="72"/>
      <c r="G15" s="72"/>
      <c r="H15" s="72"/>
      <c r="I15" s="72"/>
      <c r="J15" s="72"/>
      <c r="K15" s="84"/>
      <c r="L15" s="7">
        <v>5</v>
      </c>
      <c r="M15" s="72"/>
      <c r="N15" s="72"/>
      <c r="O15" s="72"/>
      <c r="P15" s="72"/>
      <c r="Q15" s="72"/>
      <c r="R15" s="72"/>
      <c r="S15" s="72"/>
      <c r="T15" s="72"/>
      <c r="U15" s="84"/>
      <c r="V15" s="7">
        <v>5</v>
      </c>
      <c r="W15" s="72" t="s">
        <v>107</v>
      </c>
      <c r="X15" s="72"/>
      <c r="Y15" s="72" t="s">
        <v>126</v>
      </c>
      <c r="Z15" s="72"/>
      <c r="AA15" s="72" t="s">
        <v>111</v>
      </c>
      <c r="AB15" s="72"/>
      <c r="AC15" s="72"/>
      <c r="AD15" s="72"/>
      <c r="AE15" s="72"/>
      <c r="AF15" s="72"/>
      <c r="AG15" s="84"/>
      <c r="AH15" s="7">
        <v>5</v>
      </c>
      <c r="AI15" s="72"/>
      <c r="AJ15" s="72"/>
      <c r="AK15" s="52"/>
      <c r="AL15" s="52"/>
      <c r="AM15" s="52"/>
      <c r="AN15" s="52"/>
      <c r="AO15" s="52"/>
      <c r="AP15" s="52"/>
      <c r="AQ15" s="52"/>
      <c r="AR15" s="52"/>
    </row>
    <row r="16" spans="1:44" ht="16.7" customHeight="1" x14ac:dyDescent="0.25">
      <c r="A16" s="82">
        <v>4</v>
      </c>
      <c r="B16" s="4">
        <v>1</v>
      </c>
      <c r="C16" s="72" t="s">
        <v>56</v>
      </c>
      <c r="D16" s="72" t="s">
        <v>66</v>
      </c>
      <c r="E16" s="72" t="s">
        <v>98</v>
      </c>
      <c r="F16" s="72" t="s">
        <v>161</v>
      </c>
      <c r="G16" s="72" t="s">
        <v>171</v>
      </c>
      <c r="H16" s="72" t="s">
        <v>171</v>
      </c>
      <c r="I16" s="72" t="s">
        <v>104</v>
      </c>
      <c r="J16" s="72" t="s">
        <v>10</v>
      </c>
      <c r="K16" s="82">
        <v>4</v>
      </c>
      <c r="L16" s="4">
        <v>1</v>
      </c>
      <c r="M16" s="72" t="s">
        <v>122</v>
      </c>
      <c r="N16" s="72" t="s">
        <v>115</v>
      </c>
      <c r="O16" s="72" t="s">
        <v>10</v>
      </c>
      <c r="P16" s="72" t="s">
        <v>75</v>
      </c>
      <c r="Q16" s="72" t="s">
        <v>38</v>
      </c>
      <c r="R16" s="72" t="s">
        <v>163</v>
      </c>
      <c r="S16" s="72" t="s">
        <v>62</v>
      </c>
      <c r="T16" s="72" t="s">
        <v>106</v>
      </c>
      <c r="U16" s="82">
        <v>4</v>
      </c>
      <c r="V16" s="4">
        <v>1</v>
      </c>
      <c r="W16" s="72" t="s">
        <v>130</v>
      </c>
      <c r="X16" s="72" t="s">
        <v>107</v>
      </c>
      <c r="Y16" s="72" t="s">
        <v>126</v>
      </c>
      <c r="Z16" s="72" t="s">
        <v>111</v>
      </c>
      <c r="AA16" s="72" t="s">
        <v>111</v>
      </c>
      <c r="AB16" s="72" t="s">
        <v>126</v>
      </c>
      <c r="AC16" s="72" t="s">
        <v>21</v>
      </c>
      <c r="AD16" s="72" t="s">
        <v>24</v>
      </c>
      <c r="AE16" s="72" t="s">
        <v>141</v>
      </c>
      <c r="AF16" s="72" t="s">
        <v>135</v>
      </c>
      <c r="AG16" s="82">
        <v>4</v>
      </c>
      <c r="AH16" s="4">
        <v>1</v>
      </c>
      <c r="AI16" s="72" t="s">
        <v>75</v>
      </c>
      <c r="AJ16" s="72" t="s">
        <v>137</v>
      </c>
      <c r="AK16" s="52"/>
      <c r="AL16" s="52"/>
      <c r="AM16" s="52"/>
      <c r="AN16" s="52"/>
      <c r="AO16" s="51" t="s">
        <v>153</v>
      </c>
      <c r="AP16" s="52"/>
      <c r="AQ16" s="52"/>
      <c r="AR16" s="52"/>
    </row>
    <row r="17" spans="1:44" ht="16.7" customHeight="1" x14ac:dyDescent="0.25">
      <c r="A17" s="83"/>
      <c r="B17" s="6">
        <v>2</v>
      </c>
      <c r="C17" s="72" t="s">
        <v>56</v>
      </c>
      <c r="D17" s="72" t="s">
        <v>171</v>
      </c>
      <c r="E17" s="72" t="s">
        <v>11</v>
      </c>
      <c r="F17" s="72" t="s">
        <v>115</v>
      </c>
      <c r="G17" s="72" t="s">
        <v>63</v>
      </c>
      <c r="H17" s="72" t="s">
        <v>102</v>
      </c>
      <c r="I17" s="72" t="s">
        <v>10</v>
      </c>
      <c r="J17" s="72" t="s">
        <v>99</v>
      </c>
      <c r="K17" s="83"/>
      <c r="L17" s="6">
        <v>2</v>
      </c>
      <c r="M17" s="72" t="s">
        <v>114</v>
      </c>
      <c r="N17" s="72" t="s">
        <v>35</v>
      </c>
      <c r="O17" s="72" t="s">
        <v>106</v>
      </c>
      <c r="P17" s="72" t="s">
        <v>38</v>
      </c>
      <c r="Q17" s="72" t="s">
        <v>57</v>
      </c>
      <c r="R17" s="72" t="s">
        <v>160</v>
      </c>
      <c r="S17" s="72" t="s">
        <v>38</v>
      </c>
      <c r="T17" s="72" t="s">
        <v>10</v>
      </c>
      <c r="U17" s="83"/>
      <c r="V17" s="6">
        <v>2</v>
      </c>
      <c r="W17" s="72" t="s">
        <v>59</v>
      </c>
      <c r="X17" s="72" t="s">
        <v>59</v>
      </c>
      <c r="Y17" s="72" t="s">
        <v>130</v>
      </c>
      <c r="Z17" s="72" t="s">
        <v>127</v>
      </c>
      <c r="AA17" s="72" t="s">
        <v>108</v>
      </c>
      <c r="AB17" s="72" t="s">
        <v>75</v>
      </c>
      <c r="AC17" s="72" t="s">
        <v>23</v>
      </c>
      <c r="AD17" s="72" t="s">
        <v>98</v>
      </c>
      <c r="AE17" s="72" t="s">
        <v>173</v>
      </c>
      <c r="AF17" s="72" t="s">
        <v>139</v>
      </c>
      <c r="AG17" s="83"/>
      <c r="AH17" s="6">
        <v>2</v>
      </c>
      <c r="AI17" s="72" t="s">
        <v>173</v>
      </c>
      <c r="AJ17" s="72" t="s">
        <v>140</v>
      </c>
      <c r="AK17" s="51" t="s">
        <v>153</v>
      </c>
      <c r="AL17" s="51"/>
      <c r="AM17" s="51"/>
      <c r="AN17" s="51"/>
      <c r="AO17" s="51"/>
      <c r="AP17" s="51" t="s">
        <v>153</v>
      </c>
      <c r="AQ17" s="51"/>
      <c r="AR17" s="51"/>
    </row>
    <row r="18" spans="1:44" ht="16.7" customHeight="1" x14ac:dyDescent="0.25">
      <c r="A18" s="83"/>
      <c r="B18" s="6">
        <v>3</v>
      </c>
      <c r="C18" s="72" t="s">
        <v>55</v>
      </c>
      <c r="D18" s="72" t="s">
        <v>115</v>
      </c>
      <c r="E18" s="72" t="s">
        <v>11</v>
      </c>
      <c r="F18" s="72" t="s">
        <v>103</v>
      </c>
      <c r="G18" s="72" t="s">
        <v>7</v>
      </c>
      <c r="H18" s="72" t="s">
        <v>102</v>
      </c>
      <c r="I18" s="72" t="s">
        <v>14</v>
      </c>
      <c r="J18" s="72" t="s">
        <v>7</v>
      </c>
      <c r="K18" s="83"/>
      <c r="L18" s="6">
        <v>3</v>
      </c>
      <c r="M18" s="72" t="s">
        <v>172</v>
      </c>
      <c r="N18" s="72" t="s">
        <v>172</v>
      </c>
      <c r="O18" s="72" t="s">
        <v>159</v>
      </c>
      <c r="P18" s="72" t="s">
        <v>62</v>
      </c>
      <c r="Q18" s="72" t="s">
        <v>75</v>
      </c>
      <c r="R18" s="72" t="s">
        <v>112</v>
      </c>
      <c r="S18" s="72" t="s">
        <v>108</v>
      </c>
      <c r="T18" s="72" t="s">
        <v>75</v>
      </c>
      <c r="U18" s="83"/>
      <c r="V18" s="6">
        <v>3</v>
      </c>
      <c r="W18" s="72" t="s">
        <v>18</v>
      </c>
      <c r="X18" s="72" t="s">
        <v>60</v>
      </c>
      <c r="Y18" s="72" t="s">
        <v>59</v>
      </c>
      <c r="Z18" s="72" t="s">
        <v>107</v>
      </c>
      <c r="AA18" s="72" t="s">
        <v>130</v>
      </c>
      <c r="AB18" s="72" t="s">
        <v>57</v>
      </c>
      <c r="AC18" s="72" t="s">
        <v>98</v>
      </c>
      <c r="AD18" s="72" t="s">
        <v>20</v>
      </c>
      <c r="AE18" s="72" t="s">
        <v>61</v>
      </c>
      <c r="AF18" s="72" t="s">
        <v>61</v>
      </c>
      <c r="AG18" s="83"/>
      <c r="AH18" s="6">
        <v>3</v>
      </c>
      <c r="AI18" s="72" t="s">
        <v>61</v>
      </c>
      <c r="AJ18" s="72" t="s">
        <v>61</v>
      </c>
      <c r="AK18" s="51"/>
      <c r="AL18" s="51" t="s">
        <v>153</v>
      </c>
      <c r="AM18" s="51" t="s">
        <v>153</v>
      </c>
      <c r="AN18" s="51"/>
      <c r="AO18" s="51"/>
      <c r="AP18" s="51"/>
      <c r="AQ18" s="51"/>
      <c r="AR18" s="51"/>
    </row>
    <row r="19" spans="1:44" ht="16.7" customHeight="1" x14ac:dyDescent="0.25">
      <c r="A19" s="83"/>
      <c r="B19" s="6">
        <v>4</v>
      </c>
      <c r="C19" s="72" t="s">
        <v>171</v>
      </c>
      <c r="D19" s="72" t="s">
        <v>75</v>
      </c>
      <c r="E19" s="72" t="s">
        <v>53</v>
      </c>
      <c r="F19" s="72" t="s">
        <v>163</v>
      </c>
      <c r="G19" s="72" t="s">
        <v>7</v>
      </c>
      <c r="H19" s="72" t="s">
        <v>114</v>
      </c>
      <c r="I19" s="72" t="s">
        <v>14</v>
      </c>
      <c r="J19" s="72" t="s">
        <v>7</v>
      </c>
      <c r="K19" s="83"/>
      <c r="L19" s="6">
        <v>4</v>
      </c>
      <c r="M19" s="72" t="s">
        <v>123</v>
      </c>
      <c r="N19" s="72" t="s">
        <v>122</v>
      </c>
      <c r="O19" s="72" t="s">
        <v>112</v>
      </c>
      <c r="P19" s="72" t="s">
        <v>35</v>
      </c>
      <c r="Q19" s="72" t="s">
        <v>163</v>
      </c>
      <c r="R19" s="72" t="s">
        <v>105</v>
      </c>
      <c r="S19" s="72" t="s">
        <v>10</v>
      </c>
      <c r="T19" s="72" t="s">
        <v>115</v>
      </c>
      <c r="U19" s="83"/>
      <c r="V19" s="6">
        <v>4</v>
      </c>
      <c r="W19" s="72" t="s">
        <v>18</v>
      </c>
      <c r="X19" s="72" t="s">
        <v>111</v>
      </c>
      <c r="Y19" s="72" t="s">
        <v>126</v>
      </c>
      <c r="Z19" s="72" t="s">
        <v>129</v>
      </c>
      <c r="AA19" s="72" t="s">
        <v>105</v>
      </c>
      <c r="AB19" s="72" t="s">
        <v>127</v>
      </c>
      <c r="AC19" s="72" t="s">
        <v>170</v>
      </c>
      <c r="AD19" s="72" t="s">
        <v>64</v>
      </c>
      <c r="AE19" s="72" t="s">
        <v>75</v>
      </c>
      <c r="AF19" s="72" t="s">
        <v>143</v>
      </c>
      <c r="AG19" s="83"/>
      <c r="AH19" s="6">
        <v>4</v>
      </c>
      <c r="AI19" s="72" t="s">
        <v>147</v>
      </c>
      <c r="AJ19" s="72" t="s">
        <v>148</v>
      </c>
      <c r="AK19" s="51"/>
      <c r="AL19" s="51"/>
      <c r="AM19" s="51"/>
      <c r="AN19" s="51" t="s">
        <v>153</v>
      </c>
      <c r="AO19" s="51"/>
      <c r="AP19" s="51"/>
      <c r="AQ19" s="51" t="s">
        <v>153</v>
      </c>
      <c r="AR19" s="51" t="s">
        <v>179</v>
      </c>
    </row>
    <row r="20" spans="1:44" ht="16.7" customHeight="1" x14ac:dyDescent="0.25">
      <c r="A20" s="84"/>
      <c r="B20" s="7">
        <v>5</v>
      </c>
      <c r="C20" s="72"/>
      <c r="D20" s="72"/>
      <c r="E20" s="72"/>
      <c r="F20" s="72"/>
      <c r="G20" s="72"/>
      <c r="H20" s="72"/>
      <c r="I20" s="72"/>
      <c r="J20" s="72"/>
      <c r="K20" s="84"/>
      <c r="L20" s="7">
        <v>5</v>
      </c>
      <c r="M20" s="72"/>
      <c r="N20" s="72"/>
      <c r="O20" s="72"/>
      <c r="P20" s="72"/>
      <c r="Q20" s="72"/>
      <c r="R20" s="72"/>
      <c r="S20" s="72"/>
      <c r="T20" s="72"/>
      <c r="U20" s="84"/>
      <c r="V20" s="7">
        <v>5</v>
      </c>
      <c r="W20" s="72" t="s">
        <v>75</v>
      </c>
      <c r="X20" s="72"/>
      <c r="Y20" s="72" t="s">
        <v>107</v>
      </c>
      <c r="Z20" s="72"/>
      <c r="AA20" s="72" t="s">
        <v>129</v>
      </c>
      <c r="AB20" s="72"/>
      <c r="AC20" s="72"/>
      <c r="AD20" s="72"/>
      <c r="AE20" s="72"/>
      <c r="AF20" s="72"/>
      <c r="AG20" s="84"/>
      <c r="AH20" s="7">
        <v>5</v>
      </c>
      <c r="AI20" s="72"/>
      <c r="AJ20" s="72"/>
      <c r="AK20" s="52"/>
      <c r="AL20" s="52"/>
      <c r="AM20" s="52"/>
      <c r="AN20" s="52"/>
      <c r="AO20" s="52"/>
      <c r="AP20" s="52"/>
      <c r="AQ20" s="52"/>
      <c r="AR20" s="52"/>
    </row>
    <row r="21" spans="1:44" ht="16.7" customHeight="1" x14ac:dyDescent="0.25">
      <c r="A21" s="82">
        <v>5</v>
      </c>
      <c r="B21" s="4">
        <v>1</v>
      </c>
      <c r="C21" s="72" t="s">
        <v>171</v>
      </c>
      <c r="D21" s="72" t="s">
        <v>171</v>
      </c>
      <c r="E21" s="72" t="s">
        <v>98</v>
      </c>
      <c r="F21" s="72" t="s">
        <v>11</v>
      </c>
      <c r="G21" s="72" t="s">
        <v>108</v>
      </c>
      <c r="H21" s="72" t="s">
        <v>63</v>
      </c>
      <c r="I21" s="72" t="s">
        <v>99</v>
      </c>
      <c r="J21" s="72" t="s">
        <v>10</v>
      </c>
      <c r="K21" s="82">
        <v>5</v>
      </c>
      <c r="L21" s="4">
        <v>1</v>
      </c>
      <c r="M21" s="72" t="s">
        <v>122</v>
      </c>
      <c r="N21" s="72" t="s">
        <v>112</v>
      </c>
      <c r="O21" s="72" t="s">
        <v>106</v>
      </c>
      <c r="P21" s="72" t="s">
        <v>38</v>
      </c>
      <c r="Q21" s="72" t="s">
        <v>163</v>
      </c>
      <c r="R21" s="72" t="s">
        <v>163</v>
      </c>
      <c r="S21" s="72" t="s">
        <v>7</v>
      </c>
      <c r="T21" s="72" t="s">
        <v>106</v>
      </c>
      <c r="U21" s="82">
        <v>5</v>
      </c>
      <c r="V21" s="4">
        <v>1</v>
      </c>
      <c r="W21" s="72" t="s">
        <v>76</v>
      </c>
      <c r="X21" s="72" t="s">
        <v>111</v>
      </c>
      <c r="Y21" s="72" t="s">
        <v>107</v>
      </c>
      <c r="Z21" s="72" t="s">
        <v>59</v>
      </c>
      <c r="AA21" s="72" t="s">
        <v>57</v>
      </c>
      <c r="AB21" s="72" t="s">
        <v>76</v>
      </c>
      <c r="AC21" s="72" t="s">
        <v>22</v>
      </c>
      <c r="AD21" s="72" t="s">
        <v>24</v>
      </c>
      <c r="AE21" s="72" t="s">
        <v>134</v>
      </c>
      <c r="AF21" s="72" t="s">
        <v>135</v>
      </c>
      <c r="AG21" s="82">
        <v>5</v>
      </c>
      <c r="AH21" s="4">
        <v>1</v>
      </c>
      <c r="AI21" s="72" t="s">
        <v>112</v>
      </c>
      <c r="AJ21" s="72" t="s">
        <v>137</v>
      </c>
      <c r="AK21" s="52"/>
      <c r="AL21" s="52"/>
      <c r="AM21" s="52"/>
      <c r="AN21" s="52"/>
      <c r="AO21" s="51" t="s">
        <v>153</v>
      </c>
      <c r="AP21" s="52"/>
      <c r="AQ21" s="51"/>
      <c r="AR21" s="52"/>
    </row>
    <row r="22" spans="1:44" ht="16.7" customHeight="1" x14ac:dyDescent="0.25">
      <c r="A22" s="83"/>
      <c r="B22" s="6">
        <v>2</v>
      </c>
      <c r="C22" s="72" t="s">
        <v>114</v>
      </c>
      <c r="D22" s="72" t="s">
        <v>56</v>
      </c>
      <c r="E22" s="72" t="s">
        <v>103</v>
      </c>
      <c r="F22" s="72" t="s">
        <v>11</v>
      </c>
      <c r="G22" s="72" t="s">
        <v>171</v>
      </c>
      <c r="H22" s="72" t="s">
        <v>100</v>
      </c>
      <c r="I22" s="72" t="s">
        <v>10</v>
      </c>
      <c r="J22" s="72" t="s">
        <v>99</v>
      </c>
      <c r="K22" s="83"/>
      <c r="L22" s="6">
        <v>2</v>
      </c>
      <c r="M22" s="72" t="s">
        <v>123</v>
      </c>
      <c r="N22" s="72" t="s">
        <v>122</v>
      </c>
      <c r="O22" s="72" t="s">
        <v>108</v>
      </c>
      <c r="P22" s="72" t="s">
        <v>62</v>
      </c>
      <c r="Q22" s="72" t="s">
        <v>160</v>
      </c>
      <c r="R22" s="72" t="s">
        <v>105</v>
      </c>
      <c r="S22" s="72" t="s">
        <v>7</v>
      </c>
      <c r="T22" s="72" t="s">
        <v>74</v>
      </c>
      <c r="U22" s="83"/>
      <c r="V22" s="6">
        <v>2</v>
      </c>
      <c r="W22" s="72" t="s">
        <v>76</v>
      </c>
      <c r="X22" s="72" t="s">
        <v>59</v>
      </c>
      <c r="Y22" s="72" t="s">
        <v>111</v>
      </c>
      <c r="Z22" s="72" t="s">
        <v>111</v>
      </c>
      <c r="AA22" s="72" t="s">
        <v>127</v>
      </c>
      <c r="AB22" s="72" t="s">
        <v>76</v>
      </c>
      <c r="AC22" s="72" t="s">
        <v>77</v>
      </c>
      <c r="AD22" s="72" t="s">
        <v>112</v>
      </c>
      <c r="AE22" s="72" t="s">
        <v>144</v>
      </c>
      <c r="AF22" s="72" t="s">
        <v>61</v>
      </c>
      <c r="AG22" s="83"/>
      <c r="AH22" s="6">
        <v>2</v>
      </c>
      <c r="AI22" s="72" t="s">
        <v>138</v>
      </c>
      <c r="AJ22" s="72" t="s">
        <v>61</v>
      </c>
      <c r="AK22" s="51"/>
      <c r="AL22" s="51"/>
      <c r="AM22" s="51" t="s">
        <v>153</v>
      </c>
      <c r="AN22" s="51" t="s">
        <v>153</v>
      </c>
      <c r="AO22" s="51"/>
      <c r="AP22" s="51" t="s">
        <v>178</v>
      </c>
      <c r="AQ22" s="51"/>
      <c r="AR22" s="51"/>
    </row>
    <row r="23" spans="1:44" ht="16.7" customHeight="1" x14ac:dyDescent="0.25">
      <c r="A23" s="83"/>
      <c r="B23" s="6">
        <v>3</v>
      </c>
      <c r="C23" s="72" t="s">
        <v>7</v>
      </c>
      <c r="D23" s="72" t="s">
        <v>56</v>
      </c>
      <c r="E23" s="72" t="s">
        <v>163</v>
      </c>
      <c r="F23" s="72" t="s">
        <v>163</v>
      </c>
      <c r="G23" s="72" t="s">
        <v>131</v>
      </c>
      <c r="H23" s="72" t="s">
        <v>102</v>
      </c>
      <c r="I23" s="72" t="s">
        <v>108</v>
      </c>
      <c r="J23" s="72" t="s">
        <v>58</v>
      </c>
      <c r="K23" s="83"/>
      <c r="L23" s="6">
        <v>3</v>
      </c>
      <c r="M23" s="72" t="s">
        <v>172</v>
      </c>
      <c r="N23" s="72" t="s">
        <v>172</v>
      </c>
      <c r="O23" s="72" t="s">
        <v>10</v>
      </c>
      <c r="P23" s="72" t="s">
        <v>10</v>
      </c>
      <c r="Q23" s="72" t="s">
        <v>38</v>
      </c>
      <c r="R23" s="72" t="s">
        <v>7</v>
      </c>
      <c r="S23" s="72" t="s">
        <v>62</v>
      </c>
      <c r="T23" s="72" t="s">
        <v>123</v>
      </c>
      <c r="U23" s="83"/>
      <c r="V23" s="6">
        <v>3</v>
      </c>
      <c r="W23" s="72" t="s">
        <v>107</v>
      </c>
      <c r="X23" s="72" t="s">
        <v>107</v>
      </c>
      <c r="Y23" s="72" t="s">
        <v>76</v>
      </c>
      <c r="Z23" s="72" t="s">
        <v>126</v>
      </c>
      <c r="AA23" s="72" t="s">
        <v>126</v>
      </c>
      <c r="AB23" s="72" t="s">
        <v>57</v>
      </c>
      <c r="AC23" s="72" t="s">
        <v>22</v>
      </c>
      <c r="AD23" s="72" t="s">
        <v>98</v>
      </c>
      <c r="AE23" s="72" t="s">
        <v>61</v>
      </c>
      <c r="AF23" s="72" t="s">
        <v>112</v>
      </c>
      <c r="AG23" s="83"/>
      <c r="AH23" s="6">
        <v>3</v>
      </c>
      <c r="AI23" s="72" t="s">
        <v>61</v>
      </c>
      <c r="AJ23" s="72" t="s">
        <v>110</v>
      </c>
      <c r="AK23" s="51" t="s">
        <v>153</v>
      </c>
      <c r="AL23" s="51" t="s">
        <v>153</v>
      </c>
      <c r="AM23" s="51"/>
      <c r="AN23" s="51"/>
      <c r="AO23" s="51"/>
      <c r="AP23" s="51"/>
      <c r="AQ23" s="51"/>
      <c r="AR23" s="51"/>
    </row>
    <row r="24" spans="1:44" ht="16.7" customHeight="1" x14ac:dyDescent="0.25">
      <c r="A24" s="83"/>
      <c r="B24" s="6">
        <v>4</v>
      </c>
      <c r="C24" s="72" t="s">
        <v>7</v>
      </c>
      <c r="D24" s="72" t="s">
        <v>55</v>
      </c>
      <c r="E24" s="72" t="s">
        <v>35</v>
      </c>
      <c r="F24" s="72" t="s">
        <v>114</v>
      </c>
      <c r="G24" s="72" t="s">
        <v>171</v>
      </c>
      <c r="H24" s="72" t="s">
        <v>102</v>
      </c>
      <c r="I24" s="72" t="s">
        <v>114</v>
      </c>
      <c r="J24" s="72" t="s">
        <v>104</v>
      </c>
      <c r="K24" s="83"/>
      <c r="L24" s="6">
        <v>4</v>
      </c>
      <c r="M24" s="72" t="s">
        <v>63</v>
      </c>
      <c r="N24" s="72" t="s">
        <v>65</v>
      </c>
      <c r="O24" s="72" t="s">
        <v>62</v>
      </c>
      <c r="P24" s="72" t="s">
        <v>159</v>
      </c>
      <c r="Q24" s="72" t="s">
        <v>57</v>
      </c>
      <c r="R24" s="72" t="s">
        <v>7</v>
      </c>
      <c r="S24" s="72" t="s">
        <v>10</v>
      </c>
      <c r="T24" s="72" t="s">
        <v>10</v>
      </c>
      <c r="U24" s="83"/>
      <c r="V24" s="6">
        <v>4</v>
      </c>
      <c r="W24" s="72" t="s">
        <v>127</v>
      </c>
      <c r="X24" s="72" t="s">
        <v>158</v>
      </c>
      <c r="Y24" s="72" t="s">
        <v>76</v>
      </c>
      <c r="Z24" s="72" t="s">
        <v>126</v>
      </c>
      <c r="AA24" s="72" t="s">
        <v>126</v>
      </c>
      <c r="AB24" s="72" t="s">
        <v>111</v>
      </c>
      <c r="AC24" s="72" t="s">
        <v>98</v>
      </c>
      <c r="AD24" s="72" t="s">
        <v>173</v>
      </c>
      <c r="AE24" s="72" t="s">
        <v>145</v>
      </c>
      <c r="AF24" s="72" t="s">
        <v>109</v>
      </c>
      <c r="AG24" s="83"/>
      <c r="AH24" s="6">
        <v>4</v>
      </c>
      <c r="AI24" s="72" t="s">
        <v>150</v>
      </c>
      <c r="AJ24" s="72" t="s">
        <v>149</v>
      </c>
      <c r="AK24" s="51"/>
      <c r="AL24" s="52"/>
      <c r="AM24" s="51"/>
      <c r="AN24" s="52"/>
      <c r="AO24" s="51"/>
      <c r="AP24" s="51"/>
      <c r="AQ24" s="51"/>
      <c r="AR24" s="51" t="s">
        <v>153</v>
      </c>
    </row>
    <row r="25" spans="1:44" ht="16.7" customHeight="1" x14ac:dyDescent="0.25">
      <c r="A25" s="84"/>
      <c r="B25" s="7">
        <v>5</v>
      </c>
      <c r="C25" s="72"/>
      <c r="D25" s="72"/>
      <c r="E25" s="72"/>
      <c r="F25" s="72"/>
      <c r="G25" s="72"/>
      <c r="H25" s="72"/>
      <c r="I25" s="72"/>
      <c r="J25" s="72"/>
      <c r="K25" s="84"/>
      <c r="L25" s="7">
        <v>5</v>
      </c>
      <c r="M25" s="72"/>
      <c r="N25" s="72"/>
      <c r="O25" s="72"/>
      <c r="P25" s="72"/>
      <c r="Q25" s="72"/>
      <c r="R25" s="72"/>
      <c r="S25" s="72"/>
      <c r="T25" s="72"/>
      <c r="U25" s="84"/>
      <c r="V25" s="7">
        <v>5</v>
      </c>
      <c r="W25" s="72" t="s">
        <v>111</v>
      </c>
      <c r="X25" s="72"/>
      <c r="Y25" s="72" t="s">
        <v>107</v>
      </c>
      <c r="Z25" s="72"/>
      <c r="AA25" s="72" t="s">
        <v>54</v>
      </c>
      <c r="AB25" s="72"/>
      <c r="AC25" s="72"/>
      <c r="AD25" s="72"/>
      <c r="AE25" s="72"/>
      <c r="AF25" s="72"/>
      <c r="AG25" s="84"/>
      <c r="AH25" s="7">
        <v>5</v>
      </c>
      <c r="AI25" s="72"/>
      <c r="AJ25" s="72"/>
      <c r="AK25" s="52"/>
      <c r="AL25" s="52"/>
      <c r="AM25" s="52"/>
      <c r="AN25" s="52"/>
      <c r="AO25" s="52"/>
      <c r="AP25" s="52"/>
      <c r="AQ25" s="52"/>
      <c r="AR25" s="52"/>
    </row>
    <row r="26" spans="1:44" ht="16.7" customHeight="1" x14ac:dyDescent="0.25">
      <c r="A26" s="122">
        <v>6</v>
      </c>
      <c r="B26" s="123">
        <v>1</v>
      </c>
      <c r="C26" s="72" t="s">
        <v>56</v>
      </c>
      <c r="D26" s="72" t="s">
        <v>61</v>
      </c>
      <c r="E26" s="72" t="s">
        <v>11</v>
      </c>
      <c r="F26" s="72" t="s">
        <v>98</v>
      </c>
      <c r="G26" s="72" t="s">
        <v>131</v>
      </c>
      <c r="H26" s="72" t="s">
        <v>65</v>
      </c>
      <c r="I26" s="72" t="s">
        <v>112</v>
      </c>
      <c r="J26" s="72" t="s">
        <v>99</v>
      </c>
      <c r="K26" s="122">
        <v>6</v>
      </c>
      <c r="L26" s="123">
        <v>1</v>
      </c>
      <c r="M26" s="72" t="s">
        <v>123</v>
      </c>
      <c r="N26" s="72" t="s">
        <v>34</v>
      </c>
      <c r="O26" s="72" t="s">
        <v>10</v>
      </c>
      <c r="P26" s="72" t="s">
        <v>10</v>
      </c>
      <c r="Q26" s="72" t="s">
        <v>163</v>
      </c>
      <c r="R26" s="72" t="s">
        <v>38</v>
      </c>
      <c r="S26" s="72" t="s">
        <v>62</v>
      </c>
      <c r="T26" s="72" t="s">
        <v>159</v>
      </c>
      <c r="U26" s="122">
        <v>6</v>
      </c>
      <c r="V26" s="123">
        <v>1</v>
      </c>
      <c r="W26" s="72" t="s">
        <v>127</v>
      </c>
      <c r="X26" s="72" t="s">
        <v>7</v>
      </c>
      <c r="Y26" s="72" t="s">
        <v>75</v>
      </c>
      <c r="Z26" s="72" t="s">
        <v>111</v>
      </c>
      <c r="AA26" s="72" t="s">
        <v>7</v>
      </c>
      <c r="AB26" s="72" t="s">
        <v>112</v>
      </c>
      <c r="AC26" s="72" t="s">
        <v>174</v>
      </c>
      <c r="AD26" s="72" t="s">
        <v>24</v>
      </c>
      <c r="AE26" s="72" t="s">
        <v>108</v>
      </c>
      <c r="AF26" s="72" t="s">
        <v>135</v>
      </c>
      <c r="AG26" s="122">
        <v>6</v>
      </c>
      <c r="AH26" s="123">
        <v>1</v>
      </c>
      <c r="AI26" s="72" t="s">
        <v>138</v>
      </c>
      <c r="AJ26" s="72" t="s">
        <v>137</v>
      </c>
      <c r="AK26" s="51"/>
      <c r="AL26" s="52"/>
      <c r="AM26" s="51"/>
      <c r="AN26" s="52"/>
      <c r="AO26" s="51"/>
      <c r="AP26" s="51"/>
      <c r="AQ26" s="51" t="s">
        <v>153</v>
      </c>
      <c r="AR26" s="52"/>
    </row>
    <row r="27" spans="1:44" ht="16.7" customHeight="1" x14ac:dyDescent="0.25">
      <c r="A27" s="122"/>
      <c r="B27" s="123">
        <v>2</v>
      </c>
      <c r="C27" s="72" t="s">
        <v>52</v>
      </c>
      <c r="D27" s="72" t="s">
        <v>65</v>
      </c>
      <c r="E27" s="72" t="s">
        <v>98</v>
      </c>
      <c r="F27" s="72" t="s">
        <v>53</v>
      </c>
      <c r="G27" s="72" t="s">
        <v>61</v>
      </c>
      <c r="H27" s="72" t="s">
        <v>61</v>
      </c>
      <c r="I27" s="72" t="s">
        <v>75</v>
      </c>
      <c r="J27" s="72" t="s">
        <v>10</v>
      </c>
      <c r="K27" s="122"/>
      <c r="L27" s="123">
        <v>2</v>
      </c>
      <c r="M27" s="72" t="s">
        <v>123</v>
      </c>
      <c r="N27" s="72" t="s">
        <v>123</v>
      </c>
      <c r="O27" s="72" t="s">
        <v>114</v>
      </c>
      <c r="P27" s="72" t="s">
        <v>38</v>
      </c>
      <c r="Q27" s="72" t="s">
        <v>57</v>
      </c>
      <c r="R27" s="72" t="s">
        <v>163</v>
      </c>
      <c r="S27" s="72" t="s">
        <v>10</v>
      </c>
      <c r="T27" s="72" t="s">
        <v>62</v>
      </c>
      <c r="U27" s="122"/>
      <c r="V27" s="123">
        <v>2</v>
      </c>
      <c r="W27" s="72" t="s">
        <v>111</v>
      </c>
      <c r="X27" s="72" t="s">
        <v>7</v>
      </c>
      <c r="Y27" s="72" t="s">
        <v>60</v>
      </c>
      <c r="Z27" s="72" t="s">
        <v>111</v>
      </c>
      <c r="AA27" s="72" t="s">
        <v>7</v>
      </c>
      <c r="AB27" s="72" t="s">
        <v>114</v>
      </c>
      <c r="AC27" s="72" t="s">
        <v>78</v>
      </c>
      <c r="AD27" s="72" t="s">
        <v>75</v>
      </c>
      <c r="AE27" s="72" t="s">
        <v>134</v>
      </c>
      <c r="AF27" s="72" t="s">
        <v>144</v>
      </c>
      <c r="AG27" s="122"/>
      <c r="AH27" s="123">
        <v>2</v>
      </c>
      <c r="AI27" s="72" t="s">
        <v>108</v>
      </c>
      <c r="AJ27" s="72" t="s">
        <v>151</v>
      </c>
      <c r="AK27" s="51" t="s">
        <v>176</v>
      </c>
      <c r="AL27" s="51"/>
      <c r="AM27" s="51"/>
      <c r="AN27" s="51" t="s">
        <v>153</v>
      </c>
      <c r="AO27" s="51" t="s">
        <v>153</v>
      </c>
      <c r="AP27" s="51"/>
      <c r="AQ27" s="51"/>
      <c r="AR27" s="51" t="s">
        <v>179</v>
      </c>
    </row>
    <row r="28" spans="1:44" ht="16.7" customHeight="1" x14ac:dyDescent="0.25">
      <c r="A28" s="122"/>
      <c r="B28" s="123">
        <v>3</v>
      </c>
      <c r="C28" s="72" t="s">
        <v>61</v>
      </c>
      <c r="D28" s="72" t="s">
        <v>56</v>
      </c>
      <c r="E28" s="72" t="s">
        <v>75</v>
      </c>
      <c r="F28" s="72" t="s">
        <v>35</v>
      </c>
      <c r="G28" s="72" t="s">
        <v>100</v>
      </c>
      <c r="H28" s="72" t="s">
        <v>75</v>
      </c>
      <c r="I28" s="72" t="s">
        <v>14</v>
      </c>
      <c r="J28" s="72" t="s">
        <v>63</v>
      </c>
      <c r="K28" s="122"/>
      <c r="L28" s="123">
        <v>3</v>
      </c>
      <c r="M28" s="72" t="s">
        <v>99</v>
      </c>
      <c r="N28" s="72" t="s">
        <v>99</v>
      </c>
      <c r="O28" s="72" t="s">
        <v>35</v>
      </c>
      <c r="P28" s="72" t="s">
        <v>62</v>
      </c>
      <c r="Q28" s="72" t="s">
        <v>38</v>
      </c>
      <c r="R28" s="72" t="s">
        <v>114</v>
      </c>
      <c r="S28" s="72" t="s">
        <v>123</v>
      </c>
      <c r="T28" s="72" t="s">
        <v>125</v>
      </c>
      <c r="U28" s="122"/>
      <c r="V28" s="123">
        <v>3</v>
      </c>
      <c r="W28" s="72" t="s">
        <v>111</v>
      </c>
      <c r="X28" s="72" t="s">
        <v>18</v>
      </c>
      <c r="Y28" s="72" t="s">
        <v>127</v>
      </c>
      <c r="Z28" s="72" t="s">
        <v>126</v>
      </c>
      <c r="AA28" s="72" t="s">
        <v>105</v>
      </c>
      <c r="AB28" s="72" t="s">
        <v>111</v>
      </c>
      <c r="AC28" s="72" t="s">
        <v>108</v>
      </c>
      <c r="AD28" s="72" t="s">
        <v>173</v>
      </c>
      <c r="AE28" s="72" t="s">
        <v>134</v>
      </c>
      <c r="AF28" s="72" t="s">
        <v>139</v>
      </c>
      <c r="AG28" s="122"/>
      <c r="AH28" s="123">
        <v>3</v>
      </c>
      <c r="AI28" s="72" t="s">
        <v>138</v>
      </c>
      <c r="AJ28" s="72" t="s">
        <v>140</v>
      </c>
      <c r="AK28" s="51"/>
      <c r="AL28" s="51" t="s">
        <v>153</v>
      </c>
      <c r="AM28" s="51" t="s">
        <v>177</v>
      </c>
      <c r="AN28" s="51"/>
      <c r="AO28" s="51"/>
      <c r="AP28" s="51"/>
      <c r="AQ28" s="51"/>
      <c r="AR28" s="51"/>
    </row>
    <row r="29" spans="1:44" ht="16.7" customHeight="1" x14ac:dyDescent="0.25">
      <c r="A29" s="122"/>
      <c r="B29" s="123">
        <v>4</v>
      </c>
      <c r="C29" s="72" t="s">
        <v>55</v>
      </c>
      <c r="D29" s="72" t="s">
        <v>51</v>
      </c>
      <c r="E29" s="72" t="s">
        <v>163</v>
      </c>
      <c r="F29" s="72" t="s">
        <v>9</v>
      </c>
      <c r="G29" s="72" t="s">
        <v>100</v>
      </c>
      <c r="H29" s="72" t="s">
        <v>157</v>
      </c>
      <c r="I29" s="72" t="s">
        <v>14</v>
      </c>
      <c r="J29" s="72" t="s">
        <v>121</v>
      </c>
      <c r="K29" s="122"/>
      <c r="L29" s="123">
        <v>4</v>
      </c>
      <c r="M29" s="72" t="s">
        <v>75</v>
      </c>
      <c r="N29" s="72" t="s">
        <v>122</v>
      </c>
      <c r="O29" s="72" t="s">
        <v>62</v>
      </c>
      <c r="P29" s="72" t="s">
        <v>37</v>
      </c>
      <c r="Q29" s="72" t="s">
        <v>125</v>
      </c>
      <c r="R29" s="72" t="s">
        <v>57</v>
      </c>
      <c r="S29" s="72" t="s">
        <v>123</v>
      </c>
      <c r="T29" s="72" t="s">
        <v>10</v>
      </c>
      <c r="U29" s="122"/>
      <c r="V29" s="123">
        <v>4</v>
      </c>
      <c r="W29" s="72" t="s">
        <v>112</v>
      </c>
      <c r="X29" s="72" t="s">
        <v>18</v>
      </c>
      <c r="Y29" s="72" t="s">
        <v>7</v>
      </c>
      <c r="Z29" s="72" t="s">
        <v>126</v>
      </c>
      <c r="AA29" s="72" t="s">
        <v>57</v>
      </c>
      <c r="AB29" s="72" t="s">
        <v>111</v>
      </c>
      <c r="AC29" s="72" t="s">
        <v>22</v>
      </c>
      <c r="AD29" s="72" t="s">
        <v>20</v>
      </c>
      <c r="AE29" s="72" t="s">
        <v>173</v>
      </c>
      <c r="AF29" s="72" t="s">
        <v>173</v>
      </c>
      <c r="AG29" s="122"/>
      <c r="AH29" s="123">
        <v>4</v>
      </c>
      <c r="AI29" s="72" t="s">
        <v>173</v>
      </c>
      <c r="AJ29" s="72" t="s">
        <v>173</v>
      </c>
      <c r="AK29" s="52"/>
      <c r="AL29" s="51"/>
      <c r="AM29" s="52"/>
      <c r="AN29" s="51"/>
      <c r="AO29" s="52"/>
      <c r="AP29" s="51"/>
      <c r="AQ29" s="51"/>
      <c r="AR29" s="51" t="s">
        <v>153</v>
      </c>
    </row>
    <row r="30" spans="1:44" ht="16.7" customHeight="1" x14ac:dyDescent="0.25">
      <c r="A30" s="122"/>
      <c r="B30" s="123">
        <v>5</v>
      </c>
      <c r="C30" s="72"/>
      <c r="D30" s="72"/>
      <c r="E30" s="72"/>
      <c r="F30" s="72"/>
      <c r="G30" s="72"/>
      <c r="H30" s="72"/>
      <c r="I30" s="72"/>
      <c r="J30" s="72"/>
      <c r="K30" s="122"/>
      <c r="L30" s="123">
        <v>5</v>
      </c>
      <c r="M30" s="72"/>
      <c r="N30" s="72"/>
      <c r="O30" s="72"/>
      <c r="P30" s="72"/>
      <c r="Q30" s="72"/>
      <c r="R30" s="72"/>
      <c r="S30" s="72"/>
      <c r="T30" s="72"/>
      <c r="U30" s="122"/>
      <c r="V30" s="123">
        <v>5</v>
      </c>
      <c r="W30" s="72" t="s">
        <v>114</v>
      </c>
      <c r="X30" s="72"/>
      <c r="Y30" s="72" t="s">
        <v>7</v>
      </c>
      <c r="Z30" s="72"/>
      <c r="AA30" s="72" t="s">
        <v>126</v>
      </c>
      <c r="AB30" s="72"/>
      <c r="AC30" s="73"/>
      <c r="AD30" s="73"/>
      <c r="AE30" s="73"/>
      <c r="AF30" s="73"/>
      <c r="AG30" s="122"/>
      <c r="AH30" s="123">
        <v>5</v>
      </c>
      <c r="AI30" s="72"/>
      <c r="AJ30" s="72"/>
      <c r="AK30" s="52"/>
      <c r="AL30" s="52"/>
      <c r="AM30" s="52"/>
      <c r="AN30" s="52"/>
      <c r="AO30" s="52"/>
      <c r="AP30" s="52"/>
      <c r="AQ30" s="52"/>
      <c r="AR30" s="52"/>
    </row>
    <row r="31" spans="1:44" ht="16.7" customHeight="1" x14ac:dyDescent="0.25">
      <c r="A31" s="118"/>
      <c r="B31" s="119"/>
      <c r="C31" s="120"/>
      <c r="D31" s="124"/>
      <c r="E31" s="124"/>
      <c r="F31" s="125"/>
      <c r="G31" s="125"/>
      <c r="H31" s="125"/>
      <c r="I31" s="124"/>
      <c r="J31" s="124"/>
      <c r="K31" s="125"/>
      <c r="L31" s="125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1"/>
      <c r="AE31" s="121"/>
      <c r="AF31" s="121"/>
      <c r="AG31" s="121"/>
      <c r="AH31" s="121"/>
      <c r="AI31" s="120"/>
      <c r="AJ31" s="120"/>
      <c r="AK31" s="120"/>
      <c r="AL31" s="120"/>
      <c r="AM31" s="120"/>
      <c r="AN31" s="120"/>
      <c r="AO31" s="120"/>
      <c r="AP31" s="121"/>
      <c r="AQ31" s="121"/>
      <c r="AR31" s="121"/>
    </row>
    <row r="32" spans="1:44" ht="16.7" customHeight="1" x14ac:dyDescent="0.25">
      <c r="A32" s="118"/>
      <c r="B32" s="119"/>
      <c r="C32" s="120"/>
      <c r="D32" s="124" t="s">
        <v>183</v>
      </c>
      <c r="E32" s="124"/>
      <c r="F32" s="125"/>
      <c r="G32" s="125"/>
      <c r="H32" s="125"/>
      <c r="I32" s="124" t="s">
        <v>180</v>
      </c>
      <c r="J32" s="124"/>
      <c r="K32" s="126"/>
      <c r="L32" s="126"/>
      <c r="M32" s="120"/>
      <c r="N32" s="124" t="s">
        <v>183</v>
      </c>
      <c r="O32" s="124"/>
      <c r="P32" s="125"/>
      <c r="Q32" s="125"/>
      <c r="R32" s="125"/>
      <c r="S32" s="124" t="s">
        <v>180</v>
      </c>
      <c r="T32" s="124"/>
      <c r="U32" s="125"/>
      <c r="V32" s="125"/>
      <c r="W32" s="124" t="s">
        <v>183</v>
      </c>
      <c r="X32" s="124"/>
      <c r="Y32" s="125"/>
      <c r="Z32" s="125"/>
      <c r="AA32" s="125"/>
      <c r="AB32" s="124" t="s">
        <v>180</v>
      </c>
      <c r="AC32" s="124"/>
      <c r="AD32" s="121"/>
      <c r="AE32" s="121"/>
      <c r="AF32" s="121"/>
      <c r="AG32" s="121"/>
      <c r="AH32" s="121"/>
      <c r="AI32" s="124" t="s">
        <v>183</v>
      </c>
      <c r="AJ32" s="124"/>
      <c r="AK32" s="125"/>
      <c r="AL32" s="125"/>
      <c r="AM32" s="125"/>
      <c r="AN32" s="124" t="s">
        <v>180</v>
      </c>
      <c r="AO32" s="124"/>
      <c r="AP32" s="121"/>
      <c r="AQ32" s="121"/>
      <c r="AR32" s="121"/>
    </row>
    <row r="33" spans="1:44" ht="16.7" customHeight="1" x14ac:dyDescent="0.25">
      <c r="A33" s="118"/>
      <c r="B33" s="119"/>
      <c r="C33" s="120"/>
      <c r="D33" s="126"/>
      <c r="E33" s="126"/>
      <c r="F33" s="126"/>
      <c r="G33" s="126"/>
      <c r="H33" s="126"/>
      <c r="I33" s="126"/>
      <c r="J33" s="126"/>
      <c r="K33" s="126"/>
      <c r="L33" s="126"/>
      <c r="M33" s="120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1"/>
      <c r="AE33" s="121"/>
      <c r="AF33" s="121"/>
      <c r="AG33" s="121"/>
      <c r="AH33" s="121"/>
      <c r="AI33" s="126"/>
      <c r="AJ33" s="126"/>
      <c r="AK33" s="126"/>
      <c r="AL33" s="126"/>
      <c r="AM33" s="126"/>
      <c r="AN33" s="126"/>
      <c r="AO33" s="126"/>
      <c r="AP33" s="121"/>
      <c r="AQ33" s="121"/>
      <c r="AR33" s="121"/>
    </row>
    <row r="34" spans="1:44" ht="16.7" customHeight="1" x14ac:dyDescent="0.25">
      <c r="A34" s="118"/>
      <c r="B34" s="119"/>
      <c r="C34" s="120"/>
      <c r="D34" s="126"/>
      <c r="E34" s="126"/>
      <c r="F34" s="126"/>
      <c r="G34" s="126"/>
      <c r="H34" s="126"/>
      <c r="I34" s="126"/>
      <c r="J34" s="126"/>
      <c r="K34" s="125"/>
      <c r="L34" s="125"/>
      <c r="M34" s="120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1"/>
      <c r="AE34" s="121"/>
      <c r="AF34" s="121"/>
      <c r="AG34" s="121"/>
      <c r="AH34" s="121"/>
      <c r="AI34" s="126"/>
      <c r="AJ34" s="126"/>
      <c r="AK34" s="126"/>
      <c r="AL34" s="126"/>
      <c r="AM34" s="126"/>
      <c r="AN34" s="126"/>
      <c r="AO34" s="126"/>
      <c r="AP34" s="121"/>
      <c r="AQ34" s="121"/>
      <c r="AR34" s="121"/>
    </row>
    <row r="35" spans="1:44" x14ac:dyDescent="0.25">
      <c r="D35" s="124" t="s">
        <v>181</v>
      </c>
      <c r="E35" s="124"/>
      <c r="F35" s="125"/>
      <c r="G35" s="125"/>
      <c r="H35" s="125"/>
      <c r="I35" s="124" t="s">
        <v>182</v>
      </c>
      <c r="J35" s="124"/>
      <c r="K35" s="127"/>
      <c r="L35" s="127"/>
      <c r="N35" s="124" t="s">
        <v>181</v>
      </c>
      <c r="O35" s="124"/>
      <c r="P35" s="125"/>
      <c r="Q35" s="125"/>
      <c r="R35" s="125"/>
      <c r="S35" s="124" t="s">
        <v>182</v>
      </c>
      <c r="T35" s="124"/>
      <c r="U35" s="125"/>
      <c r="V35" s="125"/>
      <c r="W35" s="124" t="s">
        <v>181</v>
      </c>
      <c r="X35" s="124"/>
      <c r="Y35" s="125"/>
      <c r="Z35" s="125"/>
      <c r="AA35" s="125"/>
      <c r="AB35" s="124" t="s">
        <v>182</v>
      </c>
      <c r="AC35" s="124"/>
      <c r="AI35" s="124" t="s">
        <v>181</v>
      </c>
      <c r="AJ35" s="124"/>
      <c r="AK35" s="125"/>
      <c r="AL35" s="125"/>
      <c r="AM35" s="125"/>
      <c r="AN35" s="124" t="s">
        <v>182</v>
      </c>
      <c r="AO35" s="124"/>
    </row>
    <row r="36" spans="1:44" x14ac:dyDescent="0.25">
      <c r="D36" s="127"/>
      <c r="E36" s="127"/>
      <c r="F36" s="127"/>
      <c r="G36" s="127"/>
      <c r="H36" s="127"/>
      <c r="I36" s="127"/>
      <c r="J36" s="127"/>
    </row>
  </sheetData>
  <mergeCells count="61">
    <mergeCell ref="D32:E32"/>
    <mergeCell ref="I35:J35"/>
    <mergeCell ref="D35:E35"/>
    <mergeCell ref="AI32:AJ32"/>
    <mergeCell ref="AN32:AO32"/>
    <mergeCell ref="AI35:AJ35"/>
    <mergeCell ref="AN35:AO35"/>
    <mergeCell ref="I32:J32"/>
    <mergeCell ref="W32:X32"/>
    <mergeCell ref="AB32:AC32"/>
    <mergeCell ref="W35:X35"/>
    <mergeCell ref="AB35:AC35"/>
    <mergeCell ref="AG21:AG25"/>
    <mergeCell ref="AG26:AG30"/>
    <mergeCell ref="AG4:AG5"/>
    <mergeCell ref="AH4:AH5"/>
    <mergeCell ref="AG6:AG10"/>
    <mergeCell ref="AG11:AG15"/>
    <mergeCell ref="AG16:AG20"/>
    <mergeCell ref="U6:U10"/>
    <mergeCell ref="U11:U15"/>
    <mergeCell ref="U16:U20"/>
    <mergeCell ref="U21:U25"/>
    <mergeCell ref="U26:U30"/>
    <mergeCell ref="N32:O32"/>
    <mergeCell ref="S32:T32"/>
    <mergeCell ref="N35:O35"/>
    <mergeCell ref="S35:T35"/>
    <mergeCell ref="K4:K5"/>
    <mergeCell ref="L4:L5"/>
    <mergeCell ref="K6:K10"/>
    <mergeCell ref="K11:K15"/>
    <mergeCell ref="K16:K20"/>
    <mergeCell ref="K21:K25"/>
    <mergeCell ref="K26:K30"/>
    <mergeCell ref="AE4:AF4"/>
    <mergeCell ref="A31:A34"/>
    <mergeCell ref="A4:A5"/>
    <mergeCell ref="A11:A15"/>
    <mergeCell ref="A6:A10"/>
    <mergeCell ref="W4:X4"/>
    <mergeCell ref="G4:H4"/>
    <mergeCell ref="A16:A20"/>
    <mergeCell ref="A21:A25"/>
    <mergeCell ref="A26:A30"/>
    <mergeCell ref="B4:B5"/>
    <mergeCell ref="AC4:AD4"/>
    <mergeCell ref="D31:E31"/>
    <mergeCell ref="I31:J31"/>
    <mergeCell ref="A1:E2"/>
    <mergeCell ref="AA4:AB4"/>
    <mergeCell ref="C4:D4"/>
    <mergeCell ref="E4:F4"/>
    <mergeCell ref="I4:J4"/>
    <mergeCell ref="Y4:Z4"/>
    <mergeCell ref="M4:N4"/>
    <mergeCell ref="O4:P4"/>
    <mergeCell ref="Q4:R4"/>
    <mergeCell ref="S4:T4"/>
    <mergeCell ref="U4:U5"/>
    <mergeCell ref="V4:V5"/>
  </mergeCells>
  <printOptions verticalCentered="1"/>
  <pageMargins left="0.4" right="0" top="0" bottom="0" header="0.5" footer="0.5"/>
  <pageSetup paperSize="9" scale="9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V35"/>
  <sheetViews>
    <sheetView zoomScale="130" zoomScaleNormal="130" workbookViewId="0">
      <pane xSplit="2" ySplit="5" topLeftCell="BJ6" activePane="bottomRight" state="frozen"/>
      <selection pane="topRight"/>
      <selection pane="bottomLeft"/>
      <selection pane="bottomRight" activeCell="N33" sqref="N33"/>
    </sheetView>
  </sheetViews>
  <sheetFormatPr defaultColWidth="8.875" defaultRowHeight="15.75" x14ac:dyDescent="0.25"/>
  <cols>
    <col min="1" max="2" width="4.625" customWidth="1"/>
    <col min="3" max="29" width="12.125" customWidth="1"/>
    <col min="30" max="30" width="13.625" customWidth="1"/>
    <col min="31" max="38" width="12.125" customWidth="1"/>
    <col min="39" max="46" width="11.625" customWidth="1"/>
    <col min="47" max="49" width="12.125" customWidth="1"/>
    <col min="50" max="50" width="13.625" customWidth="1"/>
    <col min="51" max="58" width="12.125" customWidth="1"/>
    <col min="59" max="62" width="11.625" customWidth="1"/>
    <col min="63" max="66" width="11.625" hidden="1" customWidth="1"/>
    <col min="67" max="74" width="11.625" customWidth="1"/>
  </cols>
  <sheetData>
    <row r="1" spans="1:74" ht="30" x14ac:dyDescent="0.25">
      <c r="A1" s="74" t="s">
        <v>2</v>
      </c>
      <c r="B1" s="74"/>
      <c r="C1" s="74"/>
      <c r="D1" s="75" t="s">
        <v>5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1"/>
      <c r="AK1" s="1"/>
      <c r="AL1" s="1"/>
      <c r="BD1" s="1"/>
      <c r="BE1" s="1"/>
      <c r="BF1" s="1"/>
    </row>
    <row r="2" spans="1:74" x14ac:dyDescent="0.25">
      <c r="A2" s="74"/>
      <c r="B2" s="74"/>
      <c r="C2" s="74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2"/>
      <c r="AK2" s="2"/>
      <c r="AL2" s="3"/>
      <c r="BD2" s="2"/>
      <c r="BE2" s="2"/>
      <c r="BF2" s="3"/>
    </row>
    <row r="3" spans="1:74" ht="3.95" customHeight="1" x14ac:dyDescent="0.25">
      <c r="A3" s="50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74" ht="16.7" customHeight="1" x14ac:dyDescent="0.25">
      <c r="A4" s="99" t="s">
        <v>0</v>
      </c>
      <c r="B4" s="99" t="s">
        <v>1</v>
      </c>
      <c r="C4" s="97" t="s">
        <v>69</v>
      </c>
      <c r="D4" s="98"/>
      <c r="E4" s="97" t="s">
        <v>168</v>
      </c>
      <c r="F4" s="98"/>
      <c r="G4" s="97" t="s">
        <v>169</v>
      </c>
      <c r="H4" s="98"/>
      <c r="I4" s="97" t="s">
        <v>27</v>
      </c>
      <c r="J4" s="98"/>
      <c r="K4" s="97" t="s">
        <v>27</v>
      </c>
      <c r="L4" s="98"/>
      <c r="M4" s="97" t="s">
        <v>70</v>
      </c>
      <c r="N4" s="98"/>
      <c r="O4" s="97" t="s">
        <v>28</v>
      </c>
      <c r="P4" s="98"/>
      <c r="Q4" s="97" t="s">
        <v>29</v>
      </c>
      <c r="R4" s="98"/>
      <c r="S4" s="97" t="s">
        <v>32</v>
      </c>
      <c r="T4" s="98"/>
      <c r="U4" s="97" t="s">
        <v>84</v>
      </c>
      <c r="V4" s="98"/>
      <c r="W4" s="97" t="s">
        <v>30</v>
      </c>
      <c r="X4" s="98"/>
      <c r="Y4" s="97" t="s">
        <v>31</v>
      </c>
      <c r="Z4" s="98"/>
      <c r="AA4" s="97" t="s">
        <v>70</v>
      </c>
      <c r="AB4" s="98"/>
      <c r="AC4" s="97" t="s">
        <v>72</v>
      </c>
      <c r="AD4" s="98"/>
      <c r="AE4" s="97" t="s">
        <v>73</v>
      </c>
      <c r="AF4" s="98"/>
      <c r="AG4" s="97" t="s">
        <v>70</v>
      </c>
      <c r="AH4" s="98"/>
      <c r="AI4" s="97" t="s">
        <v>155</v>
      </c>
      <c r="AJ4" s="98"/>
      <c r="AK4" s="97" t="s">
        <v>83</v>
      </c>
      <c r="AL4" s="98"/>
      <c r="AM4" s="97" t="s">
        <v>36</v>
      </c>
      <c r="AN4" s="98"/>
      <c r="AO4" s="97" t="s">
        <v>33</v>
      </c>
      <c r="AP4" s="98"/>
      <c r="AQ4" s="97" t="s">
        <v>69</v>
      </c>
      <c r="AR4" s="98"/>
      <c r="AS4" s="97" t="s">
        <v>27</v>
      </c>
      <c r="AT4" s="98"/>
      <c r="AU4" s="69" t="s">
        <v>85</v>
      </c>
      <c r="AV4" s="70"/>
      <c r="AW4" s="69" t="s">
        <v>85</v>
      </c>
      <c r="AX4" s="70"/>
      <c r="AY4" s="69" t="s">
        <v>85</v>
      </c>
      <c r="AZ4" s="70"/>
      <c r="BA4" s="69" t="s">
        <v>85</v>
      </c>
      <c r="BB4" s="70"/>
      <c r="BC4" s="69" t="s">
        <v>85</v>
      </c>
      <c r="BD4" s="70"/>
      <c r="BE4" s="69" t="s">
        <v>85</v>
      </c>
      <c r="BF4" s="70"/>
      <c r="BG4" s="69" t="s">
        <v>85</v>
      </c>
      <c r="BH4" s="70"/>
      <c r="BI4" s="69" t="s">
        <v>85</v>
      </c>
      <c r="BJ4" s="70"/>
      <c r="BK4" s="69" t="s">
        <v>85</v>
      </c>
      <c r="BL4" s="70"/>
      <c r="BM4" s="69" t="s">
        <v>85</v>
      </c>
      <c r="BN4" s="70"/>
      <c r="BO4" s="101" t="s">
        <v>152</v>
      </c>
      <c r="BP4" s="102"/>
      <c r="BQ4" s="101" t="s">
        <v>162</v>
      </c>
      <c r="BR4" s="102"/>
      <c r="BS4" s="101" t="s">
        <v>68</v>
      </c>
      <c r="BT4" s="102"/>
      <c r="BU4" s="101" t="s">
        <v>71</v>
      </c>
      <c r="BV4" s="102"/>
    </row>
    <row r="5" spans="1:74" ht="16.7" customHeight="1" x14ac:dyDescent="0.25">
      <c r="A5" s="100"/>
      <c r="B5" s="100"/>
      <c r="C5" s="37" t="s">
        <v>3</v>
      </c>
      <c r="D5" s="38" t="s">
        <v>4</v>
      </c>
      <c r="E5" s="37" t="s">
        <v>3</v>
      </c>
      <c r="F5" s="38" t="s">
        <v>4</v>
      </c>
      <c r="G5" s="37" t="s">
        <v>3</v>
      </c>
      <c r="H5" s="38" t="s">
        <v>4</v>
      </c>
      <c r="I5" s="37" t="s">
        <v>3</v>
      </c>
      <c r="J5" s="38" t="s">
        <v>4</v>
      </c>
      <c r="K5" s="37" t="s">
        <v>3</v>
      </c>
      <c r="L5" s="38" t="s">
        <v>4</v>
      </c>
      <c r="M5" s="37" t="s">
        <v>3</v>
      </c>
      <c r="N5" s="38" t="s">
        <v>4</v>
      </c>
      <c r="O5" s="37" t="s">
        <v>3</v>
      </c>
      <c r="P5" s="38" t="s">
        <v>4</v>
      </c>
      <c r="Q5" s="37" t="s">
        <v>3</v>
      </c>
      <c r="R5" s="38" t="s">
        <v>4</v>
      </c>
      <c r="S5" s="37" t="s">
        <v>3</v>
      </c>
      <c r="T5" s="38" t="s">
        <v>4</v>
      </c>
      <c r="U5" s="37" t="s">
        <v>3</v>
      </c>
      <c r="V5" s="38" t="s">
        <v>4</v>
      </c>
      <c r="W5" s="37" t="s">
        <v>3</v>
      </c>
      <c r="X5" s="38" t="s">
        <v>4</v>
      </c>
      <c r="Y5" s="37" t="s">
        <v>3</v>
      </c>
      <c r="Z5" s="38" t="s">
        <v>4</v>
      </c>
      <c r="AA5" s="37" t="s">
        <v>3</v>
      </c>
      <c r="AB5" s="38" t="s">
        <v>4</v>
      </c>
      <c r="AC5" s="37" t="s">
        <v>3</v>
      </c>
      <c r="AD5" s="38" t="s">
        <v>4</v>
      </c>
      <c r="AE5" s="37" t="s">
        <v>3</v>
      </c>
      <c r="AF5" s="38" t="s">
        <v>4</v>
      </c>
      <c r="AG5" s="37" t="s">
        <v>3</v>
      </c>
      <c r="AH5" s="38" t="s">
        <v>4</v>
      </c>
      <c r="AI5" s="37" t="s">
        <v>3</v>
      </c>
      <c r="AJ5" s="38" t="s">
        <v>4</v>
      </c>
      <c r="AK5" s="37" t="s">
        <v>3</v>
      </c>
      <c r="AL5" s="38" t="s">
        <v>4</v>
      </c>
      <c r="AM5" s="37" t="s">
        <v>3</v>
      </c>
      <c r="AN5" s="38" t="s">
        <v>4</v>
      </c>
      <c r="AO5" s="37" t="s">
        <v>3</v>
      </c>
      <c r="AP5" s="38" t="s">
        <v>4</v>
      </c>
      <c r="AQ5" s="37" t="s">
        <v>3</v>
      </c>
      <c r="AR5" s="38" t="s">
        <v>4</v>
      </c>
      <c r="AS5" s="37" t="s">
        <v>3</v>
      </c>
      <c r="AT5" s="38" t="s">
        <v>4</v>
      </c>
      <c r="AU5" s="37" t="s">
        <v>3</v>
      </c>
      <c r="AV5" s="38" t="s">
        <v>4</v>
      </c>
      <c r="AW5" s="37" t="s">
        <v>3</v>
      </c>
      <c r="AX5" s="38" t="s">
        <v>4</v>
      </c>
      <c r="AY5" s="37" t="s">
        <v>3</v>
      </c>
      <c r="AZ5" s="38" t="s">
        <v>4</v>
      </c>
      <c r="BA5" s="37" t="s">
        <v>3</v>
      </c>
      <c r="BB5" s="38" t="s">
        <v>4</v>
      </c>
      <c r="BC5" s="37" t="s">
        <v>3</v>
      </c>
      <c r="BD5" s="38" t="s">
        <v>4</v>
      </c>
      <c r="BE5" s="37" t="s">
        <v>3</v>
      </c>
      <c r="BF5" s="38" t="s">
        <v>4</v>
      </c>
      <c r="BG5" s="37" t="s">
        <v>3</v>
      </c>
      <c r="BH5" s="38" t="s">
        <v>4</v>
      </c>
      <c r="BI5" s="37" t="s">
        <v>3</v>
      </c>
      <c r="BJ5" s="38" t="s">
        <v>4</v>
      </c>
      <c r="BK5" s="37" t="s">
        <v>3</v>
      </c>
      <c r="BL5" s="38" t="s">
        <v>4</v>
      </c>
      <c r="BM5" s="37" t="s">
        <v>3</v>
      </c>
      <c r="BN5" s="38" t="s">
        <v>4</v>
      </c>
      <c r="BO5" s="37" t="s">
        <v>3</v>
      </c>
      <c r="BP5" s="38" t="s">
        <v>4</v>
      </c>
      <c r="BQ5" s="37" t="s">
        <v>3</v>
      </c>
      <c r="BR5" s="38" t="s">
        <v>4</v>
      </c>
      <c r="BS5" s="37" t="s">
        <v>3</v>
      </c>
      <c r="BT5" s="38" t="s">
        <v>4</v>
      </c>
      <c r="BU5" s="37" t="s">
        <v>3</v>
      </c>
      <c r="BV5" s="38" t="s">
        <v>4</v>
      </c>
    </row>
    <row r="6" spans="1:74" ht="16.7" customHeight="1" x14ac:dyDescent="0.25">
      <c r="A6" s="91">
        <v>2</v>
      </c>
      <c r="B6" s="39">
        <v>1</v>
      </c>
      <c r="C6" s="40" t="str">
        <f>IFERROR(VLOOKUP($A$6&amp;$C$5&amp;$B6&amp;$C$4,TKB_LOP_CHECK!$B$65:$J$860,9,0),"")</f>
        <v/>
      </c>
      <c r="D6" s="40" t="str">
        <f>IFERROR(VLOOKUP($A$6&amp;$D$5&amp;$B6&amp;$C$4,TKB_LOP_CHECK!$B$65:$J$860,9,0),"")</f>
        <v/>
      </c>
      <c r="E6" s="40" t="str">
        <f>IFERROR(VLOOKUP($A$6&amp;$C$5&amp;$B6&amp;$E$4,TKB_LOP_CHECK!$B$65:$J$860,9,0),"")</f>
        <v/>
      </c>
      <c r="F6" s="40" t="str">
        <f>IFERROR(VLOOKUP($A$6&amp;$D$5&amp;$B6&amp;$E$4,TKB_LOP_CHECK!$B$65:$J$860,9,0),"")</f>
        <v/>
      </c>
      <c r="G6" s="40" t="str">
        <f>IFERROR(VLOOKUP($A$6&amp;$C$5&amp;$B6&amp;$G$4,TKB_LOP_CHECK!$B$65:$J$860,9,0),"")</f>
        <v>GVVN -4C1</v>
      </c>
      <c r="H6" s="40" t="str">
        <f>IFERROR(VLOOKUP($A$6&amp;$D$5&amp;$B6&amp;$G$4,TKB_LOP_CHECK!$B$65:$J$860,9,0),"")</f>
        <v/>
      </c>
      <c r="I6" s="40" t="str">
        <f>IFERROR(VLOOKUP($A$6&amp;$C$5&amp;$B6&amp;$I$4,TKB_LOP_CHECK!$B$65:$J$860,9,0),"")</f>
        <v>HĐTN -5C1</v>
      </c>
      <c r="J6" s="40" t="str">
        <f>IFERROR(VLOOKUP($A$6&amp;$D$5&amp;$B6&amp;$I$4,TKB_LOP_CHECK!$B$65:$J$860,9,0),"")</f>
        <v/>
      </c>
      <c r="K6" s="40" t="str">
        <f>IFERROR(VLOOKUP($A$6&amp;$C$5&amp;$B6&amp;$K$4,TKB_LOP_CHECK!$B$65:$J$860,9,0),"")</f>
        <v>HĐTN -5C1</v>
      </c>
      <c r="L6" s="40" t="str">
        <f>IFERROR(VLOOKUP($A$6&amp;$D$5&amp;$B6&amp;$K$4,TKB_LOP_CHECK!$B$65:$J$860,9,0),"")</f>
        <v/>
      </c>
      <c r="M6" s="40" t="str">
        <f>IFERROR(VLOOKUP($A$6&amp;$C$5&amp;$B6&amp;$M$4,TKB_LOP_CHECK!$B$65:$J$860,9,0),"")</f>
        <v/>
      </c>
      <c r="N6" s="40" t="str">
        <f>IFERROR(VLOOKUP($A$6&amp;$D$5&amp;$B6&amp;$M$4,TKB_LOP_CHECK!$B$65:$J$860,9,0),"")</f>
        <v>GVVN -1A1</v>
      </c>
      <c r="O6" s="40" t="str">
        <f>IFERROR(VLOOKUP($A$6&amp;$C$5&amp;$B6&amp;$O$4,TKB_LOP_CHECK!$B$65:$J$860,9,0),"")</f>
        <v>SH tập thể -TTH1</v>
      </c>
      <c r="P6" s="40" t="str">
        <f>IFERROR(VLOOKUP($A$6&amp;$D$5&amp;$B6&amp;$O$4,TKB_LOP_CHECK!$B$65:$J$860,9,0),"")</f>
        <v>HĐ tự chọn -TTH1</v>
      </c>
      <c r="Q6" s="40" t="str">
        <f>IFERROR(VLOOKUP($A$6&amp;$C$5&amp;$B6&amp;$Q$4,TKB_LOP_CHECK!$B$65:$J$860,9,0),"")</f>
        <v/>
      </c>
      <c r="R6" s="40" t="str">
        <f>IFERROR(VLOOKUP($A$6&amp;$D$5&amp;$B6&amp;$Q$4,TKB_LOP_CHECK!$B$65:$J$860,9,0),"")</f>
        <v>GDTC -3A1</v>
      </c>
      <c r="S6" s="40" t="str">
        <f>IFERROR(VLOOKUP($A$6&amp;$C$5&amp;$B6&amp;$S$4,TKB_LOP_CHECK!$B$65:$J$860,9,0),"")</f>
        <v>GVVN -4C1</v>
      </c>
      <c r="T6" s="40" t="str">
        <f>IFERROR(VLOOKUP($A$6&amp;$D$5&amp;$B6&amp;$S$4,TKB_LOP_CHECK!$B$65:$J$860,9,0),"")</f>
        <v/>
      </c>
      <c r="U6" s="40" t="str">
        <f>IFERROR(VLOOKUP($A$6&amp;$C$5&amp;$B6&amp;$U$4,TKB_LOP_CHECK!$B$65:$J$860,9,0),"")</f>
        <v>GDĐP -7A1</v>
      </c>
      <c r="V6" s="40" t="str">
        <f>IFERROR(VLOOKUP($A$6&amp;$D$5&amp;$B6&amp;$U$4,TKB_LOP_CHECK!$B$65:$J$860,9,0),"")</f>
        <v>GDĐP -6A1</v>
      </c>
      <c r="W6" s="40" t="str">
        <f>IFERROR(VLOOKUP($A$6&amp;$C$5&amp;$B6&amp;$W$4,TKB_LOP_CHECK!$B$65:$J$860,9,0),"")</f>
        <v/>
      </c>
      <c r="X6" s="40" t="str">
        <f>IFERROR(VLOOKUP($A$6&amp;$D$5&amp;$B6&amp;$W$4,TKB_LOP_CHECK!$B$65:$J$860,9,0),"")</f>
        <v/>
      </c>
      <c r="Y6" s="40" t="str">
        <f>IFERROR(VLOOKUP($A$6&amp;$C$5&amp;$B6&amp;$Y$4,TKB_LOP_CHECK!$B$65:$J$860,9,0),"")</f>
        <v/>
      </c>
      <c r="Z6" s="40" t="str">
        <f>IFERROR(VLOOKUP($A$6&amp;$D$5&amp;$B6&amp;$Y$4,TKB_LOP_CHECK!$B$65:$J$860,9,0),"")</f>
        <v/>
      </c>
      <c r="AA6" s="40" t="str">
        <f>IFERROR(VLOOKUP($A$6&amp;$C$5&amp;$B6&amp;$AA$4,TKB_LOP_CHECK!$B$65:$J$860,9,0),"")</f>
        <v/>
      </c>
      <c r="AB6" s="40" t="str">
        <f>IFERROR(VLOOKUP($A$6&amp;$D$5&amp;$B6&amp;$AA$4,TKB_LOP_CHECK!$B$65:$J$860,9,0),"")</f>
        <v>GVVN -1A1</v>
      </c>
      <c r="AC6" s="40" t="str">
        <f>IFERROR(VLOOKUP($A$6&amp;$C$5&amp;$B6&amp;$AC$4,TKB_LOP_CHECK!$B$65:$J$860,9,0),"")</f>
        <v/>
      </c>
      <c r="AD6" s="40" t="str">
        <f>IFERROR(VLOOKUP($A$6&amp;$D$5&amp;$B6&amp;$AC$4,TKB_LOP_CHECK!$B$65:$J$860,9,0),"")</f>
        <v/>
      </c>
      <c r="AE6" s="40" t="str">
        <f>IFERROR(VLOOKUP($A$6&amp;$C$5&amp;$B6&amp;$AE$4,TKB_LOP_CHECK!$B$65:$J$860,9,0),"")</f>
        <v/>
      </c>
      <c r="AF6" s="40" t="str">
        <f>IFERROR(VLOOKUP($A$6&amp;$D$5&amp;$B6&amp;$AE$4,TKB_LOP_CHECK!$B$65:$J$860,9,0),"")</f>
        <v>GVVN -5C1</v>
      </c>
      <c r="AG6" s="40" t="str">
        <f>IFERROR(VLOOKUP($A$6&amp;$C$5&amp;$B6&amp;$AG$4,TKB_LOP_CHECK!$B$65:$J$860,9,0),"")</f>
        <v/>
      </c>
      <c r="AH6" s="40" t="str">
        <f>IFERROR(VLOOKUP($A$6&amp;$D$5&amp;$B6&amp;$AG$4,TKB_LOP_CHECK!$B$65:$J$860,9,0),"")</f>
        <v>GVVN -1A1</v>
      </c>
      <c r="AI6" s="40" t="str">
        <f>IFERROR(VLOOKUP($A$6&amp;$C$5&amp;$B6&amp;$AI$4,TKB_LOP_CHECK!$B$65:$J$860,9,0),"")</f>
        <v/>
      </c>
      <c r="AJ6" s="40" t="str">
        <f>IFERROR(VLOOKUP($A$6&amp;$D$5&amp;$B6&amp;$AI$4,TKB_LOP_CHECK!$B$65:$J$860,9,0),"")</f>
        <v/>
      </c>
      <c r="AK6" s="40" t="str">
        <f>IFERROR(VLOOKUP($A$6&amp;$C$5&amp;$B6&amp;$AK$4,TKB_LOP_CHECK!$B$65:$J$860,9,0),"")</f>
        <v/>
      </c>
      <c r="AL6" s="40" t="str">
        <f>IFERROR(VLOOKUP($A$6&amp;$D$5&amp;$B6&amp;$AK$4,TKB_LOP_CHECK!$B$65:$J$860,9,0),"")</f>
        <v/>
      </c>
      <c r="AM6" s="40" t="str">
        <f>IFERROR(VLOOKUP($A$6&amp;$C$5&amp;$B6&amp;$AM$4,TKB_LOP_CHECK!$B$65:$J$860,9,0),"")</f>
        <v>Đạo đức -3C1</v>
      </c>
      <c r="AN6" s="40" t="str">
        <f>IFERROR(VLOOKUP($A$6&amp;$D$5&amp;$B6&amp;$AM$4,TKB_LOP_CHECK!$B$65:$J$860,9,0),"")</f>
        <v>TViệt -3C1</v>
      </c>
      <c r="AO6" s="40" t="str">
        <f>IFERROR(VLOOKUP($A$6&amp;$C$5&amp;$B6&amp;$AO$4,TKB_LOP_CHECK!$B$65:$J$860,9,0),"")</f>
        <v>Đạo đức -2C1</v>
      </c>
      <c r="AP6" s="40" t="str">
        <f>IFERROR(VLOOKUP($A$6&amp;$D$5&amp;$B6&amp;$AO$4,TKB_LOP_CHECK!$B$65:$J$860,9,0),"")</f>
        <v/>
      </c>
      <c r="AQ6" s="40" t="str">
        <f>IFERROR(VLOOKUP($A$6&amp;$C$5&amp;$B6&amp;$AQ$4,TKB_LOP_CHECK!$B$65:$J$860,9,0),"")</f>
        <v/>
      </c>
      <c r="AR6" s="40" t="str">
        <f>IFERROR(VLOOKUP($A$6&amp;$D$5&amp;$B6&amp;$AQ$4,TKB_LOP_CHECK!$B$65:$J$860,9,0),"")</f>
        <v/>
      </c>
      <c r="AS6" s="40" t="str">
        <f>IFERROR(VLOOKUP($A$6&amp;$C$5&amp;$B6&amp;$AS$4,TKB_LOP_CHECK!$B$65:$J$860,9,0),"")</f>
        <v>HĐTN -5C1</v>
      </c>
      <c r="AT6" s="40" t="str">
        <f>IFERROR(VLOOKUP($A$6&amp;$D$5&amp;$B6&amp;$AS$4,TKB_LOP_CHECK!$B$65:$J$860,9,0),"")</f>
        <v/>
      </c>
      <c r="AU6" s="40" t="str">
        <f>IFERROR(VLOOKUP($A$6&amp;$C$5&amp;$B6&amp;$AU$4,TKB_LOP_CHECK!$B$65:$J$860,9,0),"")</f>
        <v/>
      </c>
      <c r="AV6" s="40" t="str">
        <f>IFERROR(VLOOKUP($A$6&amp;$D$5&amp;$B6&amp;$AU$4,TKB_LOP_CHECK!$B$65:$J$860,9,0),"")</f>
        <v/>
      </c>
      <c r="AW6" s="40" t="str">
        <f>IFERROR(VLOOKUP($A$6&amp;$C$5&amp;$B6&amp;$AW$4,TKB_LOP_CHECK!$B$65:$J$860,9,0),"")</f>
        <v/>
      </c>
      <c r="AX6" s="40" t="str">
        <f>IFERROR(VLOOKUP($A$6&amp;$D$5&amp;$B6&amp;$AW$4,TKB_LOP_CHECK!$B$65:$J$860,9,0),"")</f>
        <v/>
      </c>
      <c r="AY6" s="40" t="str">
        <f>IFERROR(VLOOKUP($A$6&amp;$C$5&amp;$B6&amp;$AY$4,TKB_LOP_CHECK!$B$65:$J$860,9,0),"")</f>
        <v/>
      </c>
      <c r="AZ6" s="40" t="str">
        <f>IFERROR(VLOOKUP($A$6&amp;$D$5&amp;$B6&amp;$AY$4,TKB_LOP_CHECK!$B$65:$J$860,9,0),"")</f>
        <v/>
      </c>
      <c r="BA6" s="40" t="str">
        <f>IFERROR(VLOOKUP($A$6&amp;$C$5&amp;$B6&amp;$BA$4,TKB_LOP_CHECK!$B$65:$J$860,9,0),"")</f>
        <v/>
      </c>
      <c r="BB6" s="40" t="str">
        <f>IFERROR(VLOOKUP($A$6&amp;$D$5&amp;$B6&amp;$BA$4,TKB_LOP_CHECK!$B$65:$J$860,9,0),"")</f>
        <v/>
      </c>
      <c r="BC6" s="40" t="str">
        <f>IFERROR(VLOOKUP($A$6&amp;$C$5&amp;$B6&amp;$BC$4,TKB_LOP_CHECK!$B$65:$J$860,9,0),"")</f>
        <v/>
      </c>
      <c r="BD6" s="40" t="str">
        <f>IFERROR(VLOOKUP($A$6&amp;$D$5&amp;$B6&amp;$BC$4,TKB_LOP_CHECK!$B$65:$J$860,9,0),"")</f>
        <v/>
      </c>
      <c r="BE6" s="40" t="str">
        <f>IFERROR(VLOOKUP($A$6&amp;$C$5&amp;$B6&amp;$BE$4,TKB_LOP_CHECK!$B$65:$J$860,9,0),"")</f>
        <v/>
      </c>
      <c r="BF6" s="40" t="str">
        <f>IFERROR(VLOOKUP($A$6&amp;$D$5&amp;$B6&amp;$BE$4,TKB_LOP_CHECK!$B$65:$J$860,9,0),"")</f>
        <v/>
      </c>
      <c r="BG6" s="40" t="str">
        <f>IFERROR(VLOOKUP($A$6&amp;$C$5&amp;$B6&amp;$BG$4,TKB_LOP_CHECK!$B$65:$J$860,9,0),"")</f>
        <v/>
      </c>
      <c r="BH6" s="40" t="str">
        <f>IFERROR(VLOOKUP($A$6&amp;$D$5&amp;$B6&amp;$BG$4,TKB_LOP_CHECK!$B$65:$J$860,9,0),"")</f>
        <v/>
      </c>
      <c r="BI6" s="40" t="str">
        <f>IFERROR(VLOOKUP($A$6&amp;$C$5&amp;$B6&amp;$BI$4,TKB_LOP_CHECK!$B$65:$J$860,9,0),"")</f>
        <v/>
      </c>
      <c r="BJ6" s="40" t="str">
        <f>IFERROR(VLOOKUP($A$6&amp;$D$5&amp;$B6&amp;$BI$4,TKB_LOP_CHECK!$B$65:$J$860,9,0),"")</f>
        <v/>
      </c>
      <c r="BK6" s="40" t="str">
        <f>IFERROR(VLOOKUP($A$6&amp;$C$5&amp;$B6&amp;$BK$4,TKB_LOP_CHECK!$B$65:$J$860,9,0),"")</f>
        <v/>
      </c>
      <c r="BL6" s="40" t="str">
        <f>IFERROR(VLOOKUP($A$6&amp;$D$5&amp;$B6&amp;$BK$4,TKB_LOP_CHECK!$B$65:$J$860,9,0),"")</f>
        <v/>
      </c>
      <c r="BM6" s="40" t="str">
        <f>IFERROR(VLOOKUP($A$6&amp;$C$5&amp;$B6&amp;$BM$4,TKB_LOP_CHECK!$B$65:$J$860,9,0),"")</f>
        <v/>
      </c>
      <c r="BN6" s="40" t="str">
        <f>IFERROR(VLOOKUP($A$6&amp;$D$5&amp;$B6&amp;$BM$4,TKB_LOP_CHECK!$B$65:$J$860,9,0),"")</f>
        <v/>
      </c>
      <c r="BO6" s="40" t="str">
        <f>IFERROR(VLOOKUP($A$6&amp;$C$5&amp;$B6&amp;$BO$4,TKB_LOP_CHECK!$A$65:$J$860,10,0),"")</f>
        <v/>
      </c>
      <c r="BP6" s="40" t="str">
        <f>IFERROR(VLOOKUP($A$6&amp;$D$5&amp;$B6&amp;$BO$4,TKB_LOP_CHECK!$A$65:$J$860,10,0),"")</f>
        <v/>
      </c>
      <c r="BQ6" s="40" t="str">
        <f>IFERROR(VLOOKUP($A$6&amp;$C$5&amp;$B6&amp;$BQ$4,TKB_LOP_CHECK!$A$65:$J$860,10,0),"")</f>
        <v/>
      </c>
      <c r="BR6" s="40" t="str">
        <f>IFERROR(VLOOKUP($A$6&amp;$D$5&amp;$B6&amp;$BQ$4,TKB_LOP_CHECK!$A$65:$J$860,10,0),"")</f>
        <v>GVNN -2C1</v>
      </c>
      <c r="BS6" s="40" t="str">
        <f>IFERROR(VLOOKUP($A$6&amp;$C$5&amp;$B6&amp;$BS$4,TKB_LOP_CHECK!$A$65:$J$860,10,0),"")</f>
        <v/>
      </c>
      <c r="BT6" s="40" t="str">
        <f>IFERROR(VLOOKUP($A$6&amp;$D$5&amp;$B6&amp;$BS$4,TKB_LOP_CHECK!$A$65:$J$860,10,0),"")</f>
        <v/>
      </c>
      <c r="BU6" s="40" t="str">
        <f>IFERROR(VLOOKUP($A$6&amp;$C$5&amp;$B6&amp;$BU$4,TKB_LOP_CHECK!$A$65:$J$860,10,0),"")</f>
        <v/>
      </c>
      <c r="BV6" s="40" t="str">
        <f>IFERROR(VLOOKUP($A$6&amp;$D$5&amp;$B6&amp;$BU$4,TKB_LOP_CHECK!$A$65:$J$860,10,0),"")</f>
        <v/>
      </c>
    </row>
    <row r="7" spans="1:74" ht="16.7" customHeight="1" x14ac:dyDescent="0.25">
      <c r="A7" s="92"/>
      <c r="B7" s="41">
        <v>2</v>
      </c>
      <c r="C7" s="40" t="str">
        <f>IFERROR(VLOOKUP($A$6&amp;$C$5&amp;$B7&amp;$C$4,TKB_LOP_CHECK!$B$65:$J$860,9,0),"")</f>
        <v>GVVN -6A1</v>
      </c>
      <c r="D7" s="40" t="str">
        <f>IFERROR(VLOOKUP($A$6&amp;$D$5&amp;$B7&amp;$C$4,TKB_LOP_CHECK!$B$65:$J$860,9,0),"")</f>
        <v/>
      </c>
      <c r="E7" s="40" t="str">
        <f>IFERROR(VLOOKUP($A$6&amp;$C$5&amp;$B7&amp;$E$4,TKB_LOP_CHECK!$B$65:$J$860,9,0),"")</f>
        <v/>
      </c>
      <c r="F7" s="40" t="str">
        <f>IFERROR(VLOOKUP($A$6&amp;$D$5&amp;$B7&amp;$E$4,TKB_LOP_CHECK!$B$65:$J$860,9,0),"")</f>
        <v>Tiếng Trung -8A1</v>
      </c>
      <c r="G7" s="40" t="str">
        <f>IFERROR(VLOOKUP($A$6&amp;$C$5&amp;$B7&amp;$G$4,TKB_LOP_CHECK!$B$65:$J$860,9,0),"")</f>
        <v>GVVN -8A1</v>
      </c>
      <c r="H7" s="40" t="str">
        <f>IFERROR(VLOOKUP($A$6&amp;$D$5&amp;$B7&amp;$G$4,TKB_LOP_CHECK!$B$65:$J$860,9,0),"")</f>
        <v/>
      </c>
      <c r="I7" s="40" t="str">
        <f>IFERROR(VLOOKUP($A$6&amp;$C$5&amp;$B7&amp;$I$4,TKB_LOP_CHECK!$B$65:$J$860,9,0),"")</f>
        <v>Toán -3C1</v>
      </c>
      <c r="J7" s="40" t="str">
        <f>IFERROR(VLOOKUP($A$6&amp;$D$5&amp;$B7&amp;$I$4,TKB_LOP_CHECK!$B$65:$J$860,9,0),"")</f>
        <v/>
      </c>
      <c r="K7" s="40" t="str">
        <f>IFERROR(VLOOKUP($A$6&amp;$C$5&amp;$B7&amp;$K$4,TKB_LOP_CHECK!$B$65:$J$860,9,0),"")</f>
        <v>Toán -3C1</v>
      </c>
      <c r="L7" s="40" t="str">
        <f>IFERROR(VLOOKUP($A$6&amp;$D$5&amp;$B7&amp;$K$4,TKB_LOP_CHECK!$B$65:$J$860,9,0),"")</f>
        <v/>
      </c>
      <c r="M7" s="40" t="str">
        <f>IFERROR(VLOOKUP($A$6&amp;$C$5&amp;$B7&amp;$M$4,TKB_LOP_CHECK!$B$65:$J$860,9,0),"")</f>
        <v>GVVN -1A1</v>
      </c>
      <c r="N7" s="40" t="str">
        <f>IFERROR(VLOOKUP($A$6&amp;$D$5&amp;$B7&amp;$M$4,TKB_LOP_CHECK!$B$65:$J$860,9,0),"")</f>
        <v>GVVN -TTH2</v>
      </c>
      <c r="O7" s="40" t="str">
        <f>IFERROR(VLOOKUP($A$6&amp;$C$5&amp;$B7&amp;$O$4,TKB_LOP_CHECK!$B$65:$J$860,9,0),"")</f>
        <v>Đọc sách -TTH1</v>
      </c>
      <c r="P7" s="40" t="str">
        <f>IFERROR(VLOOKUP($A$6&amp;$D$5&amp;$B7&amp;$O$4,TKB_LOP_CHECK!$B$65:$J$860,9,0),"")</f>
        <v>TViệt -TTH1</v>
      </c>
      <c r="Q7" s="40" t="str">
        <f>IFERROR(VLOOKUP($A$6&amp;$C$5&amp;$B7&amp;$Q$4,TKB_LOP_CHECK!$B$65:$J$860,9,0),"")</f>
        <v/>
      </c>
      <c r="R7" s="40" t="str">
        <f>IFERROR(VLOOKUP($A$6&amp;$D$5&amp;$B7&amp;$Q$4,TKB_LOP_CHECK!$B$65:$J$860,9,0),"")</f>
        <v>GDTC -3A1</v>
      </c>
      <c r="S7" s="40" t="str">
        <f>IFERROR(VLOOKUP($A$6&amp;$C$5&amp;$B7&amp;$S$4,TKB_LOP_CHECK!$B$65:$J$860,9,0),"")</f>
        <v>GVVN -8A1</v>
      </c>
      <c r="T7" s="40" t="str">
        <f>IFERROR(VLOOKUP($A$6&amp;$D$5&amp;$B7&amp;$S$4,TKB_LOP_CHECK!$B$65:$J$860,9,0),"")</f>
        <v/>
      </c>
      <c r="U7" s="40" t="str">
        <f>IFERROR(VLOOKUP($A$6&amp;$C$5&amp;$B7&amp;$U$4,TKB_LOP_CHECK!$B$65:$J$860,9,0),"")</f>
        <v/>
      </c>
      <c r="V7" s="40" t="str">
        <f>IFERROR(VLOOKUP($A$6&amp;$D$5&amp;$B7&amp;$U$4,TKB_LOP_CHECK!$B$65:$J$860,9,0),"")</f>
        <v>Văn -7A1</v>
      </c>
      <c r="W7" s="40" t="str">
        <f>IFERROR(VLOOKUP($A$6&amp;$C$5&amp;$B7&amp;$W$4,TKB_LOP_CHECK!$B$65:$J$860,9,0),"")</f>
        <v/>
      </c>
      <c r="X7" s="40" t="str">
        <f>IFERROR(VLOOKUP($A$6&amp;$D$5&amp;$B7&amp;$W$4,TKB_LOP_CHECK!$B$65:$J$860,9,0),"")</f>
        <v/>
      </c>
      <c r="Y7" s="40" t="str">
        <f>IFERROR(VLOOKUP($A$6&amp;$C$5&amp;$B7&amp;$Y$4,TKB_LOP_CHECK!$B$65:$J$860,9,0),"")</f>
        <v/>
      </c>
      <c r="Z7" s="40" t="str">
        <f>IFERROR(VLOOKUP($A$6&amp;$D$5&amp;$B7&amp;$Y$4,TKB_LOP_CHECK!$B$65:$J$860,9,0),"")</f>
        <v/>
      </c>
      <c r="AA7" s="40" t="str">
        <f>IFERROR(VLOOKUP($A$6&amp;$C$5&amp;$B7&amp;$AA$4,TKB_LOP_CHECK!$B$65:$J$860,9,0),"")</f>
        <v>GVVN -1A1</v>
      </c>
      <c r="AB7" s="40" t="str">
        <f>IFERROR(VLOOKUP($A$6&amp;$D$5&amp;$B7&amp;$AA$4,TKB_LOP_CHECK!$B$65:$J$860,9,0),"")</f>
        <v>GVVN -TTH2</v>
      </c>
      <c r="AC7" s="40" t="str">
        <f>IFERROR(VLOOKUP($A$6&amp;$C$5&amp;$B7&amp;$AC$4,TKB_LOP_CHECK!$B$65:$J$860,9,0),"")</f>
        <v/>
      </c>
      <c r="AD7" s="40" t="str">
        <f>IFERROR(VLOOKUP($A$6&amp;$D$5&amp;$B7&amp;$AC$4,TKB_LOP_CHECK!$B$65:$J$860,9,0),"")</f>
        <v/>
      </c>
      <c r="AE7" s="40" t="str">
        <f>IFERROR(VLOOKUP($A$6&amp;$C$5&amp;$B7&amp;$AE$4,TKB_LOP_CHECK!$B$65:$J$860,9,0),"")</f>
        <v>Science -5C1</v>
      </c>
      <c r="AF7" s="40" t="str">
        <f>IFERROR(VLOOKUP($A$6&amp;$D$5&amp;$B7&amp;$AE$4,TKB_LOP_CHECK!$B$65:$J$860,9,0),"")</f>
        <v>GVNN -5C1</v>
      </c>
      <c r="AG7" s="40" t="str">
        <f>IFERROR(VLOOKUP($A$6&amp;$C$5&amp;$B7&amp;$AG$4,TKB_LOP_CHECK!$B$65:$J$860,9,0),"")</f>
        <v>GVVN -1A1</v>
      </c>
      <c r="AH7" s="40" t="str">
        <f>IFERROR(VLOOKUP($A$6&amp;$D$5&amp;$B7&amp;$AG$4,TKB_LOP_CHECK!$B$65:$J$860,9,0),"")</f>
        <v>GVVN -TTH2</v>
      </c>
      <c r="AI7" s="40" t="str">
        <f>IFERROR(VLOOKUP($A$6&amp;$C$5&amp;$B7&amp;$AI$4,TKB_LOP_CHECK!$B$65:$J$860,9,0),"")</f>
        <v/>
      </c>
      <c r="AJ7" s="40" t="str">
        <f>IFERROR(VLOOKUP($A$6&amp;$D$5&amp;$B7&amp;$AI$4,TKB_LOP_CHECK!$B$65:$J$860,9,0),"")</f>
        <v/>
      </c>
      <c r="AK7" s="40" t="str">
        <f>IFERROR(VLOOKUP($A$6&amp;$C$5&amp;$B7&amp;$AK$4,TKB_LOP_CHECK!$B$65:$J$860,9,0),"")</f>
        <v/>
      </c>
      <c r="AL7" s="40" t="str">
        <f>IFERROR(VLOOKUP($A$6&amp;$D$5&amp;$B7&amp;$AK$4,TKB_LOP_CHECK!$B$65:$J$860,9,0),"")</f>
        <v/>
      </c>
      <c r="AM7" s="40" t="str">
        <f>IFERROR(VLOOKUP($A$6&amp;$C$5&amp;$B7&amp;$AM$4,TKB_LOP_CHECK!$B$65:$J$860,9,0),"")</f>
        <v>TViệt -4C1</v>
      </c>
      <c r="AN7" s="40" t="str">
        <f>IFERROR(VLOOKUP($A$6&amp;$D$5&amp;$B7&amp;$AM$4,TKB_LOP_CHECK!$B$65:$J$860,9,0),"")</f>
        <v>TViệt -4C1</v>
      </c>
      <c r="AO7" s="40" t="str">
        <f>IFERROR(VLOOKUP($A$6&amp;$C$5&amp;$B7&amp;$AO$4,TKB_LOP_CHECK!$B$65:$J$860,9,0),"")</f>
        <v>Viết sáng tạo -3A1</v>
      </c>
      <c r="AP7" s="40" t="str">
        <f>IFERROR(VLOOKUP($A$6&amp;$D$5&amp;$B7&amp;$AO$4,TKB_LOP_CHECK!$B$65:$J$860,9,0),"")</f>
        <v/>
      </c>
      <c r="AQ7" s="40" t="str">
        <f>IFERROR(VLOOKUP($A$6&amp;$C$5&amp;$B7&amp;$AQ$4,TKB_LOP_CHECK!$B$65:$J$860,9,0),"")</f>
        <v>GVVN -6A1</v>
      </c>
      <c r="AR7" s="40" t="str">
        <f>IFERROR(VLOOKUP($A$6&amp;$D$5&amp;$B7&amp;$AQ$4,TKB_LOP_CHECK!$B$65:$J$860,9,0),"")</f>
        <v/>
      </c>
      <c r="AS7" s="40" t="str">
        <f>IFERROR(VLOOKUP($A$6&amp;$C$5&amp;$B7&amp;$AS$4,TKB_LOP_CHECK!$B$65:$J$860,9,0),"")</f>
        <v>Toán -3C1</v>
      </c>
      <c r="AT7" s="40" t="str">
        <f>IFERROR(VLOOKUP($A$6&amp;$D$5&amp;$B7&amp;$AS$4,TKB_LOP_CHECK!$B$65:$J$860,9,0),"")</f>
        <v/>
      </c>
      <c r="AU7" s="40" t="str">
        <f>IFERROR(VLOOKUP($A$6&amp;$C$5&amp;$B7&amp;$AU$4,TKB_LOP_CHECK!$B$65:$J$860,9,0),"")</f>
        <v/>
      </c>
      <c r="AV7" s="40" t="str">
        <f>IFERROR(VLOOKUP($A$6&amp;$D$5&amp;$B7&amp;$AU$4,TKB_LOP_CHECK!$B$65:$J$860,9,0),"")</f>
        <v/>
      </c>
      <c r="AW7" s="40" t="str">
        <f>IFERROR(VLOOKUP($A$6&amp;$C$5&amp;$B7&amp;$AW$4,TKB_LOP_CHECK!$B$65:$J$860,9,0),"")</f>
        <v/>
      </c>
      <c r="AX7" s="40" t="str">
        <f>IFERROR(VLOOKUP($A$6&amp;$D$5&amp;$B7&amp;$AW$4,TKB_LOP_CHECK!$B$65:$J$860,9,0),"")</f>
        <v/>
      </c>
      <c r="AY7" s="40" t="str">
        <f>IFERROR(VLOOKUP($A$6&amp;$C$5&amp;$B7&amp;$AY$4,TKB_LOP_CHECK!$B$65:$J$860,9,0),"")</f>
        <v/>
      </c>
      <c r="AZ7" s="40" t="str">
        <f>IFERROR(VLOOKUP($A$6&amp;$D$5&amp;$B7&amp;$AY$4,TKB_LOP_CHECK!$B$65:$J$860,9,0),"")</f>
        <v/>
      </c>
      <c r="BA7" s="40" t="str">
        <f>IFERROR(VLOOKUP($A$6&amp;$C$5&amp;$B7&amp;$BA$4,TKB_LOP_CHECK!$B$65:$J$860,9,0),"")</f>
        <v/>
      </c>
      <c r="BB7" s="40" t="str">
        <f>IFERROR(VLOOKUP($A$6&amp;$D$5&amp;$B7&amp;$BA$4,TKB_LOP_CHECK!$B$65:$J$860,9,0),"")</f>
        <v/>
      </c>
      <c r="BC7" s="40" t="str">
        <f>IFERROR(VLOOKUP($A$6&amp;$C$5&amp;$B7&amp;$BC$4,TKB_LOP_CHECK!$B$65:$J$860,9,0),"")</f>
        <v/>
      </c>
      <c r="BD7" s="40" t="str">
        <f>IFERROR(VLOOKUP($A$6&amp;$D$5&amp;$B7&amp;$BC$4,TKB_LOP_CHECK!$B$65:$J$860,9,0),"")</f>
        <v/>
      </c>
      <c r="BE7" s="40" t="str">
        <f>IFERROR(VLOOKUP($A$6&amp;$C$5&amp;$B7&amp;$BE$4,TKB_LOP_CHECK!$B$65:$J$860,9,0),"")</f>
        <v/>
      </c>
      <c r="BF7" s="40" t="str">
        <f>IFERROR(VLOOKUP($A$6&amp;$D$5&amp;$B7&amp;$BE$4,TKB_LOP_CHECK!$B$65:$J$860,9,0),"")</f>
        <v/>
      </c>
      <c r="BG7" s="40" t="str">
        <f>IFERROR(VLOOKUP($A$6&amp;$C$5&amp;$B7&amp;$BG$4,TKB_LOP_CHECK!$B$65:$J$860,9,0),"")</f>
        <v/>
      </c>
      <c r="BH7" s="40" t="str">
        <f>IFERROR(VLOOKUP($A$6&amp;$D$5&amp;$B7&amp;$BG$4,TKB_LOP_CHECK!$B$65:$J$860,9,0),"")</f>
        <v/>
      </c>
      <c r="BI7" s="40" t="str">
        <f>IFERROR(VLOOKUP($A$6&amp;$C$5&amp;$B7&amp;$BI$4,TKB_LOP_CHECK!$B$65:$J$860,9,0),"")</f>
        <v/>
      </c>
      <c r="BJ7" s="40" t="str">
        <f>IFERROR(VLOOKUP($A$6&amp;$D$5&amp;$B7&amp;$BI$4,TKB_LOP_CHECK!$B$65:$J$860,9,0),"")</f>
        <v/>
      </c>
      <c r="BK7" s="40" t="str">
        <f>IFERROR(VLOOKUP($A$6&amp;$C$5&amp;$B7&amp;$BK$4,TKB_LOP_CHECK!$B$65:$J$860,9,0),"")</f>
        <v/>
      </c>
      <c r="BL7" s="40" t="str">
        <f>IFERROR(VLOOKUP($A$6&amp;$D$5&amp;$B7&amp;$BK$4,TKB_LOP_CHECK!$B$65:$J$860,9,0),"")</f>
        <v/>
      </c>
      <c r="BM7" s="40" t="str">
        <f>IFERROR(VLOOKUP($A$6&amp;$C$5&amp;$B7&amp;$BM$4,TKB_LOP_CHECK!$B$65:$J$860,9,0),"")</f>
        <v/>
      </c>
      <c r="BN7" s="40" t="str">
        <f>IFERROR(VLOOKUP($A$6&amp;$D$5&amp;$B7&amp;$BM$4,TKB_LOP_CHECK!$B$65:$J$860,9,0),"")</f>
        <v/>
      </c>
      <c r="BO7" s="40" t="str">
        <f>IFERROR(VLOOKUP($A$6&amp;$C$5&amp;$B7&amp;$BO$4,TKB_LOP_CHECK!$A$65:$J$860,10,0),"")</f>
        <v/>
      </c>
      <c r="BP7" s="40" t="str">
        <f>IFERROR(VLOOKUP($A$6&amp;$D$5&amp;$B7&amp;$BO$4,TKB_LOP_CHECK!$A$65:$J$860,10,0),"")</f>
        <v/>
      </c>
      <c r="BQ7" s="40" t="str">
        <f>IFERROR(VLOOKUP($A$6&amp;$C$5&amp;$B7&amp;$BQ$4,TKB_LOP_CHECK!$A$65:$J$860,10,0),"")</f>
        <v>GVNN -1C1</v>
      </c>
      <c r="BR7" s="40" t="str">
        <f>IFERROR(VLOOKUP($A$6&amp;$D$5&amp;$B7&amp;$BQ$4,TKB_LOP_CHECK!$A$65:$J$860,10,0),"")</f>
        <v>GVNN -5C1</v>
      </c>
      <c r="BS7" s="40" t="str">
        <f>IFERROR(VLOOKUP($A$6&amp;$C$5&amp;$B7&amp;$BS$4,TKB_LOP_CHECK!$A$65:$J$860,10,0),"")</f>
        <v/>
      </c>
      <c r="BT7" s="40" t="str">
        <f>IFERROR(VLOOKUP($A$6&amp;$D$5&amp;$B7&amp;$BS$4,TKB_LOP_CHECK!$A$65:$J$860,10,0),"")</f>
        <v/>
      </c>
      <c r="BU7" s="40" t="str">
        <f>IFERROR(VLOOKUP($A$6&amp;$C$5&amp;$B7&amp;$BU$4,TKB_LOP_CHECK!$A$65:$J$860,10,0),"")</f>
        <v/>
      </c>
      <c r="BV7" s="40" t="str">
        <f>IFERROR(VLOOKUP($A$6&amp;$D$5&amp;$B7&amp;$BU$4,TKB_LOP_CHECK!$A$65:$J$860,10,0),"")</f>
        <v/>
      </c>
    </row>
    <row r="8" spans="1:74" ht="16.7" customHeight="1" x14ac:dyDescent="0.25">
      <c r="A8" s="92"/>
      <c r="B8" s="41">
        <v>3</v>
      </c>
      <c r="C8" s="40" t="str">
        <f>IFERROR(VLOOKUP($A$6&amp;$C$5&amp;$B8&amp;$C$4,TKB_LOP_CHECK!$B$65:$J$860,9,0),"")</f>
        <v>GVNN -6A1</v>
      </c>
      <c r="D8" s="40" t="str">
        <f>IFERROR(VLOOKUP($A$6&amp;$D$5&amp;$B8&amp;$C$4,TKB_LOP_CHECK!$B$65:$J$860,9,0),"")</f>
        <v/>
      </c>
      <c r="E8" s="40" t="str">
        <f>IFERROR(VLOOKUP($A$6&amp;$C$5&amp;$B8&amp;$E$4,TKB_LOP_CHECK!$B$65:$J$860,9,0),"")</f>
        <v/>
      </c>
      <c r="F8" s="40" t="str">
        <f>IFERROR(VLOOKUP($A$6&amp;$D$5&amp;$B8&amp;$E$4,TKB_LOP_CHECK!$B$65:$J$860,9,0),"")</f>
        <v>Tiếng Trung -7A1</v>
      </c>
      <c r="G8" s="40" t="str">
        <f>IFERROR(VLOOKUP($A$6&amp;$C$5&amp;$B8&amp;$G$4,TKB_LOP_CHECK!$B$65:$J$860,9,0),"")</f>
        <v/>
      </c>
      <c r="H8" s="40" t="str">
        <f>IFERROR(VLOOKUP($A$6&amp;$D$5&amp;$B8&amp;$G$4,TKB_LOP_CHECK!$B$65:$J$860,9,0),"")</f>
        <v>GVNN -8A1</v>
      </c>
      <c r="I8" s="40" t="str">
        <f>IFERROR(VLOOKUP($A$6&amp;$C$5&amp;$B8&amp;$I$4,TKB_LOP_CHECK!$B$65:$J$860,9,0),"")</f>
        <v>Toán -5C1</v>
      </c>
      <c r="J8" s="40" t="str">
        <f>IFERROR(VLOOKUP($A$6&amp;$D$5&amp;$B8&amp;$I$4,TKB_LOP_CHECK!$B$65:$J$860,9,0),"")</f>
        <v>Toán -5C1</v>
      </c>
      <c r="K8" s="40" t="str">
        <f>IFERROR(VLOOKUP($A$6&amp;$C$5&amp;$B8&amp;$K$4,TKB_LOP_CHECK!$B$65:$J$860,9,0),"")</f>
        <v>Toán -5C1</v>
      </c>
      <c r="L8" s="40" t="str">
        <f>IFERROR(VLOOKUP($A$6&amp;$D$5&amp;$B8&amp;$K$4,TKB_LOP_CHECK!$B$65:$J$860,9,0),"")</f>
        <v>Toán -5C1</v>
      </c>
      <c r="M8" s="40" t="str">
        <f>IFERROR(VLOOKUP($A$6&amp;$C$5&amp;$B8&amp;$M$4,TKB_LOP_CHECK!$B$65:$J$860,9,0),"")</f>
        <v/>
      </c>
      <c r="N8" s="40" t="str">
        <f>IFERROR(VLOOKUP($A$6&amp;$D$5&amp;$B8&amp;$M$4,TKB_LOP_CHECK!$B$65:$J$860,9,0),"")</f>
        <v>GVVN -2A1</v>
      </c>
      <c r="O8" s="40" t="str">
        <f>IFERROR(VLOOKUP($A$6&amp;$C$5&amp;$B8&amp;$O$4,TKB_LOP_CHECK!$B$65:$J$860,9,0),"")</f>
        <v/>
      </c>
      <c r="P8" s="40" t="str">
        <f>IFERROR(VLOOKUP($A$6&amp;$D$5&amp;$B8&amp;$O$4,TKB_LOP_CHECK!$B$65:$J$860,9,0),"")</f>
        <v/>
      </c>
      <c r="Q8" s="40" t="str">
        <f>IFERROR(VLOOKUP($A$6&amp;$C$5&amp;$B8&amp;$Q$4,TKB_LOP_CHECK!$B$65:$J$860,9,0),"")</f>
        <v>GDTC -TTH2</v>
      </c>
      <c r="R8" s="40" t="str">
        <f>IFERROR(VLOOKUP($A$6&amp;$D$5&amp;$B8&amp;$Q$4,TKB_LOP_CHECK!$B$65:$J$860,9,0),"")</f>
        <v>GDTC -TTH1</v>
      </c>
      <c r="S8" s="40" t="str">
        <f>IFERROR(VLOOKUP($A$6&amp;$C$5&amp;$B8&amp;$S$4,TKB_LOP_CHECK!$B$65:$J$860,9,0),"")</f>
        <v/>
      </c>
      <c r="T8" s="40" t="str">
        <f>IFERROR(VLOOKUP($A$6&amp;$D$5&amp;$B8&amp;$S$4,TKB_LOP_CHECK!$B$65:$J$860,9,0),"")</f>
        <v>GVNN -8A1</v>
      </c>
      <c r="U8" s="40" t="str">
        <f>IFERROR(VLOOKUP($A$6&amp;$C$5&amp;$B8&amp;$U$4,TKB_LOP_CHECK!$B$65:$J$860,9,0),"")</f>
        <v/>
      </c>
      <c r="V8" s="40" t="str">
        <f>IFERROR(VLOOKUP($A$6&amp;$D$5&amp;$B8&amp;$U$4,TKB_LOP_CHECK!$B$65:$J$860,9,0),"")</f>
        <v/>
      </c>
      <c r="W8" s="40" t="str">
        <f>IFERROR(VLOOKUP($A$6&amp;$C$5&amp;$B8&amp;$W$4,TKB_LOP_CHECK!$B$65:$J$860,9,0),"")</f>
        <v/>
      </c>
      <c r="X8" s="40" t="str">
        <f>IFERROR(VLOOKUP($A$6&amp;$D$5&amp;$B8&amp;$W$4,TKB_LOP_CHECK!$B$65:$J$860,9,0),"")</f>
        <v/>
      </c>
      <c r="Y8" s="40" t="str">
        <f>IFERROR(VLOOKUP($A$6&amp;$C$5&amp;$B8&amp;$Y$4,TKB_LOP_CHECK!$B$65:$J$860,9,0),"")</f>
        <v>TViệt -3A1</v>
      </c>
      <c r="Z8" s="40" t="str">
        <f>IFERROR(VLOOKUP($A$6&amp;$D$5&amp;$B8&amp;$Y$4,TKB_LOP_CHECK!$B$65:$J$860,9,0),"")</f>
        <v/>
      </c>
      <c r="AA8" s="40" t="str">
        <f>IFERROR(VLOOKUP($A$6&amp;$C$5&amp;$B8&amp;$AA$4,TKB_LOP_CHECK!$B$65:$J$860,9,0),"")</f>
        <v/>
      </c>
      <c r="AB8" s="40" t="str">
        <f>IFERROR(VLOOKUP($A$6&amp;$D$5&amp;$B8&amp;$AA$4,TKB_LOP_CHECK!$B$65:$J$860,9,0),"")</f>
        <v>GVVN -2A1</v>
      </c>
      <c r="AC8" s="40" t="str">
        <f>IFERROR(VLOOKUP($A$6&amp;$C$5&amp;$B8&amp;$AC$4,TKB_LOP_CHECK!$B$65:$J$860,9,0),"")</f>
        <v/>
      </c>
      <c r="AD8" s="40" t="str">
        <f>IFERROR(VLOOKUP($A$6&amp;$D$5&amp;$B8&amp;$AC$4,TKB_LOP_CHECK!$B$65:$J$860,9,0),"")</f>
        <v/>
      </c>
      <c r="AE8" s="40" t="str">
        <f>IFERROR(VLOOKUP($A$6&amp;$C$5&amp;$B8&amp;$AE$4,TKB_LOP_CHECK!$B$65:$J$860,9,0),"")</f>
        <v/>
      </c>
      <c r="AF8" s="40" t="str">
        <f>IFERROR(VLOOKUP($A$6&amp;$D$5&amp;$B8&amp;$AE$4,TKB_LOP_CHECK!$B$65:$J$860,9,0),"")</f>
        <v>Science -3C1</v>
      </c>
      <c r="AG8" s="40" t="str">
        <f>IFERROR(VLOOKUP($A$6&amp;$C$5&amp;$B8&amp;$AG$4,TKB_LOP_CHECK!$B$65:$J$860,9,0),"")</f>
        <v/>
      </c>
      <c r="AH8" s="40" t="str">
        <f>IFERROR(VLOOKUP($A$6&amp;$D$5&amp;$B8&amp;$AG$4,TKB_LOP_CHECK!$B$65:$J$860,9,0),"")</f>
        <v>GVVN -2A1</v>
      </c>
      <c r="AI8" s="40" t="str">
        <f>IFERROR(VLOOKUP($A$6&amp;$C$5&amp;$B8&amp;$AI$4,TKB_LOP_CHECK!$B$65:$J$860,9,0),"")</f>
        <v/>
      </c>
      <c r="AJ8" s="40" t="str">
        <f>IFERROR(VLOOKUP($A$6&amp;$D$5&amp;$B8&amp;$AI$4,TKB_LOP_CHECK!$B$65:$J$860,9,0),"")</f>
        <v/>
      </c>
      <c r="AK8" s="40" t="str">
        <f>IFERROR(VLOOKUP($A$6&amp;$C$5&amp;$B8&amp;$AK$4,TKB_LOP_CHECK!$B$65:$J$860,9,0),"")</f>
        <v/>
      </c>
      <c r="AL8" s="40" t="str">
        <f>IFERROR(VLOOKUP($A$6&amp;$D$5&amp;$B8&amp;$AK$4,TKB_LOP_CHECK!$B$65:$J$860,9,0),"")</f>
        <v/>
      </c>
      <c r="AM8" s="40" t="str">
        <f>IFERROR(VLOOKUP($A$6&amp;$C$5&amp;$B8&amp;$AM$4,TKB_LOP_CHECK!$B$65:$J$860,9,0),"")</f>
        <v>TViệt -3C1</v>
      </c>
      <c r="AN8" s="40" t="str">
        <f>IFERROR(VLOOKUP($A$6&amp;$D$5&amp;$B8&amp;$AM$4,TKB_LOP_CHECK!$B$65:$J$860,9,0),"")</f>
        <v/>
      </c>
      <c r="AO8" s="40" t="str">
        <f>IFERROR(VLOOKUP($A$6&amp;$C$5&amp;$B8&amp;$AO$4,TKB_LOP_CHECK!$B$65:$J$860,9,0),"")</f>
        <v>TViệt -2C1</v>
      </c>
      <c r="AP8" s="40" t="str">
        <f>IFERROR(VLOOKUP($A$6&amp;$D$5&amp;$B8&amp;$AO$4,TKB_LOP_CHECK!$B$65:$J$860,9,0),"")</f>
        <v>Viết sáng tạo -2C1</v>
      </c>
      <c r="AQ8" s="40" t="str">
        <f>IFERROR(VLOOKUP($A$6&amp;$C$5&amp;$B8&amp;$AQ$4,TKB_LOP_CHECK!$B$65:$J$860,9,0),"")</f>
        <v>GVNN -6A1</v>
      </c>
      <c r="AR8" s="40" t="str">
        <f>IFERROR(VLOOKUP($A$6&amp;$D$5&amp;$B8&amp;$AQ$4,TKB_LOP_CHECK!$B$65:$J$860,9,0),"")</f>
        <v/>
      </c>
      <c r="AS8" s="40" t="str">
        <f>IFERROR(VLOOKUP($A$6&amp;$C$5&amp;$B8&amp;$AS$4,TKB_LOP_CHECK!$B$65:$J$860,9,0),"")</f>
        <v>Toán -5C1</v>
      </c>
      <c r="AT8" s="40" t="str">
        <f>IFERROR(VLOOKUP($A$6&amp;$D$5&amp;$B8&amp;$AS$4,TKB_LOP_CHECK!$B$65:$J$860,9,0),"")</f>
        <v>Toán -5C1</v>
      </c>
      <c r="AU8" s="40" t="str">
        <f>IFERROR(VLOOKUP($A$6&amp;$C$5&amp;$B8&amp;$AU$4,TKB_LOP_CHECK!$B$65:$J$860,9,0),"")</f>
        <v/>
      </c>
      <c r="AV8" s="40" t="str">
        <f>IFERROR(VLOOKUP($A$6&amp;$D$5&amp;$B8&amp;$AU$4,TKB_LOP_CHECK!$B$65:$J$860,9,0),"")</f>
        <v/>
      </c>
      <c r="AW8" s="40" t="str">
        <f>IFERROR(VLOOKUP($A$6&amp;$C$5&amp;$B8&amp;$AW$4,TKB_LOP_CHECK!$B$65:$J$860,9,0),"")</f>
        <v/>
      </c>
      <c r="AX8" s="40" t="str">
        <f>IFERROR(VLOOKUP($A$6&amp;$D$5&amp;$B8&amp;$AW$4,TKB_LOP_CHECK!$B$65:$J$860,9,0),"")</f>
        <v/>
      </c>
      <c r="AY8" s="40" t="str">
        <f>IFERROR(VLOOKUP($A$6&amp;$C$5&amp;$B8&amp;$AY$4,TKB_LOP_CHECK!$B$65:$J$860,9,0),"")</f>
        <v/>
      </c>
      <c r="AZ8" s="40" t="str">
        <f>IFERROR(VLOOKUP($A$6&amp;$D$5&amp;$B8&amp;$AY$4,TKB_LOP_CHECK!$B$65:$J$860,9,0),"")</f>
        <v/>
      </c>
      <c r="BA8" s="40" t="str">
        <f>IFERROR(VLOOKUP($A$6&amp;$C$5&amp;$B8&amp;$BA$4,TKB_LOP_CHECK!$B$65:$J$860,9,0),"")</f>
        <v/>
      </c>
      <c r="BB8" s="40" t="str">
        <f>IFERROR(VLOOKUP($A$6&amp;$D$5&amp;$B8&amp;$BA$4,TKB_LOP_CHECK!$B$65:$J$860,9,0),"")</f>
        <v/>
      </c>
      <c r="BC8" s="40" t="str">
        <f>IFERROR(VLOOKUP($A$6&amp;$C$5&amp;$B8&amp;$BC$4,TKB_LOP_CHECK!$B$65:$J$860,9,0),"")</f>
        <v/>
      </c>
      <c r="BD8" s="40" t="str">
        <f>IFERROR(VLOOKUP($A$6&amp;$D$5&amp;$B8&amp;$BC$4,TKB_LOP_CHECK!$B$65:$J$860,9,0),"")</f>
        <v/>
      </c>
      <c r="BE8" s="40" t="str">
        <f>IFERROR(VLOOKUP($A$6&amp;$C$5&amp;$B8&amp;$BE$4,TKB_LOP_CHECK!$B$65:$J$860,9,0),"")</f>
        <v/>
      </c>
      <c r="BF8" s="40" t="str">
        <f>IFERROR(VLOOKUP($A$6&amp;$D$5&amp;$B8&amp;$BE$4,TKB_LOP_CHECK!$B$65:$J$860,9,0),"")</f>
        <v/>
      </c>
      <c r="BG8" s="40" t="str">
        <f>IFERROR(VLOOKUP($A$6&amp;$C$5&amp;$B8&amp;$BG$4,TKB_LOP_CHECK!$B$65:$J$860,9,0),"")</f>
        <v/>
      </c>
      <c r="BH8" s="40" t="str">
        <f>IFERROR(VLOOKUP($A$6&amp;$D$5&amp;$B8&amp;$BG$4,TKB_LOP_CHECK!$B$65:$J$860,9,0),"")</f>
        <v/>
      </c>
      <c r="BI8" s="40" t="str">
        <f>IFERROR(VLOOKUP($A$6&amp;$C$5&amp;$B8&amp;$BI$4,TKB_LOP_CHECK!$B$65:$J$860,9,0),"")</f>
        <v/>
      </c>
      <c r="BJ8" s="40" t="str">
        <f>IFERROR(VLOOKUP($A$6&amp;$D$5&amp;$B8&amp;$BI$4,TKB_LOP_CHECK!$B$65:$J$860,9,0),"")</f>
        <v/>
      </c>
      <c r="BK8" s="40" t="str">
        <f>IFERROR(VLOOKUP($A$6&amp;$C$5&amp;$B8&amp;$BK$4,TKB_LOP_CHECK!$B$65:$J$860,9,0),"")</f>
        <v/>
      </c>
      <c r="BL8" s="40" t="str">
        <f>IFERROR(VLOOKUP($A$6&amp;$D$5&amp;$B8&amp;$BK$4,TKB_LOP_CHECK!$B$65:$J$860,9,0),"")</f>
        <v/>
      </c>
      <c r="BM8" s="40" t="str">
        <f>IFERROR(VLOOKUP($A$6&amp;$C$5&amp;$B8&amp;$BM$4,TKB_LOP_CHECK!$B$65:$J$860,9,0),"")</f>
        <v/>
      </c>
      <c r="BN8" s="40" t="str">
        <f>IFERROR(VLOOKUP($A$6&amp;$D$5&amp;$B8&amp;$BM$4,TKB_LOP_CHECK!$B$65:$J$860,9,0),"")</f>
        <v/>
      </c>
      <c r="BO8" s="40" t="str">
        <f>IFERROR(VLOOKUP($A$6&amp;$C$5&amp;$B8&amp;$BO$4,TKB_LOP_CHECK!$A$65:$J$860,10,0),"")</f>
        <v/>
      </c>
      <c r="BP8" s="40" t="str">
        <f>IFERROR(VLOOKUP($A$6&amp;$D$5&amp;$B8&amp;$BO$4,TKB_LOP_CHECK!$A$65:$J$860,10,0),"")</f>
        <v/>
      </c>
      <c r="BQ8" s="40" t="str">
        <f>IFERROR(VLOOKUP($A$6&amp;$C$5&amp;$B8&amp;$BQ$4,TKB_LOP_CHECK!$A$65:$J$860,10,0),"")</f>
        <v>GVNN -6A1</v>
      </c>
      <c r="BR8" s="40" t="str">
        <f>IFERROR(VLOOKUP($A$6&amp;$D$5&amp;$B8&amp;$BQ$4,TKB_LOP_CHECK!$A$65:$J$860,10,0),"")</f>
        <v>GVNN -8A1</v>
      </c>
      <c r="BS8" s="40" t="str">
        <f>IFERROR(VLOOKUP($A$6&amp;$C$5&amp;$B8&amp;$BS$4,TKB_LOP_CHECK!$A$65:$J$860,10,0),"")</f>
        <v/>
      </c>
      <c r="BT8" s="40" t="str">
        <f>IFERROR(VLOOKUP($A$6&amp;$D$5&amp;$B8&amp;$BS$4,TKB_LOP_CHECK!$A$65:$J$860,10,0),"")</f>
        <v/>
      </c>
      <c r="BU8" s="40" t="str">
        <f>IFERROR(VLOOKUP($A$6&amp;$C$5&amp;$B8&amp;$BU$4,TKB_LOP_CHECK!$A$65:$J$860,10,0),"")</f>
        <v/>
      </c>
      <c r="BV8" s="40" t="str">
        <f>IFERROR(VLOOKUP($A$6&amp;$D$5&amp;$B8&amp;$BU$4,TKB_LOP_CHECK!$A$65:$J$860,10,0),"")</f>
        <v/>
      </c>
    </row>
    <row r="9" spans="1:74" ht="16.7" customHeight="1" x14ac:dyDescent="0.25">
      <c r="A9" s="92"/>
      <c r="B9" s="41">
        <v>4</v>
      </c>
      <c r="C9" s="40" t="str">
        <f>IFERROR(VLOOKUP($A$6&amp;$C$5&amp;$B9&amp;$C$4,TKB_LOP_CHECK!$B$65:$J$860,9,0),"")</f>
        <v>GVVN -7A1</v>
      </c>
      <c r="D9" s="40" t="str">
        <f>IFERROR(VLOOKUP($A$6&amp;$D$5&amp;$B9&amp;$C$4,TKB_LOP_CHECK!$B$65:$J$860,9,0),"")</f>
        <v/>
      </c>
      <c r="E9" s="40" t="str">
        <f>IFERROR(VLOOKUP($A$6&amp;$C$5&amp;$B9&amp;$E$4,TKB_LOP_CHECK!$B$65:$J$860,9,0),"")</f>
        <v/>
      </c>
      <c r="F9" s="40" t="str">
        <f>IFERROR(VLOOKUP($A$6&amp;$D$5&amp;$B9&amp;$E$4,TKB_LOP_CHECK!$B$65:$J$860,9,0),"")</f>
        <v>Tiếng Trung -6A1</v>
      </c>
      <c r="G9" s="40" t="str">
        <f>IFERROR(VLOOKUP($A$6&amp;$C$5&amp;$B9&amp;$G$4,TKB_LOP_CHECK!$B$65:$J$860,9,0),"")</f>
        <v>GVNN -4C1</v>
      </c>
      <c r="H9" s="40" t="str">
        <f>IFERROR(VLOOKUP($A$6&amp;$D$5&amp;$B9&amp;$G$4,TKB_LOP_CHECK!$B$65:$J$860,9,0),"")</f>
        <v/>
      </c>
      <c r="I9" s="40" t="str">
        <f>IFERROR(VLOOKUP($A$6&amp;$C$5&amp;$B9&amp;$I$4,TKB_LOP_CHECK!$B$65:$J$860,9,0),"")</f>
        <v>Toán -3C1</v>
      </c>
      <c r="J9" s="40" t="str">
        <f>IFERROR(VLOOKUP($A$6&amp;$D$5&amp;$B9&amp;$I$4,TKB_LOP_CHECK!$B$65:$J$860,9,0),"")</f>
        <v/>
      </c>
      <c r="K9" s="40" t="str">
        <f>IFERROR(VLOOKUP($A$6&amp;$C$5&amp;$B9&amp;$K$4,TKB_LOP_CHECK!$B$65:$J$860,9,0),"")</f>
        <v>Toán -3C1</v>
      </c>
      <c r="L9" s="40" t="str">
        <f>IFERROR(VLOOKUP($A$6&amp;$D$5&amp;$B9&amp;$K$4,TKB_LOP_CHECK!$B$65:$J$860,9,0),"")</f>
        <v/>
      </c>
      <c r="M9" s="40" t="str">
        <f>IFERROR(VLOOKUP($A$6&amp;$C$5&amp;$B9&amp;$M$4,TKB_LOP_CHECK!$B$65:$J$860,9,0),"")</f>
        <v>GVVN -2A1</v>
      </c>
      <c r="N9" s="40" t="str">
        <f>IFERROR(VLOOKUP($A$6&amp;$D$5&amp;$B9&amp;$M$4,TKB_LOP_CHECK!$B$65:$J$860,9,0),"")</f>
        <v/>
      </c>
      <c r="O9" s="40" t="str">
        <f>IFERROR(VLOOKUP($A$6&amp;$C$5&amp;$B9&amp;$O$4,TKB_LOP_CHECK!$B$65:$J$860,9,0),"")</f>
        <v/>
      </c>
      <c r="P9" s="40" t="str">
        <f>IFERROR(VLOOKUP($A$6&amp;$D$5&amp;$B9&amp;$O$4,TKB_LOP_CHECK!$B$65:$J$860,9,0),"")</f>
        <v/>
      </c>
      <c r="Q9" s="40" t="str">
        <f>IFERROR(VLOOKUP($A$6&amp;$C$5&amp;$B9&amp;$Q$4,TKB_LOP_CHECK!$B$65:$J$860,9,0),"")</f>
        <v>GDTC -TTH2</v>
      </c>
      <c r="R9" s="40" t="str">
        <f>IFERROR(VLOOKUP($A$6&amp;$D$5&amp;$B9&amp;$Q$4,TKB_LOP_CHECK!$B$65:$J$860,9,0),"")</f>
        <v>GDTC -TTH1</v>
      </c>
      <c r="S9" s="40" t="str">
        <f>IFERROR(VLOOKUP($A$6&amp;$C$5&amp;$B9&amp;$S$4,TKB_LOP_CHECK!$B$65:$J$860,9,0),"")</f>
        <v>GVNN -4C1</v>
      </c>
      <c r="T9" s="40" t="str">
        <f>IFERROR(VLOOKUP($A$6&amp;$D$5&amp;$B9&amp;$S$4,TKB_LOP_CHECK!$B$65:$J$860,9,0),"")</f>
        <v/>
      </c>
      <c r="U9" s="40" t="str">
        <f>IFERROR(VLOOKUP($A$6&amp;$C$5&amp;$B9&amp;$U$4,TKB_LOP_CHECK!$B$65:$J$860,9,0),"")</f>
        <v>Văn -8A1</v>
      </c>
      <c r="V9" s="40" t="str">
        <f>IFERROR(VLOOKUP($A$6&amp;$D$5&amp;$B9&amp;$U$4,TKB_LOP_CHECK!$B$65:$J$860,9,0),"")</f>
        <v/>
      </c>
      <c r="W9" s="40" t="str">
        <f>IFERROR(VLOOKUP($A$6&amp;$C$5&amp;$B9&amp;$W$4,TKB_LOP_CHECK!$B$65:$J$860,9,0),"")</f>
        <v/>
      </c>
      <c r="X9" s="40" t="str">
        <f>IFERROR(VLOOKUP($A$6&amp;$D$5&amp;$B9&amp;$W$4,TKB_LOP_CHECK!$B$65:$J$860,9,0),"")</f>
        <v/>
      </c>
      <c r="Y9" s="40" t="str">
        <f>IFERROR(VLOOKUP($A$6&amp;$C$5&amp;$B9&amp;$Y$4,TKB_LOP_CHECK!$B$65:$J$860,9,0),"")</f>
        <v>TViệt -5C1</v>
      </c>
      <c r="Z9" s="40" t="str">
        <f>IFERROR(VLOOKUP($A$6&amp;$D$5&amp;$B9&amp;$Y$4,TKB_LOP_CHECK!$B$65:$J$860,9,0),"")</f>
        <v>TViệt -5C1</v>
      </c>
      <c r="AA9" s="40" t="str">
        <f>IFERROR(VLOOKUP($A$6&amp;$C$5&amp;$B9&amp;$AA$4,TKB_LOP_CHECK!$B$65:$J$860,9,0),"")</f>
        <v>GVVN -2A1</v>
      </c>
      <c r="AB9" s="40" t="str">
        <f>IFERROR(VLOOKUP($A$6&amp;$D$5&amp;$B9&amp;$AA$4,TKB_LOP_CHECK!$B$65:$J$860,9,0),"")</f>
        <v/>
      </c>
      <c r="AC9" s="40" t="str">
        <f>IFERROR(VLOOKUP($A$6&amp;$C$5&amp;$B9&amp;$AC$4,TKB_LOP_CHECK!$B$65:$J$860,9,0),"")</f>
        <v/>
      </c>
      <c r="AD9" s="40" t="str">
        <f>IFERROR(VLOOKUP($A$6&amp;$D$5&amp;$B9&amp;$AC$4,TKB_LOP_CHECK!$B$65:$J$860,9,0),"")</f>
        <v/>
      </c>
      <c r="AE9" s="40" t="str">
        <f>IFERROR(VLOOKUP($A$6&amp;$C$5&amp;$B9&amp;$AE$4,TKB_LOP_CHECK!$B$65:$J$860,9,0),"")</f>
        <v/>
      </c>
      <c r="AF9" s="40" t="str">
        <f>IFERROR(VLOOKUP($A$6&amp;$D$5&amp;$B9&amp;$AE$4,TKB_LOP_CHECK!$B$65:$J$860,9,0),"")</f>
        <v>GVNN -3C1</v>
      </c>
      <c r="AG9" s="40" t="str">
        <f>IFERROR(VLOOKUP($A$6&amp;$C$5&amp;$B9&amp;$AG$4,TKB_LOP_CHECK!$B$65:$J$860,9,0),"")</f>
        <v>GVVN -2A1</v>
      </c>
      <c r="AH9" s="40" t="str">
        <f>IFERROR(VLOOKUP($A$6&amp;$D$5&amp;$B9&amp;$AG$4,TKB_LOP_CHECK!$B$65:$J$860,9,0),"")</f>
        <v/>
      </c>
      <c r="AI9" s="40" t="str">
        <f>IFERROR(VLOOKUP($A$6&amp;$C$5&amp;$B9&amp;$AI$4,TKB_LOP_CHECK!$B$65:$J$860,9,0),"")</f>
        <v/>
      </c>
      <c r="AJ9" s="40" t="str">
        <f>IFERROR(VLOOKUP($A$6&amp;$D$5&amp;$B9&amp;$AI$4,TKB_LOP_CHECK!$B$65:$J$860,9,0),"")</f>
        <v/>
      </c>
      <c r="AK9" s="40" t="str">
        <f>IFERROR(VLOOKUP($A$6&amp;$C$5&amp;$B9&amp;$AK$4,TKB_LOP_CHECK!$B$65:$J$860,9,0),"")</f>
        <v/>
      </c>
      <c r="AL9" s="40" t="str">
        <f>IFERROR(VLOOKUP($A$6&amp;$D$5&amp;$B9&amp;$AK$4,TKB_LOP_CHECK!$B$65:$J$860,9,0),"")</f>
        <v/>
      </c>
      <c r="AM9" s="40" t="str">
        <f>IFERROR(VLOOKUP($A$6&amp;$C$5&amp;$B9&amp;$AM$4,TKB_LOP_CHECK!$B$65:$J$860,9,0),"")</f>
        <v/>
      </c>
      <c r="AN9" s="40" t="str">
        <f>IFERROR(VLOOKUP($A$6&amp;$D$5&amp;$B9&amp;$AM$4,TKB_LOP_CHECK!$B$65:$J$860,9,0),"")</f>
        <v>Đạo đức -4C1</v>
      </c>
      <c r="AO9" s="40" t="str">
        <f>IFERROR(VLOOKUP($A$6&amp;$C$5&amp;$B9&amp;$AO$4,TKB_LOP_CHECK!$B$65:$J$860,9,0),"")</f>
        <v>TViệt -2C1</v>
      </c>
      <c r="AP9" s="40" t="str">
        <f>IFERROR(VLOOKUP($A$6&amp;$D$5&amp;$B9&amp;$AO$4,TKB_LOP_CHECK!$B$65:$J$860,9,0),"")</f>
        <v/>
      </c>
      <c r="AQ9" s="40" t="str">
        <f>IFERROR(VLOOKUP($A$6&amp;$C$5&amp;$B9&amp;$AQ$4,TKB_LOP_CHECK!$B$65:$J$860,9,0),"")</f>
        <v>GVVN -7A1</v>
      </c>
      <c r="AR9" s="40" t="str">
        <f>IFERROR(VLOOKUP($A$6&amp;$D$5&amp;$B9&amp;$AQ$4,TKB_LOP_CHECK!$B$65:$J$860,9,0),"")</f>
        <v/>
      </c>
      <c r="AS9" s="40" t="str">
        <f>IFERROR(VLOOKUP($A$6&amp;$C$5&amp;$B9&amp;$AS$4,TKB_LOP_CHECK!$B$65:$J$860,9,0),"")</f>
        <v>Toán -3C1</v>
      </c>
      <c r="AT9" s="40" t="str">
        <f>IFERROR(VLOOKUP($A$6&amp;$D$5&amp;$B9&amp;$AS$4,TKB_LOP_CHECK!$B$65:$J$860,9,0),"")</f>
        <v/>
      </c>
      <c r="AU9" s="40" t="str">
        <f>IFERROR(VLOOKUP($A$6&amp;$C$5&amp;$B9&amp;$AU$4,TKB_LOP_CHECK!$B$65:$J$860,9,0),"")</f>
        <v/>
      </c>
      <c r="AV9" s="40" t="str">
        <f>IFERROR(VLOOKUP($A$6&amp;$D$5&amp;$B9&amp;$AU$4,TKB_LOP_CHECK!$B$65:$J$860,9,0),"")</f>
        <v/>
      </c>
      <c r="AW9" s="40" t="str">
        <f>IFERROR(VLOOKUP($A$6&amp;$C$5&amp;$B9&amp;$AW$4,TKB_LOP_CHECK!$B$65:$J$860,9,0),"")</f>
        <v/>
      </c>
      <c r="AX9" s="40" t="str">
        <f>IFERROR(VLOOKUP($A$6&amp;$D$5&amp;$B9&amp;$AW$4,TKB_LOP_CHECK!$B$65:$J$860,9,0),"")</f>
        <v/>
      </c>
      <c r="AY9" s="40" t="str">
        <f>IFERROR(VLOOKUP($A$6&amp;$C$5&amp;$B9&amp;$AY$4,TKB_LOP_CHECK!$B$65:$J$860,9,0),"")</f>
        <v/>
      </c>
      <c r="AZ9" s="40" t="str">
        <f>IFERROR(VLOOKUP($A$6&amp;$D$5&amp;$B9&amp;$AY$4,TKB_LOP_CHECK!$B$65:$J$860,9,0),"")</f>
        <v/>
      </c>
      <c r="BA9" s="40" t="str">
        <f>IFERROR(VLOOKUP($A$6&amp;$C$5&amp;$B9&amp;$BA$4,TKB_LOP_CHECK!$B$65:$J$860,9,0),"")</f>
        <v/>
      </c>
      <c r="BB9" s="40" t="str">
        <f>IFERROR(VLOOKUP($A$6&amp;$D$5&amp;$B9&amp;$BA$4,TKB_LOP_CHECK!$B$65:$J$860,9,0),"")</f>
        <v/>
      </c>
      <c r="BC9" s="40" t="str">
        <f>IFERROR(VLOOKUP($A$6&amp;$C$5&amp;$B9&amp;$BC$4,TKB_LOP_CHECK!$B$65:$J$860,9,0),"")</f>
        <v/>
      </c>
      <c r="BD9" s="40" t="str">
        <f>IFERROR(VLOOKUP($A$6&amp;$D$5&amp;$B9&amp;$BC$4,TKB_LOP_CHECK!$B$65:$J$860,9,0),"")</f>
        <v/>
      </c>
      <c r="BE9" s="40" t="str">
        <f>IFERROR(VLOOKUP($A$6&amp;$C$5&amp;$B9&amp;$BE$4,TKB_LOP_CHECK!$B$65:$J$860,9,0),"")</f>
        <v/>
      </c>
      <c r="BF9" s="40" t="str">
        <f>IFERROR(VLOOKUP($A$6&amp;$D$5&amp;$B9&amp;$BE$4,TKB_LOP_CHECK!$B$65:$J$860,9,0),"")</f>
        <v/>
      </c>
      <c r="BG9" s="40" t="str">
        <f>IFERROR(VLOOKUP($A$6&amp;$C$5&amp;$B9&amp;$BG$4,TKB_LOP_CHECK!$B$65:$J$860,9,0),"")</f>
        <v/>
      </c>
      <c r="BH9" s="40" t="str">
        <f>IFERROR(VLOOKUP($A$6&amp;$D$5&amp;$B9&amp;$BG$4,TKB_LOP_CHECK!$B$65:$J$860,9,0),"")</f>
        <v/>
      </c>
      <c r="BI9" s="40" t="str">
        <f>IFERROR(VLOOKUP($A$6&amp;$C$5&amp;$B9&amp;$BI$4,TKB_LOP_CHECK!$B$65:$J$860,9,0),"")</f>
        <v/>
      </c>
      <c r="BJ9" s="40" t="str">
        <f>IFERROR(VLOOKUP($A$6&amp;$D$5&amp;$B9&amp;$BI$4,TKB_LOP_CHECK!$B$65:$J$860,9,0),"")</f>
        <v/>
      </c>
      <c r="BK9" s="40" t="str">
        <f>IFERROR(VLOOKUP($A$6&amp;$C$5&amp;$B9&amp;$BK$4,TKB_LOP_CHECK!$B$65:$J$860,9,0),"")</f>
        <v/>
      </c>
      <c r="BL9" s="40" t="str">
        <f>IFERROR(VLOOKUP($A$6&amp;$D$5&amp;$B9&amp;$BK$4,TKB_LOP_CHECK!$B$65:$J$860,9,0),"")</f>
        <v/>
      </c>
      <c r="BM9" s="40" t="str">
        <f>IFERROR(VLOOKUP($A$6&amp;$C$5&amp;$B9&amp;$BM$4,TKB_LOP_CHECK!$B$65:$J$860,9,0),"")</f>
        <v/>
      </c>
      <c r="BN9" s="40" t="str">
        <f>IFERROR(VLOOKUP($A$6&amp;$D$5&amp;$B9&amp;$BM$4,TKB_LOP_CHECK!$B$65:$J$860,9,0),"")</f>
        <v/>
      </c>
      <c r="BO9" s="40" t="str">
        <f>IFERROR(VLOOKUP($A$6&amp;$C$5&amp;$B9&amp;$BO$4,TKB_LOP_CHECK!$A$65:$J$860,10,0),"")</f>
        <v/>
      </c>
      <c r="BP9" s="40" t="str">
        <f>IFERROR(VLOOKUP($A$6&amp;$D$5&amp;$B9&amp;$BO$4,TKB_LOP_CHECK!$A$65:$J$860,10,0),"")</f>
        <v/>
      </c>
      <c r="BQ9" s="40" t="str">
        <f>IFERROR(VLOOKUP($A$6&amp;$C$5&amp;$B9&amp;$BQ$4,TKB_LOP_CHECK!$A$65:$J$860,10,0),"")</f>
        <v>GVNN -4C1</v>
      </c>
      <c r="BR9" s="40" t="str">
        <f>IFERROR(VLOOKUP($A$6&amp;$D$5&amp;$B9&amp;$BQ$4,TKB_LOP_CHECK!$A$65:$J$860,10,0),"")</f>
        <v>GVNN -3C1</v>
      </c>
      <c r="BS9" s="40" t="str">
        <f>IFERROR(VLOOKUP($A$6&amp;$C$5&amp;$B9&amp;$BS$4,TKB_LOP_CHECK!$A$65:$J$860,10,0),"")</f>
        <v/>
      </c>
      <c r="BT9" s="40" t="str">
        <f>IFERROR(VLOOKUP($A$6&amp;$D$5&amp;$B9&amp;$BS$4,TKB_LOP_CHECK!$A$65:$J$860,10,0),"")</f>
        <v/>
      </c>
      <c r="BU9" s="40" t="str">
        <f>IFERROR(VLOOKUP($A$6&amp;$C$5&amp;$B9&amp;$BU$4,TKB_LOP_CHECK!$A$65:$J$860,10,0),"")</f>
        <v/>
      </c>
      <c r="BV9" s="40" t="str">
        <f>IFERROR(VLOOKUP($A$6&amp;$D$5&amp;$B9&amp;$BU$4,TKB_LOP_CHECK!$A$65:$J$860,10,0),"")</f>
        <v/>
      </c>
    </row>
    <row r="10" spans="1:74" ht="16.7" customHeight="1" x14ac:dyDescent="0.25">
      <c r="A10" s="93"/>
      <c r="B10" s="42">
        <v>5</v>
      </c>
      <c r="C10" s="40" t="str">
        <f>IFERROR(VLOOKUP($A$6&amp;$C$5&amp;$B10&amp;$C$4,TKB_LOP_CHECK!$B$65:$J$860,9,0),"")</f>
        <v>GVVN -7A1</v>
      </c>
      <c r="D10" s="40" t="str">
        <f>IFERROR(VLOOKUP($A$6&amp;$D$5&amp;$B10&amp;$C$4,TKB_LOP_CHECK!$B$65:$J$860,9,0),"")</f>
        <v/>
      </c>
      <c r="E10" s="40" t="str">
        <f>IFERROR(VLOOKUP($A$6&amp;$C$5&amp;$B10&amp;$E$4,TKB_LOP_CHECK!$B$65:$J$860,9,0),"")</f>
        <v/>
      </c>
      <c r="F10" s="40" t="str">
        <f>IFERROR(VLOOKUP($A$6&amp;$D$5&amp;$B10&amp;$E$4,TKB_LOP_CHECK!$B$65:$J$860,9,0),"")</f>
        <v/>
      </c>
      <c r="G10" s="40" t="str">
        <f>IFERROR(VLOOKUP($A$6&amp;$C$5&amp;$B10&amp;$G$4,TKB_LOP_CHECK!$B$65:$J$860,9,0),"")</f>
        <v/>
      </c>
      <c r="H10" s="40" t="str">
        <f>IFERROR(VLOOKUP($A$6&amp;$D$5&amp;$B10&amp;$G$4,TKB_LOP_CHECK!$B$65:$J$860,9,0),"")</f>
        <v/>
      </c>
      <c r="I10" s="40" t="str">
        <f>IFERROR(VLOOKUP($A$6&amp;$C$5&amp;$B10&amp;$I$4,TKB_LOP_CHECK!$B$65:$J$860,9,0),"")</f>
        <v/>
      </c>
      <c r="J10" s="40" t="str">
        <f>IFERROR(VLOOKUP($A$6&amp;$D$5&amp;$B10&amp;$I$4,TKB_LOP_CHECK!$B$65:$J$860,9,0),"")</f>
        <v/>
      </c>
      <c r="K10" s="40" t="str">
        <f>IFERROR(VLOOKUP($A$6&amp;$C$5&amp;$B10&amp;$K$4,TKB_LOP_CHECK!$B$65:$J$860,9,0),"")</f>
        <v/>
      </c>
      <c r="L10" s="40" t="str">
        <f>IFERROR(VLOOKUP($A$6&amp;$D$5&amp;$B10&amp;$K$4,TKB_LOP_CHECK!$B$65:$J$860,9,0),"")</f>
        <v/>
      </c>
      <c r="M10" s="40" t="str">
        <f>IFERROR(VLOOKUP($A$6&amp;$C$5&amp;$B10&amp;$M$4,TKB_LOP_CHECK!$B$65:$J$860,9,0),"")</f>
        <v/>
      </c>
      <c r="N10" s="40" t="str">
        <f>IFERROR(VLOOKUP($A$6&amp;$D$5&amp;$B10&amp;$M$4,TKB_LOP_CHECK!$B$65:$J$860,9,0),"")</f>
        <v/>
      </c>
      <c r="O10" s="40" t="str">
        <f>IFERROR(VLOOKUP($A$6&amp;$C$5&amp;$B10&amp;$O$4,TKB_LOP_CHECK!$B$65:$J$860,9,0),"")</f>
        <v/>
      </c>
      <c r="P10" s="40" t="str">
        <f>IFERROR(VLOOKUP($A$6&amp;$D$5&amp;$B10&amp;$O$4,TKB_LOP_CHECK!$B$65:$J$860,9,0),"")</f>
        <v/>
      </c>
      <c r="Q10" s="40" t="str">
        <f>IFERROR(VLOOKUP($A$6&amp;$C$5&amp;$B10&amp;$Q$4,TKB_LOP_CHECK!$B$65:$J$860,9,0),"")</f>
        <v/>
      </c>
      <c r="R10" s="40" t="str">
        <f>IFERROR(VLOOKUP($A$6&amp;$D$5&amp;$B10&amp;$Q$4,TKB_LOP_CHECK!$B$65:$J$860,9,0),"")</f>
        <v/>
      </c>
      <c r="S10" s="40" t="str">
        <f>IFERROR(VLOOKUP($A$6&amp;$C$5&amp;$B10&amp;$S$4,TKB_LOP_CHECK!$B$65:$J$860,9,0),"")</f>
        <v/>
      </c>
      <c r="T10" s="40" t="str">
        <f>IFERROR(VLOOKUP($A$6&amp;$D$5&amp;$B10&amp;$S$4,TKB_LOP_CHECK!$B$65:$J$860,9,0),"")</f>
        <v/>
      </c>
      <c r="U10" s="40" t="str">
        <f>IFERROR(VLOOKUP($A$6&amp;$C$5&amp;$B10&amp;$U$4,TKB_LOP_CHECK!$B$65:$J$860,9,0),"")</f>
        <v>Văn -8A1</v>
      </c>
      <c r="V10" s="40" t="str">
        <f>IFERROR(VLOOKUP($A$6&amp;$D$5&amp;$B10&amp;$U$4,TKB_LOP_CHECK!$B$65:$J$860,9,0),"")</f>
        <v/>
      </c>
      <c r="W10" s="40" t="str">
        <f>IFERROR(VLOOKUP($A$6&amp;$C$5&amp;$B10&amp;$W$4,TKB_LOP_CHECK!$B$65:$J$860,9,0),"")</f>
        <v/>
      </c>
      <c r="X10" s="40" t="str">
        <f>IFERROR(VLOOKUP($A$6&amp;$D$5&amp;$B10&amp;$W$4,TKB_LOP_CHECK!$B$65:$J$860,9,0),"")</f>
        <v/>
      </c>
      <c r="Y10" s="40" t="str">
        <f>IFERROR(VLOOKUP($A$6&amp;$C$5&amp;$B10&amp;$Y$4,TKB_LOP_CHECK!$B$65:$J$860,9,0),"")</f>
        <v/>
      </c>
      <c r="Z10" s="40" t="str">
        <f>IFERROR(VLOOKUP($A$6&amp;$D$5&amp;$B10&amp;$Y$4,TKB_LOP_CHECK!$B$65:$J$860,9,0),"")</f>
        <v/>
      </c>
      <c r="AA10" s="40" t="str">
        <f>IFERROR(VLOOKUP($A$6&amp;$C$5&amp;$B10&amp;$AA$4,TKB_LOP_CHECK!$B$65:$J$860,9,0),"")</f>
        <v/>
      </c>
      <c r="AB10" s="40" t="str">
        <f>IFERROR(VLOOKUP($A$6&amp;$D$5&amp;$B10&amp;$AA$4,TKB_LOP_CHECK!$B$65:$J$860,9,0),"")</f>
        <v/>
      </c>
      <c r="AC10" s="40" t="str">
        <f>IFERROR(VLOOKUP($A$6&amp;$C$5&amp;$B10&amp;$AC$4,TKB_LOP_CHECK!$B$65:$J$860,9,0),"")</f>
        <v/>
      </c>
      <c r="AD10" s="40" t="str">
        <f>IFERROR(VLOOKUP($A$6&amp;$D$5&amp;$B10&amp;$AC$4,TKB_LOP_CHECK!$B$65:$J$860,9,0),"")</f>
        <v/>
      </c>
      <c r="AE10" s="40" t="str">
        <f>IFERROR(VLOOKUP($A$6&amp;$C$5&amp;$B10&amp;$AE$4,TKB_LOP_CHECK!$B$65:$J$860,9,0),"")</f>
        <v/>
      </c>
      <c r="AF10" s="40" t="str">
        <f>IFERROR(VLOOKUP($A$6&amp;$D$5&amp;$B10&amp;$AE$4,TKB_LOP_CHECK!$B$65:$J$860,9,0),"")</f>
        <v/>
      </c>
      <c r="AG10" s="40" t="str">
        <f>IFERROR(VLOOKUP($A$6&amp;$C$5&amp;$B10&amp;$AG$4,TKB_LOP_CHECK!$B$65:$J$860,9,0),"")</f>
        <v/>
      </c>
      <c r="AH10" s="40" t="str">
        <f>IFERROR(VLOOKUP($A$6&amp;$D$5&amp;$B10&amp;$AG$4,TKB_LOP_CHECK!$B$65:$J$860,9,0),"")</f>
        <v/>
      </c>
      <c r="AI10" s="40" t="str">
        <f>IFERROR(VLOOKUP($A$6&amp;$C$5&amp;$B10&amp;$AI$4,TKB_LOP_CHECK!$B$65:$J$860,9,0),"")</f>
        <v/>
      </c>
      <c r="AJ10" s="40" t="str">
        <f>IFERROR(VLOOKUP($A$6&amp;$D$5&amp;$B10&amp;$AI$4,TKB_LOP_CHECK!$B$65:$J$860,9,0),"")</f>
        <v/>
      </c>
      <c r="AK10" s="40" t="str">
        <f>IFERROR(VLOOKUP($A$6&amp;$C$5&amp;$B10&amp;$AK$4,TKB_LOP_CHECK!$B$65:$J$860,9,0),"")</f>
        <v/>
      </c>
      <c r="AL10" s="40" t="str">
        <f>IFERROR(VLOOKUP($A$6&amp;$D$5&amp;$B10&amp;$AK$4,TKB_LOP_CHECK!$B$65:$J$860,9,0),"")</f>
        <v/>
      </c>
      <c r="AM10" s="40" t="str">
        <f>IFERROR(VLOOKUP($A$6&amp;$C$5&amp;$B10&amp;$AM$4,TKB_LOP_CHECK!$B$65:$J$860,9,0),"")</f>
        <v/>
      </c>
      <c r="AN10" s="40" t="str">
        <f>IFERROR(VLOOKUP($A$6&amp;$D$5&amp;$B10&amp;$AM$4,TKB_LOP_CHECK!$B$65:$J$860,9,0),"")</f>
        <v/>
      </c>
      <c r="AO10" s="40" t="str">
        <f>IFERROR(VLOOKUP($A$6&amp;$C$5&amp;$B10&amp;$AO$4,TKB_LOP_CHECK!$B$65:$J$860,9,0),"")</f>
        <v/>
      </c>
      <c r="AP10" s="40" t="str">
        <f>IFERROR(VLOOKUP($A$6&amp;$D$5&amp;$B10&amp;$AO$4,TKB_LOP_CHECK!$B$65:$J$860,9,0),"")</f>
        <v/>
      </c>
      <c r="AQ10" s="40" t="str">
        <f>IFERROR(VLOOKUP($A$6&amp;$C$5&amp;$B10&amp;$AQ$4,TKB_LOP_CHECK!$B$65:$J$860,9,0),"")</f>
        <v>GVVN -7A1</v>
      </c>
      <c r="AR10" s="40" t="str">
        <f>IFERROR(VLOOKUP($A$6&amp;$D$5&amp;$B10&amp;$AQ$4,TKB_LOP_CHECK!$B$65:$J$860,9,0),"")</f>
        <v/>
      </c>
      <c r="AS10" s="40" t="str">
        <f>IFERROR(VLOOKUP($A$6&amp;$C$5&amp;$B10&amp;$AS$4,TKB_LOP_CHECK!$B$65:$J$860,9,0),"")</f>
        <v/>
      </c>
      <c r="AT10" s="40" t="str">
        <f>IFERROR(VLOOKUP($A$6&amp;$D$5&amp;$B10&amp;$AS$4,TKB_LOP_CHECK!$B$65:$J$860,9,0),"")</f>
        <v/>
      </c>
      <c r="AU10" s="40" t="str">
        <f>IFERROR(VLOOKUP($A$6&amp;$C$5&amp;$B10&amp;$AU$4,TKB_LOP_CHECK!$B$65:$J$860,9,0),"")</f>
        <v/>
      </c>
      <c r="AV10" s="40" t="str">
        <f>IFERROR(VLOOKUP($A$6&amp;$D$5&amp;$B10&amp;$AU$4,TKB_LOP_CHECK!$B$65:$J$860,9,0),"")</f>
        <v/>
      </c>
      <c r="AW10" s="40" t="str">
        <f>IFERROR(VLOOKUP($A$6&amp;$C$5&amp;$B10&amp;$AW$4,TKB_LOP_CHECK!$B$65:$J$860,9,0),"")</f>
        <v/>
      </c>
      <c r="AX10" s="40" t="str">
        <f>IFERROR(VLOOKUP($A$6&amp;$D$5&amp;$B10&amp;$AW$4,TKB_LOP_CHECK!$B$65:$J$860,9,0),"")</f>
        <v/>
      </c>
      <c r="AY10" s="40" t="str">
        <f>IFERROR(VLOOKUP($A$6&amp;$C$5&amp;$B10&amp;$AY$4,TKB_LOP_CHECK!$B$65:$J$860,9,0),"")</f>
        <v/>
      </c>
      <c r="AZ10" s="40" t="str">
        <f>IFERROR(VLOOKUP($A$6&amp;$D$5&amp;$B10&amp;$AY$4,TKB_LOP_CHECK!$B$65:$J$860,9,0),"")</f>
        <v/>
      </c>
      <c r="BA10" s="40" t="str">
        <f>IFERROR(VLOOKUP($A$6&amp;$C$5&amp;$B10&amp;$BA$4,TKB_LOP_CHECK!$B$65:$J$860,9,0),"")</f>
        <v/>
      </c>
      <c r="BB10" s="40" t="str">
        <f>IFERROR(VLOOKUP($A$6&amp;$D$5&amp;$B10&amp;$BA$4,TKB_LOP_CHECK!$B$65:$J$860,9,0),"")</f>
        <v/>
      </c>
      <c r="BC10" s="40" t="str">
        <f>IFERROR(VLOOKUP($A$6&amp;$C$5&amp;$B10&amp;$BC$4,TKB_LOP_CHECK!$B$65:$J$860,9,0),"")</f>
        <v/>
      </c>
      <c r="BD10" s="40" t="str">
        <f>IFERROR(VLOOKUP($A$6&amp;$D$5&amp;$B10&amp;$BC$4,TKB_LOP_CHECK!$B$65:$J$860,9,0),"")</f>
        <v/>
      </c>
      <c r="BE10" s="40" t="str">
        <f>IFERROR(VLOOKUP($A$6&amp;$C$5&amp;$B10&amp;$BE$4,TKB_LOP_CHECK!$B$65:$J$860,9,0),"")</f>
        <v/>
      </c>
      <c r="BF10" s="40" t="str">
        <f>IFERROR(VLOOKUP($A$6&amp;$D$5&amp;$B10&amp;$BE$4,TKB_LOP_CHECK!$B$65:$J$860,9,0),"")</f>
        <v/>
      </c>
      <c r="BG10" s="40" t="str">
        <f>IFERROR(VLOOKUP($A$6&amp;$C$5&amp;$B10&amp;$BG$4,TKB_LOP_CHECK!$B$65:$J$860,9,0),"")</f>
        <v/>
      </c>
      <c r="BH10" s="40" t="str">
        <f>IFERROR(VLOOKUP($A$6&amp;$D$5&amp;$B10&amp;$BG$4,TKB_LOP_CHECK!$B$65:$J$860,9,0),"")</f>
        <v/>
      </c>
      <c r="BI10" s="40" t="str">
        <f>IFERROR(VLOOKUP($A$6&amp;$C$5&amp;$B10&amp;$BI$4,TKB_LOP_CHECK!$B$65:$J$860,9,0),"")</f>
        <v/>
      </c>
      <c r="BJ10" s="40" t="str">
        <f>IFERROR(VLOOKUP($A$6&amp;$D$5&amp;$B10&amp;$BI$4,TKB_LOP_CHECK!$B$65:$J$860,9,0),"")</f>
        <v/>
      </c>
      <c r="BK10" s="40" t="str">
        <f>IFERROR(VLOOKUP($A$6&amp;$C$5&amp;$B10&amp;$BK$4,TKB_LOP_CHECK!$B$65:$J$860,9,0),"")</f>
        <v/>
      </c>
      <c r="BL10" s="40" t="str">
        <f>IFERROR(VLOOKUP($A$6&amp;$D$5&amp;$B10&amp;$BK$4,TKB_LOP_CHECK!$B$65:$J$860,9,0),"")</f>
        <v/>
      </c>
      <c r="BM10" s="40" t="str">
        <f>IFERROR(VLOOKUP($A$6&amp;$C$5&amp;$B10&amp;$BM$4,TKB_LOP_CHECK!$B$65:$J$860,9,0),"")</f>
        <v/>
      </c>
      <c r="BN10" s="40" t="str">
        <f>IFERROR(VLOOKUP($A$6&amp;$D$5&amp;$B10&amp;$BM$4,TKB_LOP_CHECK!$B$65:$J$860,9,0),"")</f>
        <v/>
      </c>
      <c r="BO10" s="40" t="str">
        <f>IFERROR(VLOOKUP($A$6&amp;$C$5&amp;$B10&amp;$BO$4,TKB_LOP_CHECK!$A$65:$J$860,10,0),"")</f>
        <v/>
      </c>
      <c r="BP10" s="40" t="str">
        <f>IFERROR(VLOOKUP($A$6&amp;$D$5&amp;$B10&amp;$BO$4,TKB_LOP_CHECK!$A$65:$J$860,10,0),"")</f>
        <v/>
      </c>
      <c r="BQ10" s="40" t="str">
        <f>IFERROR(VLOOKUP($A$6&amp;$C$5&amp;$B10&amp;$BQ$4,TKB_LOP_CHECK!$A$65:$J$860,10,0),"")</f>
        <v/>
      </c>
      <c r="BR10" s="40" t="str">
        <f>IFERROR(VLOOKUP($A$6&amp;$D$5&amp;$B10&amp;$BQ$4,TKB_LOP_CHECK!$A$65:$J$860,10,0),"")</f>
        <v/>
      </c>
      <c r="BS10" s="40" t="str">
        <f>IFERROR(VLOOKUP($A$6&amp;$C$5&amp;$B10&amp;$BS$4,TKB_LOP_CHECK!$A$65:$J$860,10,0),"")</f>
        <v/>
      </c>
      <c r="BT10" s="40" t="str">
        <f>IFERROR(VLOOKUP($A$6&amp;$D$5&amp;$B10&amp;$BS$4,TKB_LOP_CHECK!$A$65:$J$860,10,0),"")</f>
        <v/>
      </c>
      <c r="BU10" s="40" t="str">
        <f>IFERROR(VLOOKUP($A$6&amp;$C$5&amp;$B10&amp;$BU$4,TKB_LOP_CHECK!$A$65:$J$860,10,0),"")</f>
        <v/>
      </c>
      <c r="BV10" s="40" t="str">
        <f>IFERROR(VLOOKUP($A$6&amp;$D$5&amp;$B10&amp;$BU$4,TKB_LOP_CHECK!$A$65:$J$860,10,0),"")</f>
        <v/>
      </c>
    </row>
    <row r="11" spans="1:74" ht="16.7" customHeight="1" x14ac:dyDescent="0.25">
      <c r="A11" s="94">
        <v>3</v>
      </c>
      <c r="B11" s="39">
        <v>1</v>
      </c>
      <c r="C11" s="40" t="str">
        <f>IFERROR(VLOOKUP($A$11&amp;$C$5&amp;$B11&amp;$C$4,TKB_LOP_CHECK!$B$65:$J$860,9,0),"")</f>
        <v>GVNN -7A1</v>
      </c>
      <c r="D11" s="40" t="str">
        <f>IFERROR(VLOOKUP($A$11&amp;$D$5&amp;$B11&amp;$C$4,TKB_LOP_CHECK!$B$65:$J$860,9,0),"")</f>
        <v>GVNN -7A1</v>
      </c>
      <c r="E11" s="40" t="str">
        <f>IFERROR(VLOOKUP($A$11&amp;$C$5&amp;$B11&amp;$E$4,TKB_LOP_CHECK!$B$65:$J$860,9,0),"")</f>
        <v/>
      </c>
      <c r="F11" s="40" t="str">
        <f>IFERROR(VLOOKUP($A$11&amp;$D$5&amp;$B11&amp;$E$4,TKB_LOP_CHECK!$B$65:$J$860,9,0),"")</f>
        <v/>
      </c>
      <c r="G11" s="40" t="str">
        <f>IFERROR(VLOOKUP($A$11&amp;$C$5&amp;$B11&amp;$G$4,TKB_LOP_CHECK!$B$65:$J$860,9,0),"")</f>
        <v/>
      </c>
      <c r="H11" s="40" t="str">
        <f>IFERROR(VLOOKUP($A$11&amp;$D$5&amp;$B11&amp;$G$4,TKB_LOP_CHECK!$B$65:$J$860,9,0),"")</f>
        <v>GVVN -4C1</v>
      </c>
      <c r="I11" s="40" t="str">
        <f>IFERROR(VLOOKUP($A$11&amp;$C$5&amp;$B11&amp;$I$4,TKB_LOP_CHECK!$B$65:$J$860,9,0),"")</f>
        <v>Toán -2C1</v>
      </c>
      <c r="J11" s="40" t="str">
        <f>IFERROR(VLOOKUP($A$11&amp;$D$5&amp;$B11&amp;$I$4,TKB_LOP_CHECK!$B$65:$J$860,9,0),"")</f>
        <v>Toán -3C1</v>
      </c>
      <c r="K11" s="40" t="str">
        <f>IFERROR(VLOOKUP($A$11&amp;$C$5&amp;$B11&amp;$K$4,TKB_LOP_CHECK!$B$65:$J$860,9,0),"")</f>
        <v>Toán -2C1</v>
      </c>
      <c r="L11" s="40" t="str">
        <f>IFERROR(VLOOKUP($A$11&amp;$D$5&amp;$B11&amp;$K$4,TKB_LOP_CHECK!$B$65:$J$860,9,0),"")</f>
        <v>Toán -3C1</v>
      </c>
      <c r="M11" s="40" t="str">
        <f>IFERROR(VLOOKUP($A$11&amp;$C$5&amp;$B11&amp;$M$4,TKB_LOP_CHECK!$B$65:$J$860,9,0),"")</f>
        <v/>
      </c>
      <c r="N11" s="40" t="str">
        <f>IFERROR(VLOOKUP($A$11&amp;$D$5&amp;$B11&amp;$M$4,TKB_LOP_CHECK!$B$65:$J$860,9,0),"")</f>
        <v/>
      </c>
      <c r="O11" s="40" t="str">
        <f>IFERROR(VLOOKUP($A$11&amp;$C$5&amp;$B11&amp;$O$4,TKB_LOP_CHECK!$B$65:$J$860,9,0),"")</f>
        <v>Toán -TTH1</v>
      </c>
      <c r="P11" s="40" t="str">
        <f>IFERROR(VLOOKUP($A$11&amp;$D$5&amp;$B11&amp;$O$4,TKB_LOP_CHECK!$B$65:$J$860,9,0),"")</f>
        <v>HĐ tự chọn -TTH1</v>
      </c>
      <c r="Q11" s="40" t="str">
        <f>IFERROR(VLOOKUP($A$11&amp;$C$5&amp;$B11&amp;$Q$4,TKB_LOP_CHECK!$B$65:$J$860,9,0),"")</f>
        <v>GDTC -3C1</v>
      </c>
      <c r="R11" s="40" t="str">
        <f>IFERROR(VLOOKUP($A$11&amp;$D$5&amp;$B11&amp;$Q$4,TKB_LOP_CHECK!$B$65:$J$860,9,0),"")</f>
        <v/>
      </c>
      <c r="S11" s="40" t="str">
        <f>IFERROR(VLOOKUP($A$11&amp;$C$5&amp;$B11&amp;$S$4,TKB_LOP_CHECK!$B$65:$J$860,9,0),"")</f>
        <v/>
      </c>
      <c r="T11" s="40" t="str">
        <f>IFERROR(VLOOKUP($A$11&amp;$D$5&amp;$B11&amp;$S$4,TKB_LOP_CHECK!$B$65:$J$860,9,0),"")</f>
        <v>GVVN -4C1</v>
      </c>
      <c r="U11" s="40" t="str">
        <f>IFERROR(VLOOKUP($A$11&amp;$C$5&amp;$B11&amp;$U$4,TKB_LOP_CHECK!$B$65:$J$860,9,0),"")</f>
        <v/>
      </c>
      <c r="V11" s="40" t="str">
        <f>IFERROR(VLOOKUP($A$11&amp;$D$5&amp;$B11&amp;$U$4,TKB_LOP_CHECK!$B$65:$J$860,9,0),"")</f>
        <v/>
      </c>
      <c r="W11" s="40" t="str">
        <f>IFERROR(VLOOKUP($A$11&amp;$C$5&amp;$B11&amp;$W$4,TKB_LOP_CHECK!$B$65:$J$860,9,0),"")</f>
        <v/>
      </c>
      <c r="X11" s="40" t="str">
        <f>IFERROR(VLOOKUP($A$11&amp;$D$5&amp;$B11&amp;$W$4,TKB_LOP_CHECK!$B$65:$J$860,9,0),"")</f>
        <v/>
      </c>
      <c r="Y11" s="40" t="str">
        <f>IFERROR(VLOOKUP($A$11&amp;$C$5&amp;$B11&amp;$Y$4,TKB_LOP_CHECK!$B$65:$J$860,9,0),"")</f>
        <v/>
      </c>
      <c r="Z11" s="40" t="str">
        <f>IFERROR(VLOOKUP($A$11&amp;$D$5&amp;$B11&amp;$Y$4,TKB_LOP_CHECK!$B$65:$J$860,9,0),"")</f>
        <v>TViệt -5C1</v>
      </c>
      <c r="AA11" s="40" t="str">
        <f>IFERROR(VLOOKUP($A$11&amp;$C$5&amp;$B11&amp;$AA$4,TKB_LOP_CHECK!$B$65:$J$860,9,0),"")</f>
        <v/>
      </c>
      <c r="AB11" s="40" t="str">
        <f>IFERROR(VLOOKUP($A$11&amp;$D$5&amp;$B11&amp;$AA$4,TKB_LOP_CHECK!$B$65:$J$860,9,0),"")</f>
        <v/>
      </c>
      <c r="AC11" s="40" t="str">
        <f>IFERROR(VLOOKUP($A$11&amp;$C$5&amp;$B11&amp;$AC$4,TKB_LOP_CHECK!$B$65:$J$860,9,0),"")</f>
        <v/>
      </c>
      <c r="AD11" s="40" t="str">
        <f>IFERROR(VLOOKUP($A$11&amp;$D$5&amp;$B11&amp;$AC$4,TKB_LOP_CHECK!$B$65:$J$860,9,0),"")</f>
        <v/>
      </c>
      <c r="AE11" s="40" t="str">
        <f>IFERROR(VLOOKUP($A$11&amp;$C$5&amp;$B11&amp;$AE$4,TKB_LOP_CHECK!$B$65:$J$860,9,0),"")</f>
        <v>GVNN -5C1</v>
      </c>
      <c r="AF11" s="40" t="str">
        <f>IFERROR(VLOOKUP($A$11&amp;$D$5&amp;$B11&amp;$AE$4,TKB_LOP_CHECK!$B$65:$J$860,9,0),"")</f>
        <v/>
      </c>
      <c r="AG11" s="40" t="str">
        <f>IFERROR(VLOOKUP($A$11&amp;$C$5&amp;$B11&amp;$AG$4,TKB_LOP_CHECK!$B$65:$J$860,9,0),"")</f>
        <v/>
      </c>
      <c r="AH11" s="40" t="str">
        <f>IFERROR(VLOOKUP($A$11&amp;$D$5&amp;$B11&amp;$AG$4,TKB_LOP_CHECK!$B$65:$J$860,9,0),"")</f>
        <v/>
      </c>
      <c r="AI11" s="40" t="str">
        <f>IFERROR(VLOOKUP($A$11&amp;$C$5&amp;$B11&amp;$AI$4,TKB_LOP_CHECK!$B$65:$J$860,9,0),"")</f>
        <v>KHTN -6A1</v>
      </c>
      <c r="AJ11" s="40" t="str">
        <f>IFERROR(VLOOKUP($A$11&amp;$D$5&amp;$B11&amp;$AI$4,TKB_LOP_CHECK!$B$65:$J$860,9,0),"")</f>
        <v>KHTN -8A1</v>
      </c>
      <c r="AK11" s="40" t="str">
        <f>IFERROR(VLOOKUP($A$11&amp;$C$5&amp;$B11&amp;$AK$4,TKB_LOP_CHECK!$B$65:$J$860,9,0),"")</f>
        <v/>
      </c>
      <c r="AL11" s="40" t="str">
        <f>IFERROR(VLOOKUP($A$11&amp;$D$5&amp;$B11&amp;$AK$4,TKB_LOP_CHECK!$B$65:$J$860,9,0),"")</f>
        <v/>
      </c>
      <c r="AM11" s="40" t="str">
        <f>IFERROR(VLOOKUP($A$11&amp;$C$5&amp;$B11&amp;$AM$4,TKB_LOP_CHECK!$B$65:$J$860,9,0),"")</f>
        <v/>
      </c>
      <c r="AN11" s="40" t="str">
        <f>IFERROR(VLOOKUP($A$11&amp;$D$5&amp;$B11&amp;$AM$4,TKB_LOP_CHECK!$B$65:$J$860,9,0),"")</f>
        <v/>
      </c>
      <c r="AO11" s="40" t="str">
        <f>IFERROR(VLOOKUP($A$11&amp;$C$5&amp;$B11&amp;$AO$4,TKB_LOP_CHECK!$B$65:$J$860,9,0),"")</f>
        <v/>
      </c>
      <c r="AP11" s="40" t="str">
        <f>IFERROR(VLOOKUP($A$11&amp;$D$5&amp;$B11&amp;$AO$4,TKB_LOP_CHECK!$B$65:$J$860,9,0),"")</f>
        <v>TNXH -2C1</v>
      </c>
      <c r="AQ11" s="40" t="str">
        <f>IFERROR(VLOOKUP($A$11&amp;$C$5&amp;$B11&amp;$AQ$4,TKB_LOP_CHECK!$B$65:$J$860,9,0),"")</f>
        <v>GVNN -7A1</v>
      </c>
      <c r="AR11" s="40" t="str">
        <f>IFERROR(VLOOKUP($A$11&amp;$D$5&amp;$B11&amp;$AQ$4,TKB_LOP_CHECK!$B$65:$J$860,9,0),"")</f>
        <v>GVNN -7A1</v>
      </c>
      <c r="AS11" s="40" t="str">
        <f>IFERROR(VLOOKUP($A$11&amp;$C$5&amp;$B11&amp;$AS$4,TKB_LOP_CHECK!$B$65:$J$860,9,0),"")</f>
        <v>Toán -2C1</v>
      </c>
      <c r="AT11" s="40" t="str">
        <f>IFERROR(VLOOKUP($A$11&amp;$D$5&amp;$B11&amp;$AS$4,TKB_LOP_CHECK!$B$65:$J$860,9,0),"")</f>
        <v>Toán -3C1</v>
      </c>
      <c r="AU11" s="40" t="str">
        <f>IFERROR(VLOOKUP($A$11&amp;$C$5&amp;$B11&amp;$AU$4,TKB_LOP_CHECK!$B$65:$J$860,9,0),"")</f>
        <v/>
      </c>
      <c r="AV11" s="40" t="str">
        <f>IFERROR(VLOOKUP($A$11&amp;$D$5&amp;$B11&amp;$AU$4,TKB_LOP_CHECK!$B$65:$J$860,9,0),"")</f>
        <v/>
      </c>
      <c r="AW11" s="40" t="str">
        <f>IFERROR(VLOOKUP($A$11&amp;$C$5&amp;$B11&amp;$AW$4,TKB_LOP_CHECK!$B$65:$J$860,9,0),"")</f>
        <v/>
      </c>
      <c r="AX11" s="40" t="str">
        <f>IFERROR(VLOOKUP($A$11&amp;$D$5&amp;$B11&amp;$AW$4,TKB_LOP_CHECK!$B$65:$J$860,9,0),"")</f>
        <v/>
      </c>
      <c r="AY11" s="40" t="str">
        <f>IFERROR(VLOOKUP($A$11&amp;$C$5&amp;$B11&amp;$AY$4,TKB_LOP_CHECK!$B$65:$J$860,9,0),"")</f>
        <v/>
      </c>
      <c r="AZ11" s="40" t="str">
        <f>IFERROR(VLOOKUP($A$11&amp;$D$5&amp;$B11&amp;$AY$4,TKB_LOP_CHECK!$B$65:$J$860,9,0),"")</f>
        <v/>
      </c>
      <c r="BA11" s="40" t="str">
        <f>IFERROR(VLOOKUP($A$11&amp;$C$5&amp;$B11&amp;$BA$4,TKB_LOP_CHECK!$B$65:$J$860,9,0),"")</f>
        <v/>
      </c>
      <c r="BB11" s="40" t="str">
        <f>IFERROR(VLOOKUP($A$11&amp;$D$5&amp;$B11&amp;$BA$4,TKB_LOP_CHECK!$B$65:$J$860,9,0),"")</f>
        <v/>
      </c>
      <c r="BC11" s="40" t="str">
        <f>IFERROR(VLOOKUP($A$11&amp;$C$5&amp;$B11&amp;$BC$4,TKB_LOP_CHECK!$B$65:$J$860,9,0),"")</f>
        <v/>
      </c>
      <c r="BD11" s="40" t="str">
        <f>IFERROR(VLOOKUP($A$11&amp;$D$5&amp;$B11&amp;$BC$4,TKB_LOP_CHECK!$B$65:$J$860,9,0),"")</f>
        <v/>
      </c>
      <c r="BE11" s="40" t="str">
        <f>IFERROR(VLOOKUP($A$11&amp;$C$5&amp;$B11&amp;$BE$4,TKB_LOP_CHECK!$B$65:$J$860,9,0),"")</f>
        <v/>
      </c>
      <c r="BF11" s="40" t="str">
        <f>IFERROR(VLOOKUP($A$11&amp;$D$5&amp;$B11&amp;$BE$4,TKB_LOP_CHECK!$B$65:$J$860,9,0),"")</f>
        <v/>
      </c>
      <c r="BG11" s="40" t="str">
        <f>IFERROR(VLOOKUP($A$11&amp;$C$5&amp;$B11&amp;$BG$4,TKB_LOP_CHECK!$B$65:$J$860,9,0),"")</f>
        <v/>
      </c>
      <c r="BH11" s="40" t="str">
        <f>IFERROR(VLOOKUP($A$11&amp;$D$5&amp;$B11&amp;$BG$4,TKB_LOP_CHECK!$B$65:$J$860,9,0),"")</f>
        <v/>
      </c>
      <c r="BI11" s="40" t="str">
        <f>IFERROR(VLOOKUP($A$11&amp;$C$5&amp;$B11&amp;$BI$4,TKB_LOP_CHECK!$B$65:$J$860,9,0),"")</f>
        <v/>
      </c>
      <c r="BJ11" s="40" t="str">
        <f>IFERROR(VLOOKUP($A$11&amp;$D$5&amp;$B11&amp;$BI$4,TKB_LOP_CHECK!$B$65:$J$860,9,0),"")</f>
        <v/>
      </c>
      <c r="BK11" s="40" t="str">
        <f>IFERROR(VLOOKUP($A$11&amp;$C$5&amp;$B11&amp;$BK$4,TKB_LOP_CHECK!$B$65:$J$860,9,0),"")</f>
        <v/>
      </c>
      <c r="BL11" s="40" t="str">
        <f>IFERROR(VLOOKUP($A$11&amp;$D$5&amp;$B11&amp;$BK$4,TKB_LOP_CHECK!$B$65:$J$860,9,0),"")</f>
        <v/>
      </c>
      <c r="BM11" s="40" t="str">
        <f>IFERROR(VLOOKUP($A$11&amp;$C$5&amp;$B11&amp;$BM$4,TKB_LOP_CHECK!$B$65:$J$860,9,0),"")</f>
        <v/>
      </c>
      <c r="BN11" s="40" t="str">
        <f>IFERROR(VLOOKUP($A$11&amp;$D$5&amp;$B11&amp;$BM$4,TKB_LOP_CHECK!$B$65:$J$860,9,0),"")</f>
        <v/>
      </c>
      <c r="BO11" s="40" t="str">
        <f>IFERROR(VLOOKUP($A$11&amp;$C$5&amp;$B11&amp;$BO$4,TKB_LOP_CHECK!$A$65:$J$860,10,0),"")</f>
        <v/>
      </c>
      <c r="BP11" s="40" t="str">
        <f>IFERROR(VLOOKUP($A$11&amp;$D$5&amp;$B11&amp;$BO$4,TKB_LOP_CHECK!$A$65:$J$860,10,0),"")</f>
        <v/>
      </c>
      <c r="BQ11" s="40" t="str">
        <f>IFERROR(VLOOKUP($A$11&amp;$C$5&amp;$B11&amp;$BQ$4,TKB_LOP_CHECK!$A$65:$J$860,10,0),"")</f>
        <v>GVNN -5C1</v>
      </c>
      <c r="BR11" s="40" t="str">
        <f>IFERROR(VLOOKUP($A$11&amp;$D$5&amp;$B11&amp;$BQ$4,TKB_LOP_CHECK!$A$65:$J$860,10,0),"")</f>
        <v>GVNN -7A1</v>
      </c>
      <c r="BS11" s="40" t="str">
        <f>IFERROR(VLOOKUP($A$11&amp;$C$5&amp;$B11&amp;$BS$4,TKB_LOP_CHECK!$A$65:$J$860,10,0),"")</f>
        <v/>
      </c>
      <c r="BT11" s="40" t="str">
        <f>IFERROR(VLOOKUP($A$11&amp;$D$5&amp;$B11&amp;$BS$4,TKB_LOP_CHECK!$A$65:$J$860,10,0),"")</f>
        <v/>
      </c>
      <c r="BU11" s="40" t="str">
        <f>IFERROR(VLOOKUP($A$11&amp;$C$5&amp;$B11&amp;$BU$4,TKB_LOP_CHECK!$A$65:$J$860,10,0),"")</f>
        <v/>
      </c>
      <c r="BV11" s="40" t="str">
        <f>IFERROR(VLOOKUP($A$11&amp;$D$5&amp;$B11&amp;$BU$4,TKB_LOP_CHECK!$A$65:$J$860,10,0),"")</f>
        <v/>
      </c>
    </row>
    <row r="12" spans="1:74" ht="16.7" customHeight="1" x14ac:dyDescent="0.25">
      <c r="A12" s="95"/>
      <c r="B12" s="41">
        <v>2</v>
      </c>
      <c r="C12" s="40" t="str">
        <f>IFERROR(VLOOKUP($A$11&amp;$C$5&amp;$B12&amp;$C$4,TKB_LOP_CHECK!$B$65:$J$860,9,0),"")</f>
        <v/>
      </c>
      <c r="D12" s="40" t="str">
        <f>IFERROR(VLOOKUP($A$11&amp;$D$5&amp;$B12&amp;$C$4,TKB_LOP_CHECK!$B$65:$J$860,9,0),"")</f>
        <v/>
      </c>
      <c r="E12" s="40" t="str">
        <f>IFERROR(VLOOKUP($A$11&amp;$C$5&amp;$B12&amp;$E$4,TKB_LOP_CHECK!$B$65:$J$860,9,0),"")</f>
        <v/>
      </c>
      <c r="F12" s="40" t="str">
        <f>IFERROR(VLOOKUP($A$11&amp;$D$5&amp;$B12&amp;$E$4,TKB_LOP_CHECK!$B$65:$J$860,9,0),"")</f>
        <v/>
      </c>
      <c r="G12" s="40" t="str">
        <f>IFERROR(VLOOKUP($A$11&amp;$C$5&amp;$B12&amp;$G$4,TKB_LOP_CHECK!$B$65:$J$860,9,0),"")</f>
        <v>GVNN -4C1</v>
      </c>
      <c r="H12" s="40" t="str">
        <f>IFERROR(VLOOKUP($A$11&amp;$D$5&amp;$B12&amp;$G$4,TKB_LOP_CHECK!$B$65:$J$860,9,0),"")</f>
        <v/>
      </c>
      <c r="I12" s="40" t="str">
        <f>IFERROR(VLOOKUP($A$11&amp;$C$5&amp;$B12&amp;$I$4,TKB_LOP_CHECK!$B$65:$J$860,9,0),"")</f>
        <v/>
      </c>
      <c r="J12" s="40" t="str">
        <f>IFERROR(VLOOKUP($A$11&amp;$D$5&amp;$B12&amp;$I$4,TKB_LOP_CHECK!$B$65:$J$860,9,0),"")</f>
        <v/>
      </c>
      <c r="K12" s="40" t="str">
        <f>IFERROR(VLOOKUP($A$11&amp;$C$5&amp;$B12&amp;$K$4,TKB_LOP_CHECK!$B$65:$J$860,9,0),"")</f>
        <v/>
      </c>
      <c r="L12" s="40" t="str">
        <f>IFERROR(VLOOKUP($A$11&amp;$D$5&amp;$B12&amp;$K$4,TKB_LOP_CHECK!$B$65:$J$860,9,0),"")</f>
        <v/>
      </c>
      <c r="M12" s="40" t="str">
        <f>IFERROR(VLOOKUP($A$11&amp;$C$5&amp;$B12&amp;$M$4,TKB_LOP_CHECK!$B$65:$J$860,9,0),"")</f>
        <v/>
      </c>
      <c r="N12" s="40" t="str">
        <f>IFERROR(VLOOKUP($A$11&amp;$D$5&amp;$B12&amp;$M$4,TKB_LOP_CHECK!$B$65:$J$860,9,0),"")</f>
        <v>GVVN -2A1</v>
      </c>
      <c r="O12" s="40" t="str">
        <f>IFERROR(VLOOKUP($A$11&amp;$C$5&amp;$B12&amp;$O$4,TKB_LOP_CHECK!$B$65:$J$860,9,0),"")</f>
        <v>Toán -TTH1</v>
      </c>
      <c r="P12" s="40" t="str">
        <f>IFERROR(VLOOKUP($A$11&amp;$D$5&amp;$B12&amp;$O$4,TKB_LOP_CHECK!$B$65:$J$860,9,0),"")</f>
        <v>Tìm hiểu thiên nhiên -TTH1</v>
      </c>
      <c r="Q12" s="40" t="str">
        <f>IFERROR(VLOOKUP($A$11&amp;$C$5&amp;$B12&amp;$Q$4,TKB_LOP_CHECK!$B$65:$J$860,9,0),"")</f>
        <v>GDTC -3C1</v>
      </c>
      <c r="R12" s="40" t="str">
        <f>IFERROR(VLOOKUP($A$11&amp;$D$5&amp;$B12&amp;$Q$4,TKB_LOP_CHECK!$B$65:$J$860,9,0),"")</f>
        <v/>
      </c>
      <c r="S12" s="40" t="str">
        <f>IFERROR(VLOOKUP($A$11&amp;$C$5&amp;$B12&amp;$S$4,TKB_LOP_CHECK!$B$65:$J$860,9,0),"")</f>
        <v>GVNN -4C1</v>
      </c>
      <c r="T12" s="40" t="str">
        <f>IFERROR(VLOOKUP($A$11&amp;$D$5&amp;$B12&amp;$S$4,TKB_LOP_CHECK!$B$65:$J$860,9,0),"")</f>
        <v/>
      </c>
      <c r="U12" s="40" t="str">
        <f>IFERROR(VLOOKUP($A$11&amp;$C$5&amp;$B12&amp;$U$4,TKB_LOP_CHECK!$B$65:$J$860,9,0),"")</f>
        <v/>
      </c>
      <c r="V12" s="40" t="str">
        <f>IFERROR(VLOOKUP($A$11&amp;$D$5&amp;$B12&amp;$U$4,TKB_LOP_CHECK!$B$65:$J$860,9,0),"")</f>
        <v/>
      </c>
      <c r="W12" s="40" t="str">
        <f>IFERROR(VLOOKUP($A$11&amp;$C$5&amp;$B12&amp;$W$4,TKB_LOP_CHECK!$B$65:$J$860,9,0),"")</f>
        <v/>
      </c>
      <c r="X12" s="40" t="str">
        <f>IFERROR(VLOOKUP($A$11&amp;$D$5&amp;$B12&amp;$W$4,TKB_LOP_CHECK!$B$65:$J$860,9,0),"")</f>
        <v/>
      </c>
      <c r="Y12" s="40" t="str">
        <f>IFERROR(VLOOKUP($A$11&amp;$C$5&amp;$B12&amp;$Y$4,TKB_LOP_CHECK!$B$65:$J$860,9,0),"")</f>
        <v/>
      </c>
      <c r="Z12" s="40" t="str">
        <f>IFERROR(VLOOKUP($A$11&amp;$D$5&amp;$B12&amp;$Y$4,TKB_LOP_CHECK!$B$65:$J$860,9,0),"")</f>
        <v>Toán -3A1</v>
      </c>
      <c r="AA12" s="40" t="str">
        <f>IFERROR(VLOOKUP($A$11&amp;$C$5&amp;$B12&amp;$AA$4,TKB_LOP_CHECK!$B$65:$J$860,9,0),"")</f>
        <v/>
      </c>
      <c r="AB12" s="40" t="str">
        <f>IFERROR(VLOOKUP($A$11&amp;$D$5&amp;$B12&amp;$AA$4,TKB_LOP_CHECK!$B$65:$J$860,9,0),"")</f>
        <v>GVVN -2A1</v>
      </c>
      <c r="AC12" s="40" t="str">
        <f>IFERROR(VLOOKUP($A$11&amp;$C$5&amp;$B12&amp;$AC$4,TKB_LOP_CHECK!$B$65:$J$860,9,0),"")</f>
        <v/>
      </c>
      <c r="AD12" s="40" t="str">
        <f>IFERROR(VLOOKUP($A$11&amp;$D$5&amp;$B12&amp;$AC$4,TKB_LOP_CHECK!$B$65:$J$860,9,0),"")</f>
        <v/>
      </c>
      <c r="AE12" s="40" t="str">
        <f>IFERROR(VLOOKUP($A$11&amp;$C$5&amp;$B12&amp;$AE$4,TKB_LOP_CHECK!$B$65:$J$860,9,0),"")</f>
        <v/>
      </c>
      <c r="AF12" s="40" t="str">
        <f>IFERROR(VLOOKUP($A$11&amp;$D$5&amp;$B12&amp;$AE$4,TKB_LOP_CHECK!$B$65:$J$860,9,0),"")</f>
        <v>GVVN -5C1</v>
      </c>
      <c r="AG12" s="40" t="str">
        <f>IFERROR(VLOOKUP($A$11&amp;$C$5&amp;$B12&amp;$AG$4,TKB_LOP_CHECK!$B$65:$J$860,9,0),"")</f>
        <v/>
      </c>
      <c r="AH12" s="40" t="str">
        <f>IFERROR(VLOOKUP($A$11&amp;$D$5&amp;$B12&amp;$AG$4,TKB_LOP_CHECK!$B$65:$J$860,9,0),"")</f>
        <v>GVVN -2A1</v>
      </c>
      <c r="AI12" s="40" t="str">
        <f>IFERROR(VLOOKUP($A$11&amp;$C$5&amp;$B12&amp;$AI$4,TKB_LOP_CHECK!$B$65:$J$860,9,0),"")</f>
        <v>KHTN -6A1</v>
      </c>
      <c r="AJ12" s="40" t="str">
        <f>IFERROR(VLOOKUP($A$11&amp;$D$5&amp;$B12&amp;$AI$4,TKB_LOP_CHECK!$B$65:$J$860,9,0),"")</f>
        <v>KHTN -8A1</v>
      </c>
      <c r="AK12" s="40" t="str">
        <f>IFERROR(VLOOKUP($A$11&amp;$C$5&amp;$B12&amp;$AK$4,TKB_LOP_CHECK!$B$65:$J$860,9,0),"")</f>
        <v/>
      </c>
      <c r="AL12" s="40" t="str">
        <f>IFERROR(VLOOKUP($A$11&amp;$D$5&amp;$B12&amp;$AK$4,TKB_LOP_CHECK!$B$65:$J$860,9,0),"")</f>
        <v/>
      </c>
      <c r="AM12" s="40" t="str">
        <f>IFERROR(VLOOKUP($A$11&amp;$C$5&amp;$B12&amp;$AM$4,TKB_LOP_CHECK!$B$65:$J$860,9,0),"")</f>
        <v>LS&amp;ĐL -5C1</v>
      </c>
      <c r="AN12" s="40" t="str">
        <f>IFERROR(VLOOKUP($A$11&amp;$D$5&amp;$B12&amp;$AM$4,TKB_LOP_CHECK!$B$65:$J$860,9,0),"")</f>
        <v>TViệt -3C1</v>
      </c>
      <c r="AO12" s="40" t="str">
        <f>IFERROR(VLOOKUP($A$11&amp;$C$5&amp;$B12&amp;$AO$4,TKB_LOP_CHECK!$B$65:$J$860,9,0),"")</f>
        <v>TViệt -2C1</v>
      </c>
      <c r="AP12" s="40" t="str">
        <f>IFERROR(VLOOKUP($A$11&amp;$D$5&amp;$B12&amp;$AO$4,TKB_LOP_CHECK!$B$65:$J$860,9,0),"")</f>
        <v/>
      </c>
      <c r="AQ12" s="40" t="str">
        <f>IFERROR(VLOOKUP($A$11&amp;$C$5&amp;$B12&amp;$AQ$4,TKB_LOP_CHECK!$B$65:$J$860,9,0),"")</f>
        <v/>
      </c>
      <c r="AR12" s="40" t="str">
        <f>IFERROR(VLOOKUP($A$11&amp;$D$5&amp;$B12&amp;$AQ$4,TKB_LOP_CHECK!$B$65:$J$860,9,0),"")</f>
        <v/>
      </c>
      <c r="AS12" s="40" t="str">
        <f>IFERROR(VLOOKUP($A$11&amp;$C$5&amp;$B12&amp;$AS$4,TKB_LOP_CHECK!$B$65:$J$860,9,0),"")</f>
        <v/>
      </c>
      <c r="AT12" s="40" t="str">
        <f>IFERROR(VLOOKUP($A$11&amp;$D$5&amp;$B12&amp;$AS$4,TKB_LOP_CHECK!$B$65:$J$860,9,0),"")</f>
        <v/>
      </c>
      <c r="AU12" s="40" t="str">
        <f>IFERROR(VLOOKUP($A$11&amp;$C$5&amp;$B12&amp;$AU$4,TKB_LOP_CHECK!$B$65:$J$860,9,0),"")</f>
        <v/>
      </c>
      <c r="AV12" s="40" t="str">
        <f>IFERROR(VLOOKUP($A$11&amp;$D$5&amp;$B12&amp;$AU$4,TKB_LOP_CHECK!$B$65:$J$860,9,0),"")</f>
        <v/>
      </c>
      <c r="AW12" s="40" t="str">
        <f>IFERROR(VLOOKUP($A$11&amp;$C$5&amp;$B12&amp;$AW$4,TKB_LOP_CHECK!$B$65:$J$860,9,0),"")</f>
        <v/>
      </c>
      <c r="AX12" s="40" t="str">
        <f>IFERROR(VLOOKUP($A$11&amp;$D$5&amp;$B12&amp;$AW$4,TKB_LOP_CHECK!$B$65:$J$860,9,0),"")</f>
        <v/>
      </c>
      <c r="AY12" s="40" t="str">
        <f>IFERROR(VLOOKUP($A$11&amp;$C$5&amp;$B12&amp;$AY$4,TKB_LOP_CHECK!$B$65:$J$860,9,0),"")</f>
        <v/>
      </c>
      <c r="AZ12" s="40" t="str">
        <f>IFERROR(VLOOKUP($A$11&amp;$D$5&amp;$B12&amp;$AY$4,TKB_LOP_CHECK!$B$65:$J$860,9,0),"")</f>
        <v/>
      </c>
      <c r="BA12" s="40" t="str">
        <f>IFERROR(VLOOKUP($A$11&amp;$C$5&amp;$B12&amp;$BA$4,TKB_LOP_CHECK!$B$65:$J$860,9,0),"")</f>
        <v/>
      </c>
      <c r="BB12" s="40" t="str">
        <f>IFERROR(VLOOKUP($A$11&amp;$D$5&amp;$B12&amp;$BA$4,TKB_LOP_CHECK!$B$65:$J$860,9,0),"")</f>
        <v/>
      </c>
      <c r="BC12" s="40" t="str">
        <f>IFERROR(VLOOKUP($A$11&amp;$C$5&amp;$B12&amp;$BC$4,TKB_LOP_CHECK!$B$65:$J$860,9,0),"")</f>
        <v/>
      </c>
      <c r="BD12" s="40" t="str">
        <f>IFERROR(VLOOKUP($A$11&amp;$D$5&amp;$B12&amp;$BC$4,TKB_LOP_CHECK!$B$65:$J$860,9,0),"")</f>
        <v/>
      </c>
      <c r="BE12" s="40" t="str">
        <f>IFERROR(VLOOKUP($A$11&amp;$C$5&amp;$B12&amp;$BE$4,TKB_LOP_CHECK!$B$65:$J$860,9,0),"")</f>
        <v/>
      </c>
      <c r="BF12" s="40" t="str">
        <f>IFERROR(VLOOKUP($A$11&amp;$D$5&amp;$B12&amp;$BE$4,TKB_LOP_CHECK!$B$65:$J$860,9,0),"")</f>
        <v/>
      </c>
      <c r="BG12" s="40" t="str">
        <f>IFERROR(VLOOKUP($A$11&amp;$C$5&amp;$B12&amp;$BG$4,TKB_LOP_CHECK!$B$65:$J$860,9,0),"")</f>
        <v/>
      </c>
      <c r="BH12" s="40" t="str">
        <f>IFERROR(VLOOKUP($A$11&amp;$D$5&amp;$B12&amp;$BG$4,TKB_LOP_CHECK!$B$65:$J$860,9,0),"")</f>
        <v/>
      </c>
      <c r="BI12" s="40" t="str">
        <f>IFERROR(VLOOKUP($A$11&amp;$C$5&amp;$B12&amp;$BI$4,TKB_LOP_CHECK!$B$65:$J$860,9,0),"")</f>
        <v/>
      </c>
      <c r="BJ12" s="40" t="str">
        <f>IFERROR(VLOOKUP($A$11&amp;$D$5&amp;$B12&amp;$BI$4,TKB_LOP_CHECK!$B$65:$J$860,9,0),"")</f>
        <v/>
      </c>
      <c r="BK12" s="40" t="str">
        <f>IFERROR(VLOOKUP($A$11&amp;$C$5&amp;$B12&amp;$BK$4,TKB_LOP_CHECK!$B$65:$J$860,9,0),"")</f>
        <v/>
      </c>
      <c r="BL12" s="40" t="str">
        <f>IFERROR(VLOOKUP($A$11&amp;$D$5&amp;$B12&amp;$BK$4,TKB_LOP_CHECK!$B$65:$J$860,9,0),"")</f>
        <v/>
      </c>
      <c r="BM12" s="40" t="str">
        <f>IFERROR(VLOOKUP($A$11&amp;$C$5&amp;$B12&amp;$BM$4,TKB_LOP_CHECK!$B$65:$J$860,9,0),"")</f>
        <v/>
      </c>
      <c r="BN12" s="40" t="str">
        <f>IFERROR(VLOOKUP($A$11&amp;$D$5&amp;$B12&amp;$BM$4,TKB_LOP_CHECK!$B$65:$J$860,9,0),"")</f>
        <v/>
      </c>
      <c r="BO12" s="40" t="str">
        <f>IFERROR(VLOOKUP($A$11&amp;$C$5&amp;$B12&amp;$BO$4,TKB_LOP_CHECK!$A$65:$J$860,10,0),"")</f>
        <v/>
      </c>
      <c r="BP12" s="40" t="str">
        <f>IFERROR(VLOOKUP($A$11&amp;$D$5&amp;$B12&amp;$BO$4,TKB_LOP_CHECK!$A$65:$J$860,10,0),"")</f>
        <v/>
      </c>
      <c r="BQ12" s="40" t="str">
        <f>IFERROR(VLOOKUP($A$11&amp;$C$5&amp;$B12&amp;$BQ$4,TKB_LOP_CHECK!$A$65:$J$860,10,0),"")</f>
        <v>GVNN -1C1</v>
      </c>
      <c r="BR12" s="40" t="str">
        <f>IFERROR(VLOOKUP($A$11&amp;$D$5&amp;$B12&amp;$BQ$4,TKB_LOP_CHECK!$A$65:$J$860,10,0),"")</f>
        <v/>
      </c>
      <c r="BS12" s="40" t="str">
        <f>IFERROR(VLOOKUP($A$11&amp;$C$5&amp;$B12&amp;$BS$4,TKB_LOP_CHECK!$A$65:$J$860,10,0),"")</f>
        <v/>
      </c>
      <c r="BT12" s="40" t="str">
        <f>IFERROR(VLOOKUP($A$11&amp;$D$5&amp;$B12&amp;$BS$4,TKB_LOP_CHECK!$A$65:$J$860,10,0),"")</f>
        <v/>
      </c>
      <c r="BU12" s="40" t="str">
        <f>IFERROR(VLOOKUP($A$11&amp;$C$5&amp;$B12&amp;$BU$4,TKB_LOP_CHECK!$A$65:$J$860,10,0),"")</f>
        <v/>
      </c>
      <c r="BV12" s="40" t="str">
        <f>IFERROR(VLOOKUP($A$11&amp;$D$5&amp;$B12&amp;$BU$4,TKB_LOP_CHECK!$A$65:$J$860,10,0),"")</f>
        <v/>
      </c>
    </row>
    <row r="13" spans="1:74" ht="16.7" customHeight="1" x14ac:dyDescent="0.25">
      <c r="A13" s="95"/>
      <c r="B13" s="41">
        <v>3</v>
      </c>
      <c r="C13" s="40" t="str">
        <f>IFERROR(VLOOKUP($A$11&amp;$C$5&amp;$B13&amp;$C$4,TKB_LOP_CHECK!$B$65:$J$860,9,0),"")</f>
        <v/>
      </c>
      <c r="D13" s="40" t="str">
        <f>IFERROR(VLOOKUP($A$11&amp;$D$5&amp;$B13&amp;$C$4,TKB_LOP_CHECK!$B$65:$J$860,9,0),"")</f>
        <v/>
      </c>
      <c r="E13" s="40" t="s">
        <v>166</v>
      </c>
      <c r="F13" s="40" t="str">
        <f>IFERROR(VLOOKUP($A$11&amp;$D$5&amp;$B13&amp;$E$4,TKB_LOP_CHECK!$B$65:$J$860,9,0),"")</f>
        <v/>
      </c>
      <c r="G13" s="40" t="str">
        <f>IFERROR(VLOOKUP($A$11&amp;$C$5&amp;$B13&amp;$G$4,TKB_LOP_CHECK!$B$65:$J$860,9,0),"")</f>
        <v>GVNN -8A1</v>
      </c>
      <c r="H13" s="40" t="str">
        <f>IFERROR(VLOOKUP($A$11&amp;$D$5&amp;$B13&amp;$G$4,TKB_LOP_CHECK!$B$65:$J$860,9,0),"")</f>
        <v>Science -4C1</v>
      </c>
      <c r="I13" s="40" t="str">
        <f>IFERROR(VLOOKUP($A$11&amp;$C$5&amp;$B13&amp;$I$4,TKB_LOP_CHECK!$B$65:$J$860,9,0),"")</f>
        <v/>
      </c>
      <c r="J13" s="40" t="str">
        <f>IFERROR(VLOOKUP($A$11&amp;$D$5&amp;$B13&amp;$I$4,TKB_LOP_CHECK!$B$65:$J$860,9,0),"")</f>
        <v>Toán -2C1</v>
      </c>
      <c r="K13" s="40" t="str">
        <f>IFERROR(VLOOKUP($A$11&amp;$C$5&amp;$B13&amp;$K$4,TKB_LOP_CHECK!$B$65:$J$860,9,0),"")</f>
        <v/>
      </c>
      <c r="L13" s="40" t="str">
        <f>IFERROR(VLOOKUP($A$11&amp;$D$5&amp;$B13&amp;$K$4,TKB_LOP_CHECK!$B$65:$J$860,9,0),"")</f>
        <v>Toán -2C1</v>
      </c>
      <c r="M13" s="40" t="str">
        <f>IFERROR(VLOOKUP($A$11&amp;$C$5&amp;$B13&amp;$M$4,TKB_LOP_CHECK!$B$65:$J$860,9,0),"")</f>
        <v>GVVN -2A1</v>
      </c>
      <c r="N13" s="40" t="str">
        <f>IFERROR(VLOOKUP($A$11&amp;$D$5&amp;$B13&amp;$M$4,TKB_LOP_CHECK!$B$65:$J$860,9,0),"")</f>
        <v>GVVN -TTH2</v>
      </c>
      <c r="O13" s="40" t="str">
        <f>IFERROR(VLOOKUP($A$11&amp;$C$5&amp;$B13&amp;$O$4,TKB_LOP_CHECK!$B$65:$J$860,9,0),"")</f>
        <v>Tìm hiểu thiên nhiên -TTH1</v>
      </c>
      <c r="P13" s="40" t="str">
        <f>IFERROR(VLOOKUP($A$11&amp;$D$5&amp;$B13&amp;$O$4,TKB_LOP_CHECK!$B$65:$J$860,9,0),"")</f>
        <v>TViệt -TTH1</v>
      </c>
      <c r="Q13" s="40" t="str">
        <f>IFERROR(VLOOKUP($A$11&amp;$C$5&amp;$B13&amp;$Q$4,TKB_LOP_CHECK!$B$65:$J$860,9,0),"")</f>
        <v/>
      </c>
      <c r="R13" s="40" t="str">
        <f>IFERROR(VLOOKUP($A$11&amp;$D$5&amp;$B13&amp;$Q$4,TKB_LOP_CHECK!$B$65:$J$860,9,0),"")</f>
        <v>GDTC -1C1</v>
      </c>
      <c r="S13" s="40" t="str">
        <f>IFERROR(VLOOKUP($A$11&amp;$C$5&amp;$B13&amp;$S$4,TKB_LOP_CHECK!$B$65:$J$860,9,0),"")</f>
        <v>GVNN -8A1</v>
      </c>
      <c r="T13" s="40" t="str">
        <f>IFERROR(VLOOKUP($A$11&amp;$D$5&amp;$B13&amp;$S$4,TKB_LOP_CHECK!$B$65:$J$860,9,0),"")</f>
        <v>Science -4C1</v>
      </c>
      <c r="U13" s="40" t="str">
        <f>IFERROR(VLOOKUP($A$11&amp;$C$5&amp;$B13&amp;$U$4,TKB_LOP_CHECK!$B$65:$J$860,9,0),"")</f>
        <v/>
      </c>
      <c r="V13" s="40" t="str">
        <f>IFERROR(VLOOKUP($A$11&amp;$D$5&amp;$B13&amp;$U$4,TKB_LOP_CHECK!$B$65:$J$860,9,0),"")</f>
        <v>Văn -8A1</v>
      </c>
      <c r="W13" s="40" t="str">
        <f>IFERROR(VLOOKUP($A$11&amp;$C$5&amp;$B13&amp;$W$4,TKB_LOP_CHECK!$B$65:$J$860,9,0),"")</f>
        <v/>
      </c>
      <c r="X13" s="40" t="str">
        <f>IFERROR(VLOOKUP($A$11&amp;$D$5&amp;$B13&amp;$W$4,TKB_LOP_CHECK!$B$65:$J$860,9,0),"")</f>
        <v/>
      </c>
      <c r="Y13" s="40" t="str">
        <f>IFERROR(VLOOKUP($A$11&amp;$C$5&amp;$B13&amp;$Y$4,TKB_LOP_CHECK!$B$65:$J$860,9,0),"")</f>
        <v>TViệt -3A1</v>
      </c>
      <c r="Z13" s="40" t="str">
        <f>IFERROR(VLOOKUP($A$11&amp;$D$5&amp;$B13&amp;$Y$4,TKB_LOP_CHECK!$B$65:$J$860,9,0),"")</f>
        <v>Toán -3A1</v>
      </c>
      <c r="AA13" s="40" t="str">
        <f>IFERROR(VLOOKUP($A$11&amp;$C$5&amp;$B13&amp;$AA$4,TKB_LOP_CHECK!$B$65:$J$860,9,0),"")</f>
        <v>GVVN -2A1</v>
      </c>
      <c r="AB13" s="40" t="str">
        <f>IFERROR(VLOOKUP($A$11&amp;$D$5&amp;$B13&amp;$AA$4,TKB_LOP_CHECK!$B$65:$J$860,9,0),"")</f>
        <v>GVVN -TTH2</v>
      </c>
      <c r="AC13" s="40" t="str">
        <f>IFERROR(VLOOKUP($A$11&amp;$C$5&amp;$B13&amp;$AC$4,TKB_LOP_CHECK!$B$65:$J$860,9,0),"")</f>
        <v/>
      </c>
      <c r="AD13" s="40" t="str">
        <f>IFERROR(VLOOKUP($A$11&amp;$D$5&amp;$B13&amp;$AC$4,TKB_LOP_CHECK!$B$65:$J$860,9,0),"")</f>
        <v/>
      </c>
      <c r="AE13" s="40" t="str">
        <f>IFERROR(VLOOKUP($A$11&amp;$C$5&amp;$B13&amp;$AE$4,TKB_LOP_CHECK!$B$65:$J$860,9,0),"")</f>
        <v>GVNN -3C1</v>
      </c>
      <c r="AF13" s="40" t="str">
        <f>IFERROR(VLOOKUP($A$11&amp;$D$5&amp;$B13&amp;$AE$4,TKB_LOP_CHECK!$B$65:$J$860,9,0),"")</f>
        <v>Science -5C1</v>
      </c>
      <c r="AG13" s="40" t="str">
        <f>IFERROR(VLOOKUP($A$11&amp;$C$5&amp;$B13&amp;$AG$4,TKB_LOP_CHECK!$B$65:$J$860,9,0),"")</f>
        <v>GVVN -2A1</v>
      </c>
      <c r="AH13" s="40" t="str">
        <f>IFERROR(VLOOKUP($A$11&amp;$D$5&amp;$B13&amp;$AG$4,TKB_LOP_CHECK!$B$65:$J$860,9,0),"")</f>
        <v>GVVN -TTH2</v>
      </c>
      <c r="AI13" s="40" t="str">
        <f>IFERROR(VLOOKUP($A$11&amp;$C$5&amp;$B13&amp;$AI$4,TKB_LOP_CHECK!$B$65:$J$860,9,0),"")</f>
        <v>KHTN -7A1</v>
      </c>
      <c r="AJ13" s="40" t="str">
        <f>IFERROR(VLOOKUP($A$11&amp;$D$5&amp;$B13&amp;$AI$4,TKB_LOP_CHECK!$B$65:$J$860,9,0),"")</f>
        <v/>
      </c>
      <c r="AK13" s="40" t="str">
        <f>IFERROR(VLOOKUP($A$11&amp;$C$5&amp;$B13&amp;$AK$4,TKB_LOP_CHECK!$B$65:$J$860,9,0),"")</f>
        <v/>
      </c>
      <c r="AL13" s="40" t="str">
        <f>IFERROR(VLOOKUP($A$11&amp;$D$5&amp;$B13&amp;$AK$4,TKB_LOP_CHECK!$B$65:$J$860,9,0),"")</f>
        <v/>
      </c>
      <c r="AM13" s="40" t="str">
        <f>IFERROR(VLOOKUP($A$11&amp;$C$5&amp;$B13&amp;$AM$4,TKB_LOP_CHECK!$B$65:$J$860,9,0),"")</f>
        <v>LS&amp;ĐL -4C1</v>
      </c>
      <c r="AN13" s="40" t="str">
        <f>IFERROR(VLOOKUP($A$11&amp;$D$5&amp;$B13&amp;$AM$4,TKB_LOP_CHECK!$B$65:$J$860,9,0),"")</f>
        <v>TViệt -3C1</v>
      </c>
      <c r="AO13" s="40" t="str">
        <f>IFERROR(VLOOKUP($A$11&amp;$C$5&amp;$B13&amp;$AO$4,TKB_LOP_CHECK!$B$65:$J$860,9,0),"")</f>
        <v/>
      </c>
      <c r="AP13" s="40" t="str">
        <f>IFERROR(VLOOKUP($A$11&amp;$D$5&amp;$B13&amp;$AO$4,TKB_LOP_CHECK!$B$65:$J$860,9,0),"")</f>
        <v/>
      </c>
      <c r="AQ13" s="40" t="str">
        <f>IFERROR(VLOOKUP($A$11&amp;$C$5&amp;$B13&amp;$AQ$4,TKB_LOP_CHECK!$B$65:$J$860,9,0),"")</f>
        <v/>
      </c>
      <c r="AR13" s="40" t="str">
        <f>IFERROR(VLOOKUP($A$11&amp;$D$5&amp;$B13&amp;$AQ$4,TKB_LOP_CHECK!$B$65:$J$860,9,0),"")</f>
        <v/>
      </c>
      <c r="AS13" s="40" t="str">
        <f>IFERROR(VLOOKUP($A$11&amp;$C$5&amp;$B13&amp;$AS$4,TKB_LOP_CHECK!$B$65:$J$860,9,0),"")</f>
        <v/>
      </c>
      <c r="AT13" s="40" t="str">
        <f>IFERROR(VLOOKUP($A$11&amp;$D$5&amp;$B13&amp;$AS$4,TKB_LOP_CHECK!$B$65:$J$860,9,0),"")</f>
        <v>Toán -2C1</v>
      </c>
      <c r="AU13" s="40" t="str">
        <f>IFERROR(VLOOKUP($A$11&amp;$C$5&amp;$B13&amp;$AU$4,TKB_LOP_CHECK!$B$65:$J$860,9,0),"")</f>
        <v/>
      </c>
      <c r="AV13" s="40" t="str">
        <f>IFERROR(VLOOKUP($A$11&amp;$D$5&amp;$B13&amp;$AU$4,TKB_LOP_CHECK!$B$65:$J$860,9,0),"")</f>
        <v/>
      </c>
      <c r="AW13" s="40" t="str">
        <f>IFERROR(VLOOKUP($A$11&amp;$C$5&amp;$B13&amp;$AW$4,TKB_LOP_CHECK!$B$65:$J$860,9,0),"")</f>
        <v/>
      </c>
      <c r="AX13" s="40" t="str">
        <f>IFERROR(VLOOKUP($A$11&amp;$D$5&amp;$B13&amp;$AW$4,TKB_LOP_CHECK!$B$65:$J$860,9,0),"")</f>
        <v/>
      </c>
      <c r="AY13" s="40" t="str">
        <f>IFERROR(VLOOKUP($A$11&amp;$C$5&amp;$B13&amp;$AY$4,TKB_LOP_CHECK!$B$65:$J$860,9,0),"")</f>
        <v/>
      </c>
      <c r="AZ13" s="40" t="str">
        <f>IFERROR(VLOOKUP($A$11&amp;$D$5&amp;$B13&amp;$AY$4,TKB_LOP_CHECK!$B$65:$J$860,9,0),"")</f>
        <v/>
      </c>
      <c r="BA13" s="40" t="str">
        <f>IFERROR(VLOOKUP($A$11&amp;$C$5&amp;$B13&amp;$BA$4,TKB_LOP_CHECK!$B$65:$J$860,9,0),"")</f>
        <v/>
      </c>
      <c r="BB13" s="40" t="str">
        <f>IFERROR(VLOOKUP($A$11&amp;$D$5&amp;$B13&amp;$BA$4,TKB_LOP_CHECK!$B$65:$J$860,9,0),"")</f>
        <v/>
      </c>
      <c r="BC13" s="40" t="str">
        <f>IFERROR(VLOOKUP($A$11&amp;$C$5&amp;$B13&amp;$BC$4,TKB_LOP_CHECK!$B$65:$J$860,9,0),"")</f>
        <v/>
      </c>
      <c r="BD13" s="40" t="str">
        <f>IFERROR(VLOOKUP($A$11&amp;$D$5&amp;$B13&amp;$BC$4,TKB_LOP_CHECK!$B$65:$J$860,9,0),"")</f>
        <v/>
      </c>
      <c r="BE13" s="40" t="str">
        <f>IFERROR(VLOOKUP($A$11&amp;$C$5&amp;$B13&amp;$BE$4,TKB_LOP_CHECK!$B$65:$J$860,9,0),"")</f>
        <v/>
      </c>
      <c r="BF13" s="40" t="str">
        <f>IFERROR(VLOOKUP($A$11&amp;$D$5&amp;$B13&amp;$BE$4,TKB_LOP_CHECK!$B$65:$J$860,9,0),"")</f>
        <v/>
      </c>
      <c r="BG13" s="40" t="str">
        <f>IFERROR(VLOOKUP($A$11&amp;$C$5&amp;$B13&amp;$BG$4,TKB_LOP_CHECK!$B$65:$J$860,9,0),"")</f>
        <v/>
      </c>
      <c r="BH13" s="40" t="str">
        <f>IFERROR(VLOOKUP($A$11&amp;$D$5&amp;$B13&amp;$BG$4,TKB_LOP_CHECK!$B$65:$J$860,9,0),"")</f>
        <v/>
      </c>
      <c r="BI13" s="40" t="str">
        <f>IFERROR(VLOOKUP($A$11&amp;$C$5&amp;$B13&amp;$BI$4,TKB_LOP_CHECK!$B$65:$J$860,9,0),"")</f>
        <v/>
      </c>
      <c r="BJ13" s="40" t="str">
        <f>IFERROR(VLOOKUP($A$11&amp;$D$5&amp;$B13&amp;$BI$4,TKB_LOP_CHECK!$B$65:$J$860,9,0),"")</f>
        <v/>
      </c>
      <c r="BK13" s="40" t="str">
        <f>IFERROR(VLOOKUP($A$11&amp;$C$5&amp;$B13&amp;$BK$4,TKB_LOP_CHECK!$B$65:$J$860,9,0),"")</f>
        <v/>
      </c>
      <c r="BL13" s="40" t="str">
        <f>IFERROR(VLOOKUP($A$11&amp;$D$5&amp;$B13&amp;$BK$4,TKB_LOP_CHECK!$B$65:$J$860,9,0),"")</f>
        <v/>
      </c>
      <c r="BM13" s="40" t="str">
        <f>IFERROR(VLOOKUP($A$11&amp;$C$5&amp;$B13&amp;$BM$4,TKB_LOP_CHECK!$B$65:$J$860,9,0),"")</f>
        <v/>
      </c>
      <c r="BN13" s="40" t="str">
        <f>IFERROR(VLOOKUP($A$11&amp;$D$5&amp;$B13&amp;$BM$4,TKB_LOP_CHECK!$B$65:$J$860,9,0),"")</f>
        <v/>
      </c>
      <c r="BO13" s="40" t="str">
        <f>IFERROR(VLOOKUP($A$11&amp;$C$5&amp;$B13&amp;$BO$4,TKB_LOP_CHECK!$A$65:$J$860,10,0),"")</f>
        <v/>
      </c>
      <c r="BP13" s="40" t="str">
        <f>IFERROR(VLOOKUP($A$11&amp;$D$5&amp;$B13&amp;$BO$4,TKB_LOP_CHECK!$A$65:$J$860,10,0),"")</f>
        <v/>
      </c>
      <c r="BQ13" s="40" t="str">
        <f>IFERROR(VLOOKUP($A$11&amp;$C$5&amp;$B13&amp;$BQ$4,TKB_LOP_CHECK!$A$65:$J$860,10,0),"")</f>
        <v>GVNN -3C1</v>
      </c>
      <c r="BR13" s="40" t="str">
        <f>IFERROR(VLOOKUP($A$11&amp;$D$5&amp;$B13&amp;$BQ$4,TKB_LOP_CHECK!$A$65:$J$860,10,0),"")</f>
        <v/>
      </c>
      <c r="BS13" s="40" t="str">
        <f>IFERROR(VLOOKUP($A$11&amp;$C$5&amp;$B13&amp;$BS$4,TKB_LOP_CHECK!$A$65:$J$860,10,0),"")</f>
        <v/>
      </c>
      <c r="BT13" s="40" t="str">
        <f>IFERROR(VLOOKUP($A$11&amp;$D$5&amp;$B13&amp;$BS$4,TKB_LOP_CHECK!$A$65:$J$860,10,0),"")</f>
        <v/>
      </c>
      <c r="BU13" s="40" t="str">
        <f>IFERROR(VLOOKUP($A$11&amp;$C$5&amp;$B13&amp;$BU$4,TKB_LOP_CHECK!$A$65:$J$860,10,0),"")</f>
        <v/>
      </c>
      <c r="BV13" s="40" t="str">
        <f>IFERROR(VLOOKUP($A$11&amp;$D$5&amp;$B13&amp;$BU$4,TKB_LOP_CHECK!$A$65:$J$860,10,0),"")</f>
        <v/>
      </c>
    </row>
    <row r="14" spans="1:74" ht="16.7" customHeight="1" x14ac:dyDescent="0.25">
      <c r="A14" s="95"/>
      <c r="B14" s="41">
        <v>4</v>
      </c>
      <c r="C14" s="40" t="str">
        <f>IFERROR(VLOOKUP($A$11&amp;$C$5&amp;$B14&amp;$C$4,TKB_LOP_CHECK!$B$65:$J$860,9,0),"")</f>
        <v>GVNN -6A1</v>
      </c>
      <c r="D14" s="40" t="str">
        <f>IFERROR(VLOOKUP($A$11&amp;$D$5&amp;$B14&amp;$C$4,TKB_LOP_CHECK!$B$65:$J$860,9,0),"")</f>
        <v/>
      </c>
      <c r="E14" s="40" t="s">
        <v>166</v>
      </c>
      <c r="F14" s="40" t="str">
        <f>IFERROR(VLOOKUP($A$11&amp;$D$5&amp;$B14&amp;$E$4,TKB_LOP_CHECK!$B$65:$J$860,9,0),"")</f>
        <v/>
      </c>
      <c r="G14" s="40" t="str">
        <f>IFERROR(VLOOKUP($A$11&amp;$C$5&amp;$B14&amp;$G$4,TKB_LOP_CHECK!$B$65:$J$860,9,0),"")</f>
        <v>GVVN -8A1</v>
      </c>
      <c r="H14" s="40" t="str">
        <f>IFERROR(VLOOKUP($A$11&amp;$D$5&amp;$B14&amp;$G$4,TKB_LOP_CHECK!$B$65:$J$860,9,0),"")</f>
        <v/>
      </c>
      <c r="I14" s="40" t="str">
        <f>IFERROR(VLOOKUP($A$11&amp;$C$5&amp;$B14&amp;$I$4,TKB_LOP_CHECK!$B$65:$J$860,9,0),"")</f>
        <v>Toán -3C1</v>
      </c>
      <c r="J14" s="40" t="str">
        <f>IFERROR(VLOOKUP($A$11&amp;$D$5&amp;$B14&amp;$I$4,TKB_LOP_CHECK!$B$65:$J$860,9,0),"")</f>
        <v>Toán -5C1</v>
      </c>
      <c r="K14" s="40" t="str">
        <f>IFERROR(VLOOKUP($A$11&amp;$C$5&amp;$B14&amp;$K$4,TKB_LOP_CHECK!$B$65:$J$860,9,0),"")</f>
        <v>Toán -3C1</v>
      </c>
      <c r="L14" s="40" t="str">
        <f>IFERROR(VLOOKUP($A$11&amp;$D$5&amp;$B14&amp;$K$4,TKB_LOP_CHECK!$B$65:$J$860,9,0),"")</f>
        <v>Toán -5C1</v>
      </c>
      <c r="M14" s="40" t="str">
        <f>IFERROR(VLOOKUP($A$11&amp;$C$5&amp;$B14&amp;$M$4,TKB_LOP_CHECK!$B$65:$J$860,9,0),"")</f>
        <v>GVVN -1A1</v>
      </c>
      <c r="N14" s="40" t="str">
        <f>IFERROR(VLOOKUP($A$11&amp;$D$5&amp;$B14&amp;$M$4,TKB_LOP_CHECK!$B$65:$J$860,9,0),"")</f>
        <v>GVVN -1A1</v>
      </c>
      <c r="O14" s="40" t="str">
        <f>IFERROR(VLOOKUP($A$11&amp;$C$5&amp;$B14&amp;$O$4,TKB_LOP_CHECK!$B$65:$J$860,9,0),"")</f>
        <v>Lối sống -TTH1</v>
      </c>
      <c r="P14" s="40" t="str">
        <f>IFERROR(VLOOKUP($A$11&amp;$D$5&amp;$B14&amp;$O$4,TKB_LOP_CHECK!$B$65:$J$860,9,0),"")</f>
        <v/>
      </c>
      <c r="Q14" s="40" t="str">
        <f>IFERROR(VLOOKUP($A$11&amp;$C$5&amp;$B14&amp;$Q$4,TKB_LOP_CHECK!$B$65:$J$860,9,0),"")</f>
        <v/>
      </c>
      <c r="R14" s="40" t="str">
        <f>IFERROR(VLOOKUP($A$11&amp;$D$5&amp;$B14&amp;$Q$4,TKB_LOP_CHECK!$B$65:$J$860,9,0),"")</f>
        <v>GDTC -1C1</v>
      </c>
      <c r="S14" s="40" t="str">
        <f>IFERROR(VLOOKUP($A$11&amp;$C$5&amp;$B14&amp;$S$4,TKB_LOP_CHECK!$B$65:$J$860,9,0),"")</f>
        <v>GVVN -8A1</v>
      </c>
      <c r="T14" s="40" t="str">
        <f>IFERROR(VLOOKUP($A$11&amp;$D$5&amp;$B14&amp;$S$4,TKB_LOP_CHECK!$B$65:$J$860,9,0),"")</f>
        <v/>
      </c>
      <c r="U14" s="40" t="str">
        <f>IFERROR(VLOOKUP($A$11&amp;$C$5&amp;$B14&amp;$U$4,TKB_LOP_CHECK!$B$65:$J$860,9,0),"")</f>
        <v/>
      </c>
      <c r="V14" s="40" t="str">
        <f>IFERROR(VLOOKUP($A$11&amp;$D$5&amp;$B14&amp;$U$4,TKB_LOP_CHECK!$B$65:$J$860,9,0),"")</f>
        <v>Văn -8A1</v>
      </c>
      <c r="W14" s="40" t="str">
        <f>IFERROR(VLOOKUP($A$11&amp;$C$5&amp;$B14&amp;$W$4,TKB_LOP_CHECK!$B$65:$J$860,9,0),"")</f>
        <v/>
      </c>
      <c r="X14" s="40" t="str">
        <f>IFERROR(VLOOKUP($A$11&amp;$D$5&amp;$B14&amp;$W$4,TKB_LOP_CHECK!$B$65:$J$860,9,0),"")</f>
        <v/>
      </c>
      <c r="Y14" s="40" t="str">
        <f>IFERROR(VLOOKUP($A$11&amp;$C$5&amp;$B14&amp;$Y$4,TKB_LOP_CHECK!$B$65:$J$860,9,0),"")</f>
        <v>TViệt -3A1</v>
      </c>
      <c r="Z14" s="40" t="str">
        <f>IFERROR(VLOOKUP($A$11&amp;$D$5&amp;$B14&amp;$Y$4,TKB_LOP_CHECK!$B$65:$J$860,9,0),"")</f>
        <v/>
      </c>
      <c r="AA14" s="40" t="str">
        <f>IFERROR(VLOOKUP($A$11&amp;$C$5&amp;$B14&amp;$AA$4,TKB_LOP_CHECK!$B$65:$J$860,9,0),"")</f>
        <v>GVVN -1A1</v>
      </c>
      <c r="AB14" s="40" t="str">
        <f>IFERROR(VLOOKUP($A$11&amp;$D$5&amp;$B14&amp;$AA$4,TKB_LOP_CHECK!$B$65:$J$860,9,0),"")</f>
        <v>GVVN -1A1</v>
      </c>
      <c r="AC14" s="40" t="str">
        <f>IFERROR(VLOOKUP($A$11&amp;$C$5&amp;$B14&amp;$AC$4,TKB_LOP_CHECK!$B$65:$J$860,9,0),"")</f>
        <v/>
      </c>
      <c r="AD14" s="40" t="str">
        <f>IFERROR(VLOOKUP($A$11&amp;$D$5&amp;$B14&amp;$AC$4,TKB_LOP_CHECK!$B$65:$J$860,9,0),"")</f>
        <v/>
      </c>
      <c r="AE14" s="40" t="str">
        <f>IFERROR(VLOOKUP($A$11&amp;$C$5&amp;$B14&amp;$AE$4,TKB_LOP_CHECK!$B$65:$J$860,9,0),"")</f>
        <v/>
      </c>
      <c r="AF14" s="40" t="str">
        <f>IFERROR(VLOOKUP($A$11&amp;$D$5&amp;$B14&amp;$AE$4,TKB_LOP_CHECK!$B$65:$J$860,9,0),"")</f>
        <v>GVVN -3C1</v>
      </c>
      <c r="AG14" s="40" t="str">
        <f>IFERROR(VLOOKUP($A$11&amp;$C$5&amp;$B14&amp;$AG$4,TKB_LOP_CHECK!$B$65:$J$860,9,0),"")</f>
        <v>GVVN -1A1</v>
      </c>
      <c r="AH14" s="40" t="str">
        <f>IFERROR(VLOOKUP($A$11&amp;$D$5&amp;$B14&amp;$AG$4,TKB_LOP_CHECK!$B$65:$J$860,9,0),"")</f>
        <v>GVVN -1A1</v>
      </c>
      <c r="AI14" s="40" t="str">
        <f>IFERROR(VLOOKUP($A$11&amp;$C$5&amp;$B14&amp;$AI$4,TKB_LOP_CHECK!$B$65:$J$860,9,0),"")</f>
        <v>KHTN -7A1</v>
      </c>
      <c r="AJ14" s="40" t="str">
        <f>IFERROR(VLOOKUP($A$11&amp;$D$5&amp;$B14&amp;$AI$4,TKB_LOP_CHECK!$B$65:$J$860,9,0),"")</f>
        <v/>
      </c>
      <c r="AK14" s="40" t="str">
        <f>IFERROR(VLOOKUP($A$11&amp;$C$5&amp;$B14&amp;$AK$4,TKB_LOP_CHECK!$B$65:$J$860,9,0),"")</f>
        <v/>
      </c>
      <c r="AL14" s="40" t="str">
        <f>IFERROR(VLOOKUP($A$11&amp;$D$5&amp;$B14&amp;$AK$4,TKB_LOP_CHECK!$B$65:$J$860,9,0),"")</f>
        <v/>
      </c>
      <c r="AM14" s="40" t="str">
        <f>IFERROR(VLOOKUP($A$11&amp;$C$5&amp;$B14&amp;$AM$4,TKB_LOP_CHECK!$B$65:$J$860,9,0),"")</f>
        <v/>
      </c>
      <c r="AN14" s="40" t="str">
        <f>IFERROR(VLOOKUP($A$11&amp;$D$5&amp;$B14&amp;$AM$4,TKB_LOP_CHECK!$B$65:$J$860,9,0),"")</f>
        <v>TViệt -4C1</v>
      </c>
      <c r="AO14" s="40" t="str">
        <f>IFERROR(VLOOKUP($A$11&amp;$C$5&amp;$B14&amp;$AO$4,TKB_LOP_CHECK!$B$65:$J$860,9,0),"")</f>
        <v/>
      </c>
      <c r="AP14" s="40" t="str">
        <f>IFERROR(VLOOKUP($A$11&amp;$D$5&amp;$B14&amp;$AO$4,TKB_LOP_CHECK!$B$65:$J$860,9,0),"")</f>
        <v>TViệt -2C1</v>
      </c>
      <c r="AQ14" s="40" t="str">
        <f>IFERROR(VLOOKUP($A$11&amp;$C$5&amp;$B14&amp;$AQ$4,TKB_LOP_CHECK!$B$65:$J$860,9,0),"")</f>
        <v>GVNN -6A1</v>
      </c>
      <c r="AR14" s="40" t="str">
        <f>IFERROR(VLOOKUP($A$11&amp;$D$5&amp;$B14&amp;$AQ$4,TKB_LOP_CHECK!$B$65:$J$860,9,0),"")</f>
        <v/>
      </c>
      <c r="AS14" s="40" t="str">
        <f>IFERROR(VLOOKUP($A$11&amp;$C$5&amp;$B14&amp;$AS$4,TKB_LOP_CHECK!$B$65:$J$860,9,0),"")</f>
        <v>Toán -3C1</v>
      </c>
      <c r="AT14" s="40" t="str">
        <f>IFERROR(VLOOKUP($A$11&amp;$D$5&amp;$B14&amp;$AS$4,TKB_LOP_CHECK!$B$65:$J$860,9,0),"")</f>
        <v>Toán -5C1</v>
      </c>
      <c r="AU14" s="40" t="str">
        <f>IFERROR(VLOOKUP($A$11&amp;$C$5&amp;$B14&amp;$AU$4,TKB_LOP_CHECK!$B$65:$J$860,9,0),"")</f>
        <v/>
      </c>
      <c r="AV14" s="40" t="str">
        <f>IFERROR(VLOOKUP($A$11&amp;$D$5&amp;$B14&amp;$AU$4,TKB_LOP_CHECK!$B$65:$J$860,9,0),"")</f>
        <v/>
      </c>
      <c r="AW14" s="40" t="str">
        <f>IFERROR(VLOOKUP($A$11&amp;$C$5&amp;$B14&amp;$AW$4,TKB_LOP_CHECK!$B$65:$J$860,9,0),"")</f>
        <v/>
      </c>
      <c r="AX14" s="40" t="str">
        <f>IFERROR(VLOOKUP($A$11&amp;$D$5&amp;$B14&amp;$AW$4,TKB_LOP_CHECK!$B$65:$J$860,9,0),"")</f>
        <v/>
      </c>
      <c r="AY14" s="40" t="str">
        <f>IFERROR(VLOOKUP($A$11&amp;$C$5&amp;$B14&amp;$AY$4,TKB_LOP_CHECK!$B$65:$J$860,9,0),"")</f>
        <v/>
      </c>
      <c r="AZ14" s="40" t="str">
        <f>IFERROR(VLOOKUP($A$11&amp;$D$5&amp;$B14&amp;$AY$4,TKB_LOP_CHECK!$B$65:$J$860,9,0),"")</f>
        <v/>
      </c>
      <c r="BA14" s="40" t="str">
        <f>IFERROR(VLOOKUP($A$11&amp;$C$5&amp;$B14&amp;$BA$4,TKB_LOP_CHECK!$B$65:$J$860,9,0),"")</f>
        <v/>
      </c>
      <c r="BB14" s="40" t="str">
        <f>IFERROR(VLOOKUP($A$11&amp;$D$5&amp;$B14&amp;$BA$4,TKB_LOP_CHECK!$B$65:$J$860,9,0),"")</f>
        <v/>
      </c>
      <c r="BC14" s="40" t="str">
        <f>IFERROR(VLOOKUP($A$11&amp;$C$5&amp;$B14&amp;$BC$4,TKB_LOP_CHECK!$B$65:$J$860,9,0),"")</f>
        <v/>
      </c>
      <c r="BD14" s="40" t="str">
        <f>IFERROR(VLOOKUP($A$11&amp;$D$5&amp;$B14&amp;$BC$4,TKB_LOP_CHECK!$B$65:$J$860,9,0),"")</f>
        <v/>
      </c>
      <c r="BE14" s="40" t="str">
        <f>IFERROR(VLOOKUP($A$11&amp;$C$5&amp;$B14&amp;$BE$4,TKB_LOP_CHECK!$B$65:$J$860,9,0),"")</f>
        <v/>
      </c>
      <c r="BF14" s="40" t="str">
        <f>IFERROR(VLOOKUP($A$11&amp;$D$5&amp;$B14&amp;$BE$4,TKB_LOP_CHECK!$B$65:$J$860,9,0),"")</f>
        <v/>
      </c>
      <c r="BG14" s="40" t="str">
        <f>IFERROR(VLOOKUP($A$11&amp;$C$5&amp;$B14&amp;$BG$4,TKB_LOP_CHECK!$B$65:$J$860,9,0),"")</f>
        <v/>
      </c>
      <c r="BH14" s="40" t="str">
        <f>IFERROR(VLOOKUP($A$11&amp;$D$5&amp;$B14&amp;$BG$4,TKB_LOP_CHECK!$B$65:$J$860,9,0),"")</f>
        <v/>
      </c>
      <c r="BI14" s="40" t="str">
        <f>IFERROR(VLOOKUP($A$11&amp;$C$5&amp;$B14&amp;$BI$4,TKB_LOP_CHECK!$B$65:$J$860,9,0),"")</f>
        <v/>
      </c>
      <c r="BJ14" s="40" t="str">
        <f>IFERROR(VLOOKUP($A$11&amp;$D$5&amp;$B14&amp;$BI$4,TKB_LOP_CHECK!$B$65:$J$860,9,0),"")</f>
        <v/>
      </c>
      <c r="BK14" s="40" t="str">
        <f>IFERROR(VLOOKUP($A$11&amp;$C$5&amp;$B14&amp;$BK$4,TKB_LOP_CHECK!$B$65:$J$860,9,0),"")</f>
        <v/>
      </c>
      <c r="BL14" s="40" t="str">
        <f>IFERROR(VLOOKUP($A$11&amp;$D$5&amp;$B14&amp;$BK$4,TKB_LOP_CHECK!$B$65:$J$860,9,0),"")</f>
        <v/>
      </c>
      <c r="BM14" s="40" t="str">
        <f>IFERROR(VLOOKUP($A$11&amp;$C$5&amp;$B14&amp;$BM$4,TKB_LOP_CHECK!$B$65:$J$860,9,0),"")</f>
        <v/>
      </c>
      <c r="BN14" s="40" t="str">
        <f>IFERROR(VLOOKUP($A$11&amp;$D$5&amp;$B14&amp;$BM$4,TKB_LOP_CHECK!$B$65:$J$860,9,0),"")</f>
        <v/>
      </c>
      <c r="BO14" s="40" t="str">
        <f>IFERROR(VLOOKUP($A$11&amp;$C$5&amp;$B14&amp;$BO$4,TKB_LOP_CHECK!$A$65:$J$860,10,0),"")</f>
        <v/>
      </c>
      <c r="BP14" s="40" t="str">
        <f>IFERROR(VLOOKUP($A$11&amp;$D$5&amp;$B14&amp;$BO$4,TKB_LOP_CHECK!$A$65:$J$860,10,0),"")</f>
        <v/>
      </c>
      <c r="BQ14" s="40" t="str">
        <f>IFERROR(VLOOKUP($A$11&amp;$C$5&amp;$B14&amp;$BQ$4,TKB_LOP_CHECK!$A$65:$J$860,10,0),"")</f>
        <v>GVNN -2C1</v>
      </c>
      <c r="BR14" s="40" t="str">
        <f>IFERROR(VLOOKUP($A$11&amp;$D$5&amp;$B14&amp;$BQ$4,TKB_LOP_CHECK!$A$65:$J$860,10,0),"")</f>
        <v/>
      </c>
      <c r="BS14" s="40" t="str">
        <f>IFERROR(VLOOKUP($A$11&amp;$C$5&amp;$B14&amp;$BS$4,TKB_LOP_CHECK!$A$65:$J$860,10,0),"")</f>
        <v/>
      </c>
      <c r="BT14" s="40" t="str">
        <f>IFERROR(VLOOKUP($A$11&amp;$D$5&amp;$B14&amp;$BS$4,TKB_LOP_CHECK!$A$65:$J$860,10,0),"")</f>
        <v/>
      </c>
      <c r="BU14" s="40" t="str">
        <f>IFERROR(VLOOKUP($A$11&amp;$C$5&amp;$B14&amp;$BU$4,TKB_LOP_CHECK!$A$65:$J$860,10,0),"")</f>
        <v/>
      </c>
      <c r="BV14" s="40" t="str">
        <f>IFERROR(VLOOKUP($A$11&amp;$D$5&amp;$B14&amp;$BU$4,TKB_LOP_CHECK!$A$65:$J$860,10,0),"")</f>
        <v/>
      </c>
    </row>
    <row r="15" spans="1:74" ht="16.7" customHeight="1" x14ac:dyDescent="0.25">
      <c r="A15" s="96"/>
      <c r="B15" s="42">
        <v>5</v>
      </c>
      <c r="C15" s="40" t="str">
        <f>IFERROR(VLOOKUP($A$11&amp;$C$5&amp;$B15&amp;$C$4,TKB_LOP_CHECK!$B$65:$J$860,9,0),"")</f>
        <v>GVNN -6A1</v>
      </c>
      <c r="D15" s="40" t="str">
        <f>IFERROR(VLOOKUP($A$11&amp;$D$5&amp;$B15&amp;$C$4,TKB_LOP_CHECK!$B$65:$J$860,9,0),"")</f>
        <v/>
      </c>
      <c r="E15" s="40" t="str">
        <f>IFERROR(VLOOKUP($A$11&amp;$C$5&amp;$B15&amp;$E$4,TKB_LOP_CHECK!$B$65:$J$860,9,0),"")</f>
        <v/>
      </c>
      <c r="F15" s="40" t="str">
        <f>IFERROR(VLOOKUP($A$11&amp;$D$5&amp;$B15&amp;$E$4,TKB_LOP_CHECK!$B$65:$J$860,9,0),"")</f>
        <v/>
      </c>
      <c r="G15" s="40" t="str">
        <f>IFERROR(VLOOKUP($A$11&amp;$C$5&amp;$B15&amp;$G$4,TKB_LOP_CHECK!$B$65:$J$860,9,0),"")</f>
        <v/>
      </c>
      <c r="H15" s="40" t="str">
        <f>IFERROR(VLOOKUP($A$11&amp;$D$5&amp;$B15&amp;$G$4,TKB_LOP_CHECK!$B$65:$J$860,9,0),"")</f>
        <v/>
      </c>
      <c r="I15" s="40" t="str">
        <f>IFERROR(VLOOKUP($A$11&amp;$C$5&amp;$B15&amp;$I$4,TKB_LOP_CHECK!$B$65:$J$860,9,0),"")</f>
        <v/>
      </c>
      <c r="J15" s="40" t="str">
        <f>IFERROR(VLOOKUP($A$11&amp;$D$5&amp;$B15&amp;$I$4,TKB_LOP_CHECK!$B$65:$J$860,9,0),"")</f>
        <v/>
      </c>
      <c r="K15" s="40" t="str">
        <f>IFERROR(VLOOKUP($A$11&amp;$C$5&amp;$B15&amp;$K$4,TKB_LOP_CHECK!$B$65:$J$860,9,0),"")</f>
        <v/>
      </c>
      <c r="L15" s="40" t="str">
        <f>IFERROR(VLOOKUP($A$11&amp;$D$5&amp;$B15&amp;$K$4,TKB_LOP_CHECK!$B$65:$J$860,9,0),"")</f>
        <v/>
      </c>
      <c r="M15" s="40" t="str">
        <f>IFERROR(VLOOKUP($A$11&amp;$C$5&amp;$B15&amp;$M$4,TKB_LOP_CHECK!$B$65:$J$860,9,0),"")</f>
        <v/>
      </c>
      <c r="N15" s="40" t="str">
        <f>IFERROR(VLOOKUP($A$11&amp;$D$5&amp;$B15&amp;$M$4,TKB_LOP_CHECK!$B$65:$J$860,9,0),"")</f>
        <v/>
      </c>
      <c r="O15" s="40" t="str">
        <f>IFERROR(VLOOKUP($A$11&amp;$C$5&amp;$B15&amp;$O$4,TKB_LOP_CHECK!$B$65:$J$860,9,0),"")</f>
        <v/>
      </c>
      <c r="P15" s="40" t="str">
        <f>IFERROR(VLOOKUP($A$11&amp;$D$5&amp;$B15&amp;$O$4,TKB_LOP_CHECK!$B$65:$J$860,9,0),"")</f>
        <v/>
      </c>
      <c r="Q15" s="40" t="str">
        <f>IFERROR(VLOOKUP($A$11&amp;$C$5&amp;$B15&amp;$Q$4,TKB_LOP_CHECK!$B$65:$J$860,9,0),"")</f>
        <v/>
      </c>
      <c r="R15" s="40" t="str">
        <f>IFERROR(VLOOKUP($A$11&amp;$D$5&amp;$B15&amp;$Q$4,TKB_LOP_CHECK!$B$65:$J$860,9,0),"")</f>
        <v/>
      </c>
      <c r="S15" s="40" t="str">
        <f>IFERROR(VLOOKUP($A$11&amp;$C$5&amp;$B15&amp;$S$4,TKB_LOP_CHECK!$B$65:$J$860,9,0),"")</f>
        <v/>
      </c>
      <c r="T15" s="40" t="str">
        <f>IFERROR(VLOOKUP($A$11&amp;$D$5&amp;$B15&amp;$S$4,TKB_LOP_CHECK!$B$65:$J$860,9,0),"")</f>
        <v/>
      </c>
      <c r="U15" s="40" t="str">
        <f>IFERROR(VLOOKUP($A$11&amp;$C$5&amp;$B15&amp;$U$4,TKB_LOP_CHECK!$B$65:$J$860,9,0),"")</f>
        <v>Văn -7A1</v>
      </c>
      <c r="V15" s="40" t="str">
        <f>IFERROR(VLOOKUP($A$11&amp;$D$5&amp;$B15&amp;$U$4,TKB_LOP_CHECK!$B$65:$J$860,9,0),"")</f>
        <v/>
      </c>
      <c r="W15" s="40" t="str">
        <f>IFERROR(VLOOKUP($A$11&amp;$C$5&amp;$B15&amp;$W$4,TKB_LOP_CHECK!$B$65:$J$860,9,0),"")</f>
        <v/>
      </c>
      <c r="X15" s="40" t="str">
        <f>IFERROR(VLOOKUP($A$11&amp;$D$5&amp;$B15&amp;$W$4,TKB_LOP_CHECK!$B$65:$J$860,9,0),"")</f>
        <v/>
      </c>
      <c r="Y15" s="40" t="str">
        <f>IFERROR(VLOOKUP($A$11&amp;$C$5&amp;$B15&amp;$Y$4,TKB_LOP_CHECK!$B$65:$J$860,9,0),"")</f>
        <v/>
      </c>
      <c r="Z15" s="40" t="str">
        <f>IFERROR(VLOOKUP($A$11&amp;$D$5&amp;$B15&amp;$Y$4,TKB_LOP_CHECK!$B$65:$J$860,9,0),"")</f>
        <v/>
      </c>
      <c r="AA15" s="40" t="str">
        <f>IFERROR(VLOOKUP($A$11&amp;$C$5&amp;$B15&amp;$AA$4,TKB_LOP_CHECK!$B$65:$J$860,9,0),"")</f>
        <v/>
      </c>
      <c r="AB15" s="40" t="str">
        <f>IFERROR(VLOOKUP($A$11&amp;$D$5&amp;$B15&amp;$AA$4,TKB_LOP_CHECK!$B$65:$J$860,9,0),"")</f>
        <v/>
      </c>
      <c r="AC15" s="40" t="str">
        <f>IFERROR(VLOOKUP($A$11&amp;$C$5&amp;$B15&amp;$AC$4,TKB_LOP_CHECK!$B$65:$J$860,9,0),"")</f>
        <v/>
      </c>
      <c r="AD15" s="40" t="str">
        <f>IFERROR(VLOOKUP($A$11&amp;$D$5&amp;$B15&amp;$AC$4,TKB_LOP_CHECK!$B$65:$J$860,9,0),"")</f>
        <v/>
      </c>
      <c r="AE15" s="40" t="str">
        <f>IFERROR(VLOOKUP($A$11&amp;$C$5&amp;$B15&amp;$AE$4,TKB_LOP_CHECK!$B$65:$J$860,9,0),"")</f>
        <v/>
      </c>
      <c r="AF15" s="40" t="str">
        <f>IFERROR(VLOOKUP($A$11&amp;$D$5&amp;$B15&amp;$AE$4,TKB_LOP_CHECK!$B$65:$J$860,9,0),"")</f>
        <v/>
      </c>
      <c r="AG15" s="40" t="str">
        <f>IFERROR(VLOOKUP($A$11&amp;$C$5&amp;$B15&amp;$AG$4,TKB_LOP_CHECK!$B$65:$J$860,9,0),"")</f>
        <v/>
      </c>
      <c r="AH15" s="40" t="str">
        <f>IFERROR(VLOOKUP($A$11&amp;$D$5&amp;$B15&amp;$AG$4,TKB_LOP_CHECK!$B$65:$J$860,9,0),"")</f>
        <v/>
      </c>
      <c r="AI15" s="40" t="str">
        <f>IFERROR(VLOOKUP($A$11&amp;$C$5&amp;$B15&amp;$AI$4,TKB_LOP_CHECK!$B$65:$J$860,9,0),"")</f>
        <v/>
      </c>
      <c r="AJ15" s="40" t="str">
        <f>IFERROR(VLOOKUP($A$11&amp;$D$5&amp;$B15&amp;$AI$4,TKB_LOP_CHECK!$B$65:$J$860,9,0),"")</f>
        <v/>
      </c>
      <c r="AK15" s="40" t="str">
        <f>IFERROR(VLOOKUP($A$11&amp;$C$5&amp;$B15&amp;$AK$4,TKB_LOP_CHECK!$B$65:$J$860,9,0),"")</f>
        <v/>
      </c>
      <c r="AL15" s="40" t="str">
        <f>IFERROR(VLOOKUP($A$11&amp;$D$5&amp;$B15&amp;$AK$4,TKB_LOP_CHECK!$B$65:$J$860,9,0),"")</f>
        <v/>
      </c>
      <c r="AM15" s="40" t="str">
        <f>IFERROR(VLOOKUP($A$11&amp;$C$5&amp;$B15&amp;$AM$4,TKB_LOP_CHECK!$B$65:$J$860,9,0),"")</f>
        <v/>
      </c>
      <c r="AN15" s="40" t="str">
        <f>IFERROR(VLOOKUP($A$11&amp;$D$5&amp;$B15&amp;$AM$4,TKB_LOP_CHECK!$B$65:$J$860,9,0),"")</f>
        <v/>
      </c>
      <c r="AO15" s="40" t="str">
        <f>IFERROR(VLOOKUP($A$11&amp;$C$5&amp;$B15&amp;$AO$4,TKB_LOP_CHECK!$B$65:$J$860,9,0),"")</f>
        <v/>
      </c>
      <c r="AP15" s="40" t="str">
        <f>IFERROR(VLOOKUP($A$11&amp;$D$5&amp;$B15&amp;$AO$4,TKB_LOP_CHECK!$B$65:$J$860,9,0),"")</f>
        <v/>
      </c>
      <c r="AQ15" s="40" t="str">
        <f>IFERROR(VLOOKUP($A$11&amp;$C$5&amp;$B15&amp;$AQ$4,TKB_LOP_CHECK!$B$65:$J$860,9,0),"")</f>
        <v>GVNN -6A1</v>
      </c>
      <c r="AR15" s="40" t="str">
        <f>IFERROR(VLOOKUP($A$11&amp;$D$5&amp;$B15&amp;$AQ$4,TKB_LOP_CHECK!$B$65:$J$860,9,0),"")</f>
        <v/>
      </c>
      <c r="AS15" s="40" t="str">
        <f>IFERROR(VLOOKUP($A$11&amp;$C$5&amp;$B15&amp;$AS$4,TKB_LOP_CHECK!$B$65:$J$860,9,0),"")</f>
        <v/>
      </c>
      <c r="AT15" s="40" t="str">
        <f>IFERROR(VLOOKUP($A$11&amp;$D$5&amp;$B15&amp;$AS$4,TKB_LOP_CHECK!$B$65:$J$860,9,0),"")</f>
        <v/>
      </c>
      <c r="AU15" s="40" t="str">
        <f>IFERROR(VLOOKUP($A$11&amp;$C$5&amp;$B15&amp;$AU$4,TKB_LOP_CHECK!$B$65:$J$860,9,0),"")</f>
        <v/>
      </c>
      <c r="AV15" s="40" t="str">
        <f>IFERROR(VLOOKUP($A$11&amp;$D$5&amp;$B15&amp;$AU$4,TKB_LOP_CHECK!$B$65:$J$860,9,0),"")</f>
        <v/>
      </c>
      <c r="AW15" s="40" t="str">
        <f>IFERROR(VLOOKUP($A$11&amp;$C$5&amp;$B15&amp;$AW$4,TKB_LOP_CHECK!$B$65:$J$860,9,0),"")</f>
        <v/>
      </c>
      <c r="AX15" s="40" t="str">
        <f>IFERROR(VLOOKUP($A$11&amp;$D$5&amp;$B15&amp;$AW$4,TKB_LOP_CHECK!$B$65:$J$860,9,0),"")</f>
        <v/>
      </c>
      <c r="AY15" s="40" t="str">
        <f>IFERROR(VLOOKUP($A$11&amp;$C$5&amp;$B15&amp;$AY$4,TKB_LOP_CHECK!$B$65:$J$860,9,0),"")</f>
        <v/>
      </c>
      <c r="AZ15" s="40" t="str">
        <f>IFERROR(VLOOKUP($A$11&amp;$D$5&amp;$B15&amp;$AY$4,TKB_LOP_CHECK!$B$65:$J$860,9,0),"")</f>
        <v/>
      </c>
      <c r="BA15" s="40" t="str">
        <f>IFERROR(VLOOKUP($A$11&amp;$C$5&amp;$B15&amp;$BA$4,TKB_LOP_CHECK!$B$65:$J$860,9,0),"")</f>
        <v/>
      </c>
      <c r="BB15" s="40" t="str">
        <f>IFERROR(VLOOKUP($A$11&amp;$D$5&amp;$B15&amp;$BA$4,TKB_LOP_CHECK!$B$65:$J$860,9,0),"")</f>
        <v/>
      </c>
      <c r="BC15" s="40" t="str">
        <f>IFERROR(VLOOKUP($A$11&amp;$C$5&amp;$B15&amp;$BC$4,TKB_LOP_CHECK!$B$65:$J$860,9,0),"")</f>
        <v/>
      </c>
      <c r="BD15" s="40" t="str">
        <f>IFERROR(VLOOKUP($A$11&amp;$D$5&amp;$B15&amp;$BC$4,TKB_LOP_CHECK!$B$65:$J$860,9,0),"")</f>
        <v/>
      </c>
      <c r="BE15" s="40" t="str">
        <f>IFERROR(VLOOKUP($A$11&amp;$C$5&amp;$B15&amp;$BE$4,TKB_LOP_CHECK!$B$65:$J$860,9,0),"")</f>
        <v/>
      </c>
      <c r="BF15" s="40" t="str">
        <f>IFERROR(VLOOKUP($A$11&amp;$D$5&amp;$B15&amp;$BE$4,TKB_LOP_CHECK!$B$65:$J$860,9,0),"")</f>
        <v/>
      </c>
      <c r="BG15" s="40" t="str">
        <f>IFERROR(VLOOKUP($A$11&amp;$C$5&amp;$B15&amp;$BG$4,TKB_LOP_CHECK!$B$65:$J$860,9,0),"")</f>
        <v/>
      </c>
      <c r="BH15" s="40" t="str">
        <f>IFERROR(VLOOKUP($A$11&amp;$D$5&amp;$B15&amp;$BG$4,TKB_LOP_CHECK!$B$65:$J$860,9,0),"")</f>
        <v/>
      </c>
      <c r="BI15" s="40" t="str">
        <f>IFERROR(VLOOKUP($A$11&amp;$C$5&amp;$B15&amp;$BI$4,TKB_LOP_CHECK!$B$65:$J$860,9,0),"")</f>
        <v/>
      </c>
      <c r="BJ15" s="40" t="str">
        <f>IFERROR(VLOOKUP($A$11&amp;$D$5&amp;$B15&amp;$BI$4,TKB_LOP_CHECK!$B$65:$J$860,9,0),"")</f>
        <v/>
      </c>
      <c r="BK15" s="40" t="str">
        <f>IFERROR(VLOOKUP($A$11&amp;$C$5&amp;$B15&amp;$BK$4,TKB_LOP_CHECK!$B$65:$J$860,9,0),"")</f>
        <v/>
      </c>
      <c r="BL15" s="40" t="str">
        <f>IFERROR(VLOOKUP($A$11&amp;$D$5&amp;$B15&amp;$BK$4,TKB_LOP_CHECK!$B$65:$J$860,9,0),"")</f>
        <v/>
      </c>
      <c r="BM15" s="40" t="str">
        <f>IFERROR(VLOOKUP($A$11&amp;$C$5&amp;$B15&amp;$BM$4,TKB_LOP_CHECK!$B$65:$J$860,9,0),"")</f>
        <v/>
      </c>
      <c r="BN15" s="40" t="str">
        <f>IFERROR(VLOOKUP($A$11&amp;$D$5&amp;$B15&amp;$BM$4,TKB_LOP_CHECK!$B$65:$J$860,9,0),"")</f>
        <v/>
      </c>
      <c r="BO15" s="40" t="str">
        <f>IFERROR(VLOOKUP($A$11&amp;$C$5&amp;$B15&amp;$BO$4,TKB_LOP_CHECK!$A$65:$J$860,10,0),"")</f>
        <v/>
      </c>
      <c r="BP15" s="40" t="str">
        <f>IFERROR(VLOOKUP($A$11&amp;$D$5&amp;$B15&amp;$BO$4,TKB_LOP_CHECK!$A$65:$J$860,10,0),"")</f>
        <v/>
      </c>
      <c r="BQ15" s="40" t="str">
        <f>IFERROR(VLOOKUP($A$11&amp;$C$5&amp;$B15&amp;$BQ$4,TKB_LOP_CHECK!$A$65:$J$860,10,0),"")</f>
        <v>GVNN -6A1</v>
      </c>
      <c r="BR15" s="40" t="str">
        <f>IFERROR(VLOOKUP($A$11&amp;$D$5&amp;$B15&amp;$BQ$4,TKB_LOP_CHECK!$A$65:$J$860,10,0),"")</f>
        <v/>
      </c>
      <c r="BS15" s="40" t="str">
        <f>IFERROR(VLOOKUP($A$11&amp;$C$5&amp;$B15&amp;$BS$4,TKB_LOP_CHECK!$A$65:$J$860,10,0),"")</f>
        <v/>
      </c>
      <c r="BT15" s="40" t="str">
        <f>IFERROR(VLOOKUP($A$11&amp;$D$5&amp;$B15&amp;$BS$4,TKB_LOP_CHECK!$A$65:$J$860,10,0),"")</f>
        <v/>
      </c>
      <c r="BU15" s="40" t="str">
        <f>IFERROR(VLOOKUP($A$11&amp;$C$5&amp;$B15&amp;$BU$4,TKB_LOP_CHECK!$A$65:$J$860,10,0),"")</f>
        <v/>
      </c>
      <c r="BV15" s="40" t="str">
        <f>IFERROR(VLOOKUP($A$11&amp;$D$5&amp;$B15&amp;$BU$4,TKB_LOP_CHECK!$A$65:$J$860,10,0),"")</f>
        <v/>
      </c>
    </row>
    <row r="16" spans="1:74" ht="16.7" customHeight="1" x14ac:dyDescent="0.25">
      <c r="A16" s="94">
        <v>4</v>
      </c>
      <c r="B16" s="39">
        <v>1</v>
      </c>
      <c r="C16" s="40" t="str">
        <f>IFERROR(VLOOKUP($A$16&amp;$C$5&amp;$B16&amp;$C$4,TKB_LOP_CHECK!$B$65:$J$860,9,0),"")</f>
        <v/>
      </c>
      <c r="D16" s="40" t="str">
        <f>IFERROR(VLOOKUP($A$16&amp;$D$5&amp;$B16&amp;$C$4,TKB_LOP_CHECK!$B$65:$J$860,9,0),"")</f>
        <v>GVNN -6A1</v>
      </c>
      <c r="E16" s="40" t="str">
        <f>IFERROR(VLOOKUP($A$16&amp;$C$5&amp;$B16&amp;$E$4,TKB_LOP_CHECK!$B$65:$J$860,9,0),"")</f>
        <v>Tiếng Trung -6A1</v>
      </c>
      <c r="F16" s="40" t="str">
        <f>IFERROR(VLOOKUP($A$16&amp;$D$5&amp;$B16&amp;$E$4,TKB_LOP_CHECK!$B$65:$J$860,9,0),"")</f>
        <v/>
      </c>
      <c r="G16" s="40" t="str">
        <f>IFERROR(VLOOKUP($A$16&amp;$C$5&amp;$B16&amp;$G$4,TKB_LOP_CHECK!$B$65:$J$860,9,0),"")</f>
        <v/>
      </c>
      <c r="H16" s="40" t="str">
        <f>IFERROR(VLOOKUP($A$16&amp;$D$5&amp;$B16&amp;$G$4,TKB_LOP_CHECK!$B$65:$J$860,9,0),"")</f>
        <v/>
      </c>
      <c r="I16" s="40" t="str">
        <f>IFERROR(VLOOKUP($A$16&amp;$C$5&amp;$B16&amp;$I$4,TKB_LOP_CHECK!$B$65:$J$860,9,0),"")</f>
        <v>Toán -3C1</v>
      </c>
      <c r="J16" s="40" t="str">
        <f>IFERROR(VLOOKUP($A$16&amp;$D$5&amp;$B16&amp;$I$4,TKB_LOP_CHECK!$B$65:$J$860,9,0),"")</f>
        <v>Toán -2C1</v>
      </c>
      <c r="K16" s="40" t="str">
        <f>IFERROR(VLOOKUP($A$16&amp;$C$5&amp;$B16&amp;$K$4,TKB_LOP_CHECK!$B$65:$J$860,9,0),"")</f>
        <v>Toán -3C1</v>
      </c>
      <c r="L16" s="40" t="str">
        <f>IFERROR(VLOOKUP($A$16&amp;$D$5&amp;$B16&amp;$K$4,TKB_LOP_CHECK!$B$65:$J$860,9,0),"")</f>
        <v>Toán -2C1</v>
      </c>
      <c r="M16" s="40" t="str">
        <f>IFERROR(VLOOKUP($A$16&amp;$C$5&amp;$B16&amp;$M$4,TKB_LOP_CHECK!$B$65:$J$860,9,0),"")</f>
        <v>GVNN -2A1</v>
      </c>
      <c r="N16" s="40" t="str">
        <f>IFERROR(VLOOKUP($A$16&amp;$D$5&amp;$B16&amp;$M$4,TKB_LOP_CHECK!$B$65:$J$860,9,0),"")</f>
        <v>GVNN -2A1</v>
      </c>
      <c r="O16" s="40" t="str">
        <f>IFERROR(VLOOKUP($A$16&amp;$C$5&amp;$B16&amp;$O$4,TKB_LOP_CHECK!$B$65:$J$860,9,0),"")</f>
        <v>Lối sống -TTH1</v>
      </c>
      <c r="P16" s="40" t="str">
        <f>IFERROR(VLOOKUP($A$16&amp;$D$5&amp;$B16&amp;$O$4,TKB_LOP_CHECK!$B$65:$J$860,9,0),"")</f>
        <v>HĐ tự chọn -TTH1</v>
      </c>
      <c r="Q16" s="40" t="str">
        <f>IFERROR(VLOOKUP($A$16&amp;$C$5&amp;$B16&amp;$Q$4,TKB_LOP_CHECK!$B$65:$J$860,9,0),"")</f>
        <v/>
      </c>
      <c r="R16" s="40" t="str">
        <f>IFERROR(VLOOKUP($A$16&amp;$D$5&amp;$B16&amp;$Q$4,TKB_LOP_CHECK!$B$65:$J$860,9,0),"")</f>
        <v/>
      </c>
      <c r="S16" s="40" t="str">
        <f>IFERROR(VLOOKUP($A$16&amp;$C$5&amp;$B16&amp;$S$4,TKB_LOP_CHECK!$B$65:$J$860,9,0),"")</f>
        <v/>
      </c>
      <c r="T16" s="40" t="str">
        <f>IFERROR(VLOOKUP($A$16&amp;$D$5&amp;$B16&amp;$S$4,TKB_LOP_CHECK!$B$65:$J$860,9,0),"")</f>
        <v/>
      </c>
      <c r="U16" s="40" t="str">
        <f>IFERROR(VLOOKUP($A$16&amp;$C$5&amp;$B16&amp;$U$4,TKB_LOP_CHECK!$B$65:$J$860,9,0),"")</f>
        <v>Văn -7A1</v>
      </c>
      <c r="V16" s="40" t="str">
        <f>IFERROR(VLOOKUP($A$16&amp;$D$5&amp;$B16&amp;$U$4,TKB_LOP_CHECK!$B$65:$J$860,9,0),"")</f>
        <v>Văn -8A1</v>
      </c>
      <c r="W16" s="40" t="str">
        <f>IFERROR(VLOOKUP($A$16&amp;$C$5&amp;$B16&amp;$W$4,TKB_LOP_CHECK!$B$65:$J$860,9,0),"")</f>
        <v/>
      </c>
      <c r="X16" s="40" t="str">
        <f>IFERROR(VLOOKUP($A$16&amp;$D$5&amp;$B16&amp;$W$4,TKB_LOP_CHECK!$B$65:$J$860,9,0),"")</f>
        <v/>
      </c>
      <c r="Y16" s="40" t="str">
        <f>IFERROR(VLOOKUP($A$16&amp;$C$5&amp;$B16&amp;$Y$4,TKB_LOP_CHECK!$B$65:$J$860,9,0),"")</f>
        <v>Toán -3A1</v>
      </c>
      <c r="Z16" s="40" t="str">
        <f>IFERROR(VLOOKUP($A$16&amp;$D$5&amp;$B16&amp;$Y$4,TKB_LOP_CHECK!$B$65:$J$860,9,0),"")</f>
        <v/>
      </c>
      <c r="AA16" s="40" t="str">
        <f>IFERROR(VLOOKUP($A$16&amp;$C$5&amp;$B16&amp;$AA$4,TKB_LOP_CHECK!$B$65:$J$860,9,0),"")</f>
        <v>GVNN -2A1</v>
      </c>
      <c r="AB16" s="40" t="str">
        <f>IFERROR(VLOOKUP($A$16&amp;$D$5&amp;$B16&amp;$AA$4,TKB_LOP_CHECK!$B$65:$J$860,9,0),"")</f>
        <v>GVNN -2A1</v>
      </c>
      <c r="AC16" s="40" t="str">
        <f>IFERROR(VLOOKUP($A$16&amp;$C$5&amp;$B16&amp;$AC$4,TKB_LOP_CHECK!$B$65:$J$860,9,0),"")</f>
        <v/>
      </c>
      <c r="AD16" s="40" t="str">
        <f>IFERROR(VLOOKUP($A$16&amp;$D$5&amp;$B16&amp;$AC$4,TKB_LOP_CHECK!$B$65:$J$860,9,0),"")</f>
        <v/>
      </c>
      <c r="AE16" s="40" t="str">
        <f>IFERROR(VLOOKUP($A$16&amp;$C$5&amp;$B16&amp;$AE$4,TKB_LOP_CHECK!$B$65:$J$860,9,0),"")</f>
        <v>GVVN -5C1</v>
      </c>
      <c r="AF16" s="40" t="str">
        <f>IFERROR(VLOOKUP($A$16&amp;$D$5&amp;$B16&amp;$AE$4,TKB_LOP_CHECK!$B$65:$J$860,9,0),"")</f>
        <v>GVNN -5C1</v>
      </c>
      <c r="AG16" s="40" t="str">
        <f>IFERROR(VLOOKUP($A$16&amp;$C$5&amp;$B16&amp;$AG$4,TKB_LOP_CHECK!$B$65:$J$860,9,0),"")</f>
        <v>GVNN -2A1</v>
      </c>
      <c r="AH16" s="40" t="str">
        <f>IFERROR(VLOOKUP($A$16&amp;$D$5&amp;$B16&amp;$AG$4,TKB_LOP_CHECK!$B$65:$J$860,9,0),"")</f>
        <v>GVNN -2A1</v>
      </c>
      <c r="AI16" s="40" t="str">
        <f>IFERROR(VLOOKUP($A$16&amp;$C$5&amp;$B16&amp;$AI$4,TKB_LOP_CHECK!$B$65:$J$860,9,0),"")</f>
        <v/>
      </c>
      <c r="AJ16" s="40" t="str">
        <f>IFERROR(VLOOKUP($A$16&amp;$D$5&amp;$B16&amp;$AI$4,TKB_LOP_CHECK!$B$65:$J$860,9,0),"")</f>
        <v/>
      </c>
      <c r="AK16" s="40" t="s">
        <v>154</v>
      </c>
      <c r="AL16" s="40" t="str">
        <f>IFERROR(VLOOKUP($A$16&amp;$D$5&amp;$B16&amp;$AK$4,TKB_LOP_CHECK!$B$65:$J$860,9,0),"")</f>
        <v>Mĩ thuật -3C1</v>
      </c>
      <c r="AM16" s="40" t="str">
        <f>IFERROR(VLOOKUP($A$16&amp;$C$5&amp;$B16&amp;$AM$4,TKB_LOP_CHECK!$B$65:$J$860,9,0),"")</f>
        <v>TViệt -4C1</v>
      </c>
      <c r="AN16" s="40" t="str">
        <f>IFERROR(VLOOKUP($A$16&amp;$D$5&amp;$B16&amp;$AM$4,TKB_LOP_CHECK!$B$65:$J$860,9,0),"")</f>
        <v/>
      </c>
      <c r="AO16" s="40" t="str">
        <f>IFERROR(VLOOKUP($A$16&amp;$C$5&amp;$B16&amp;$AO$4,TKB_LOP_CHECK!$B$65:$J$860,9,0),"")</f>
        <v/>
      </c>
      <c r="AP16" s="40" t="str">
        <f>IFERROR(VLOOKUP($A$16&amp;$D$5&amp;$B16&amp;$AO$4,TKB_LOP_CHECK!$B$65:$J$860,9,0),"")</f>
        <v/>
      </c>
      <c r="AQ16" s="40" t="str">
        <f>IFERROR(VLOOKUP($A$16&amp;$C$5&amp;$B16&amp;$AQ$4,TKB_LOP_CHECK!$B$65:$J$860,9,0),"")</f>
        <v/>
      </c>
      <c r="AR16" s="40" t="str">
        <f>IFERROR(VLOOKUP($A$16&amp;$D$5&amp;$B16&amp;$AQ$4,TKB_LOP_CHECK!$B$65:$J$860,9,0),"")</f>
        <v>GVNN -6A1</v>
      </c>
      <c r="AS16" s="40" t="str">
        <f>IFERROR(VLOOKUP($A$16&amp;$C$5&amp;$B16&amp;$AS$4,TKB_LOP_CHECK!$B$65:$J$860,9,0),"")</f>
        <v>Toán -3C1</v>
      </c>
      <c r="AT16" s="40" t="str">
        <f>IFERROR(VLOOKUP($A$16&amp;$D$5&amp;$B16&amp;$AS$4,TKB_LOP_CHECK!$B$65:$J$860,9,0),"")</f>
        <v>Toán -2C1</v>
      </c>
      <c r="AU16" s="40" t="str">
        <f>IFERROR(VLOOKUP($A$16&amp;$C$5&amp;$B16&amp;$AU$4,TKB_LOP_CHECK!$B$65:$J$860,9,0),"")</f>
        <v/>
      </c>
      <c r="AV16" s="40" t="str">
        <f>IFERROR(VLOOKUP($A$16&amp;$D$5&amp;$B16&amp;$AU$4,TKB_LOP_CHECK!$B$65:$J$860,9,0),"")</f>
        <v/>
      </c>
      <c r="AW16" s="40" t="str">
        <f>IFERROR(VLOOKUP($A$16&amp;$C$5&amp;$B16&amp;$AW$4,TKB_LOP_CHECK!$B$65:$J$860,9,0),"")</f>
        <v/>
      </c>
      <c r="AX16" s="40" t="str">
        <f>IFERROR(VLOOKUP($A$16&amp;$D$5&amp;$B16&amp;$AW$4,TKB_LOP_CHECK!$B$65:$J$860,9,0),"")</f>
        <v/>
      </c>
      <c r="AY16" s="40" t="str">
        <f>IFERROR(VLOOKUP($A$16&amp;$C$5&amp;$B16&amp;$AY$4,TKB_LOP_CHECK!$B$65:$J$860,9,0),"")</f>
        <v/>
      </c>
      <c r="AZ16" s="40" t="str">
        <f>IFERROR(VLOOKUP($A$16&amp;$D$5&amp;$B16&amp;$AY$4,TKB_LOP_CHECK!$B$65:$J$860,9,0),"")</f>
        <v/>
      </c>
      <c r="BA16" s="40" t="str">
        <f>IFERROR(VLOOKUP($A$16&amp;$C$5&amp;$B16&amp;$BA$4,TKB_LOP_CHECK!$B$65:$J$860,9,0),"")</f>
        <v/>
      </c>
      <c r="BB16" s="40" t="str">
        <f>IFERROR(VLOOKUP($A$16&amp;$D$5&amp;$B16&amp;$BA$4,TKB_LOP_CHECK!$B$65:$J$860,9,0),"")</f>
        <v/>
      </c>
      <c r="BC16" s="40" t="str">
        <f>IFERROR(VLOOKUP($A$16&amp;$C$5&amp;$B16&amp;$BC$4,TKB_LOP_CHECK!$B$65:$J$860,9,0),"")</f>
        <v/>
      </c>
      <c r="BD16" s="40" t="str">
        <f>IFERROR(VLOOKUP($A$16&amp;$D$5&amp;$B16&amp;$BC$4,TKB_LOP_CHECK!$B$65:$J$860,9,0),"")</f>
        <v/>
      </c>
      <c r="BE16" s="40" t="str">
        <f>IFERROR(VLOOKUP($A$16&amp;$C$5&amp;$B16&amp;$BE$4,TKB_LOP_CHECK!$B$65:$J$860,9,0),"")</f>
        <v/>
      </c>
      <c r="BF16" s="40" t="str">
        <f>IFERROR(VLOOKUP($A$16&amp;$D$5&amp;$B16&amp;$BE$4,TKB_LOP_CHECK!$B$65:$J$860,9,0),"")</f>
        <v/>
      </c>
      <c r="BG16" s="40" t="str">
        <f>IFERROR(VLOOKUP($A$16&amp;$C$5&amp;$B16&amp;$BG$4,TKB_LOP_CHECK!$B$65:$J$860,9,0),"")</f>
        <v/>
      </c>
      <c r="BH16" s="40" t="str">
        <f>IFERROR(VLOOKUP($A$16&amp;$D$5&amp;$B16&amp;$BG$4,TKB_LOP_CHECK!$B$65:$J$860,9,0),"")</f>
        <v/>
      </c>
      <c r="BI16" s="40" t="str">
        <f>IFERROR(VLOOKUP($A$16&amp;$C$5&amp;$B16&amp;$BI$4,TKB_LOP_CHECK!$B$65:$J$860,9,0),"")</f>
        <v/>
      </c>
      <c r="BJ16" s="40" t="str">
        <f>IFERROR(VLOOKUP($A$16&amp;$D$5&amp;$B16&amp;$BI$4,TKB_LOP_CHECK!$B$65:$J$860,9,0),"")</f>
        <v/>
      </c>
      <c r="BK16" s="40" t="str">
        <f>IFERROR(VLOOKUP($A$16&amp;$C$5&amp;$B16&amp;$BK$4,TKB_LOP_CHECK!$B$65:$J$860,9,0),"")</f>
        <v/>
      </c>
      <c r="BL16" s="40" t="str">
        <f>IFERROR(VLOOKUP($A$16&amp;$D$5&amp;$B16&amp;$BK$4,TKB_LOP_CHECK!$B$65:$J$860,9,0),"")</f>
        <v/>
      </c>
      <c r="BM16" s="40" t="str">
        <f>IFERROR(VLOOKUP($A$16&amp;$C$5&amp;$B16&amp;$BM$4,TKB_LOP_CHECK!$B$65:$J$860,9,0),"")</f>
        <v/>
      </c>
      <c r="BN16" s="40" t="str">
        <f>IFERROR(VLOOKUP($A$16&amp;$D$5&amp;$B16&amp;$BM$4,TKB_LOP_CHECK!$B$65:$J$860,9,0),"")</f>
        <v/>
      </c>
      <c r="BO16" s="40" t="str">
        <f>IFERROR(VLOOKUP($A$16&amp;$C$5&amp;$B16&amp;$BO$4,TKB_LOP_CHECK!$A$65:$J$860,10,0),"")</f>
        <v/>
      </c>
      <c r="BP16" s="40" t="str">
        <f>IFERROR(VLOOKUP($A$16&amp;$D$5&amp;$B16&amp;$BO$4,TKB_LOP_CHECK!$A$65:$J$860,10,0),"")</f>
        <v/>
      </c>
      <c r="BQ16" s="40" t="str">
        <f>IFERROR(VLOOKUP($A$16&amp;$C$5&amp;$B16&amp;$BQ$4,TKB_LOP_CHECK!$A$65:$J$860,10,0),"")</f>
        <v>GVNN -2C1</v>
      </c>
      <c r="BR16" s="40" t="str">
        <f>IFERROR(VLOOKUP($A$16&amp;$D$5&amp;$B16&amp;$BQ$4,TKB_LOP_CHECK!$A$65:$J$860,10,0),"")</f>
        <v>GVNN -5C1</v>
      </c>
      <c r="BS16" s="40" t="str">
        <f>IFERROR(VLOOKUP($A$16&amp;$C$5&amp;$B16&amp;$BS$4,TKB_LOP_CHECK!$A$65:$J$860,10,0),"")</f>
        <v/>
      </c>
      <c r="BT16" s="40" t="str">
        <f>IFERROR(VLOOKUP($A$16&amp;$D$5&amp;$B16&amp;$BS$4,TKB_LOP_CHECK!$A$65:$J$860,10,0),"")</f>
        <v/>
      </c>
      <c r="BU16" s="40" t="str">
        <f>IFERROR(VLOOKUP($A$16&amp;$C$5&amp;$B16&amp;$BU$4,TKB_LOP_CHECK!$A$65:$J$860,10,0),"")</f>
        <v/>
      </c>
      <c r="BV16" s="40" t="str">
        <f>IFERROR(VLOOKUP($A$16&amp;$D$5&amp;$B16&amp;$BU$4,TKB_LOP_CHECK!$A$65:$J$860,10,0),"")</f>
        <v/>
      </c>
    </row>
    <row r="17" spans="1:74" ht="16.7" customHeight="1" x14ac:dyDescent="0.25">
      <c r="A17" s="95"/>
      <c r="B17" s="41">
        <v>2</v>
      </c>
      <c r="C17" s="40" t="str">
        <f>IFERROR(VLOOKUP($A$16&amp;$C$5&amp;$B17&amp;$C$4,TKB_LOP_CHECK!$B$65:$J$860,9,0),"")</f>
        <v>GVVN -6A1</v>
      </c>
      <c r="D17" s="40" t="str">
        <f>IFERROR(VLOOKUP($A$16&amp;$D$5&amp;$B17&amp;$C$4,TKB_LOP_CHECK!$B$65:$J$860,9,0),"")</f>
        <v>GVVN -6A1</v>
      </c>
      <c r="E17" s="40" t="str">
        <f>IFERROR(VLOOKUP($A$16&amp;$C$5&amp;$B17&amp;$E$4,TKB_LOP_CHECK!$B$65:$J$860,9,0),"")</f>
        <v>Tiếng Trung -7A1</v>
      </c>
      <c r="F17" s="40" t="str">
        <f>IFERROR(VLOOKUP($A$16&amp;$D$5&amp;$B17&amp;$E$4,TKB_LOP_CHECK!$B$65:$J$860,9,0),"")</f>
        <v/>
      </c>
      <c r="G17" s="40" t="str">
        <f>IFERROR(VLOOKUP($A$16&amp;$C$5&amp;$B17&amp;$G$4,TKB_LOP_CHECK!$B$65:$J$860,9,0),"")</f>
        <v>GVVN -4C1</v>
      </c>
      <c r="H17" s="40" t="str">
        <f>IFERROR(VLOOKUP($A$16&amp;$D$5&amp;$B17&amp;$G$4,TKB_LOP_CHECK!$B$65:$J$860,9,0),"")</f>
        <v>Science -4C1</v>
      </c>
      <c r="I17" s="40" t="str">
        <f>IFERROR(VLOOKUP($A$16&amp;$C$5&amp;$B17&amp;$I$4,TKB_LOP_CHECK!$B$65:$J$860,9,0),"")</f>
        <v>Toán -2C1</v>
      </c>
      <c r="J17" s="40" t="str">
        <f>IFERROR(VLOOKUP($A$16&amp;$D$5&amp;$B17&amp;$I$4,TKB_LOP_CHECK!$B$65:$J$860,9,0),"")</f>
        <v>Toán -5C1</v>
      </c>
      <c r="K17" s="40" t="str">
        <f>IFERROR(VLOOKUP($A$16&amp;$C$5&amp;$B17&amp;$K$4,TKB_LOP_CHECK!$B$65:$J$860,9,0),"")</f>
        <v>Toán -2C1</v>
      </c>
      <c r="L17" s="40" t="str">
        <f>IFERROR(VLOOKUP($A$16&amp;$D$5&amp;$B17&amp;$K$4,TKB_LOP_CHECK!$B$65:$J$860,9,0),"")</f>
        <v>Toán -5C1</v>
      </c>
      <c r="M17" s="40" t="str">
        <f>IFERROR(VLOOKUP($A$16&amp;$C$5&amp;$B17&amp;$M$4,TKB_LOP_CHECK!$B$65:$J$860,9,0),"")</f>
        <v/>
      </c>
      <c r="N17" s="40" t="str">
        <f>IFERROR(VLOOKUP($A$16&amp;$D$5&amp;$B17&amp;$M$4,TKB_LOP_CHECK!$B$65:$J$860,9,0),"")</f>
        <v>GVNN -1A1</v>
      </c>
      <c r="O17" s="40" t="str">
        <f>IFERROR(VLOOKUP($A$16&amp;$C$5&amp;$B17&amp;$O$4,TKB_LOP_CHECK!$B$65:$J$860,9,0),"")</f>
        <v>KCST -TTH1</v>
      </c>
      <c r="P17" s="40" t="str">
        <f>IFERROR(VLOOKUP($A$16&amp;$D$5&amp;$B17&amp;$O$4,TKB_LOP_CHECK!$B$65:$J$860,9,0),"")</f>
        <v/>
      </c>
      <c r="Q17" s="40" t="str">
        <f>IFERROR(VLOOKUP($A$16&amp;$C$5&amp;$B17&amp;$Q$4,TKB_LOP_CHECK!$B$65:$J$860,9,0),"")</f>
        <v/>
      </c>
      <c r="R17" s="40" t="str">
        <f>IFERROR(VLOOKUP($A$16&amp;$D$5&amp;$B17&amp;$Q$4,TKB_LOP_CHECK!$B$65:$J$860,9,0),"")</f>
        <v/>
      </c>
      <c r="S17" s="40" t="str">
        <f>IFERROR(VLOOKUP($A$16&amp;$C$5&amp;$B17&amp;$S$4,TKB_LOP_CHECK!$B$65:$J$860,9,0),"")</f>
        <v>GVVN -4C1</v>
      </c>
      <c r="T17" s="40" t="str">
        <f>IFERROR(VLOOKUP($A$16&amp;$D$5&amp;$B17&amp;$S$4,TKB_LOP_CHECK!$B$65:$J$860,9,0),"")</f>
        <v>Science -4C1</v>
      </c>
      <c r="U17" s="40" t="str">
        <f>IFERROR(VLOOKUP($A$16&amp;$C$5&amp;$B17&amp;$U$4,TKB_LOP_CHECK!$B$65:$J$860,9,0),"")</f>
        <v/>
      </c>
      <c r="V17" s="40" t="str">
        <f>IFERROR(VLOOKUP($A$16&amp;$D$5&amp;$B17&amp;$U$4,TKB_LOP_CHECK!$B$65:$J$860,9,0),"")</f>
        <v/>
      </c>
      <c r="W17" s="40" t="str">
        <f>IFERROR(VLOOKUP($A$16&amp;$C$5&amp;$B17&amp;$W$4,TKB_LOP_CHECK!$B$65:$J$860,9,0),"")</f>
        <v/>
      </c>
      <c r="X17" s="40" t="str">
        <f>IFERROR(VLOOKUP($A$16&amp;$D$5&amp;$B17&amp;$W$4,TKB_LOP_CHECK!$B$65:$J$860,9,0),"")</f>
        <v/>
      </c>
      <c r="Y17" s="40" t="str">
        <f>IFERROR(VLOOKUP($A$16&amp;$C$5&amp;$B17&amp;$Y$4,TKB_LOP_CHECK!$B$65:$J$860,9,0),"")</f>
        <v/>
      </c>
      <c r="Z17" s="40" t="str">
        <f>IFERROR(VLOOKUP($A$16&amp;$D$5&amp;$B17&amp;$Y$4,TKB_LOP_CHECK!$B$65:$J$860,9,0),"")</f>
        <v/>
      </c>
      <c r="AA17" s="40" t="str">
        <f>IFERROR(VLOOKUP($A$16&amp;$C$5&amp;$B17&amp;$AA$4,TKB_LOP_CHECK!$B$65:$J$860,9,0),"")</f>
        <v/>
      </c>
      <c r="AB17" s="40" t="str">
        <f>IFERROR(VLOOKUP($A$16&amp;$D$5&amp;$B17&amp;$AA$4,TKB_LOP_CHECK!$B$65:$J$860,9,0),"")</f>
        <v>GVNN -1A1</v>
      </c>
      <c r="AC17" s="40" t="str">
        <f>IFERROR(VLOOKUP($A$16&amp;$C$5&amp;$B17&amp;$AC$4,TKB_LOP_CHECK!$B$65:$J$860,9,0),"")</f>
        <v/>
      </c>
      <c r="AD17" s="40" t="str">
        <f>IFERROR(VLOOKUP($A$16&amp;$D$5&amp;$B17&amp;$AC$4,TKB_LOP_CHECK!$B$65:$J$860,9,0),"")</f>
        <v/>
      </c>
      <c r="AE17" s="40" t="str">
        <f>IFERROR(VLOOKUP($A$16&amp;$C$5&amp;$B17&amp;$AE$4,TKB_LOP_CHECK!$B$65:$J$860,9,0),"")</f>
        <v>GVNN -3C1</v>
      </c>
      <c r="AF17" s="40" t="str">
        <f>IFERROR(VLOOKUP($A$16&amp;$D$5&amp;$B17&amp;$AE$4,TKB_LOP_CHECK!$B$65:$J$860,9,0),"")</f>
        <v/>
      </c>
      <c r="AG17" s="40" t="str">
        <f>IFERROR(VLOOKUP($A$16&amp;$C$5&amp;$B17&amp;$AG$4,TKB_LOP_CHECK!$B$65:$J$860,9,0),"")</f>
        <v/>
      </c>
      <c r="AH17" s="40" t="str">
        <f>IFERROR(VLOOKUP($A$16&amp;$D$5&amp;$B17&amp;$AG$4,TKB_LOP_CHECK!$B$65:$J$860,9,0),"")</f>
        <v>GVNN -1A1</v>
      </c>
      <c r="AI17" s="40" t="str">
        <f>IFERROR(VLOOKUP($A$16&amp;$C$5&amp;$B17&amp;$AI$4,TKB_LOP_CHECK!$B$65:$J$860,9,0),"")</f>
        <v/>
      </c>
      <c r="AJ17" s="40" t="str">
        <f>IFERROR(VLOOKUP($A$16&amp;$D$5&amp;$B17&amp;$AI$4,TKB_LOP_CHECK!$B$65:$J$860,9,0),"")</f>
        <v/>
      </c>
      <c r="AK17" s="40" t="str">
        <f>IFERROR(VLOOKUP($A$16&amp;$C$5&amp;$B17&amp;$AK$4,TKB_LOP_CHECK!$B$65:$J$860,9,0),"")</f>
        <v/>
      </c>
      <c r="AL17" s="40" t="str">
        <f>IFERROR(VLOOKUP($A$16&amp;$D$5&amp;$B17&amp;$AK$4,TKB_LOP_CHECK!$B$65:$J$860,9,0),"")</f>
        <v>Mĩ thuật -8A1</v>
      </c>
      <c r="AM17" s="40" t="str">
        <f>IFERROR(VLOOKUP($A$16&amp;$C$5&amp;$B17&amp;$AM$4,TKB_LOP_CHECK!$B$65:$J$860,9,0),"")</f>
        <v>TViệt -5C1</v>
      </c>
      <c r="AN17" s="40" t="str">
        <f>IFERROR(VLOOKUP($A$16&amp;$D$5&amp;$B17&amp;$AM$4,TKB_LOP_CHECK!$B$65:$J$860,9,0),"")</f>
        <v>TViệt -3C1</v>
      </c>
      <c r="AO17" s="40" t="str">
        <f>IFERROR(VLOOKUP($A$16&amp;$C$5&amp;$B17&amp;$AO$4,TKB_LOP_CHECK!$B$65:$J$860,9,0),"")</f>
        <v>Viết sáng tạo -2A1</v>
      </c>
      <c r="AP17" s="40" t="str">
        <f>IFERROR(VLOOKUP($A$16&amp;$D$5&amp;$B17&amp;$AO$4,TKB_LOP_CHECK!$B$65:$J$860,9,0),"")</f>
        <v/>
      </c>
      <c r="AQ17" s="40" t="str">
        <f>IFERROR(VLOOKUP($A$16&amp;$C$5&amp;$B17&amp;$AQ$4,TKB_LOP_CHECK!$B$65:$J$860,9,0),"")</f>
        <v>GVVN -6A1</v>
      </c>
      <c r="AR17" s="40" t="str">
        <f>IFERROR(VLOOKUP($A$16&amp;$D$5&amp;$B17&amp;$AQ$4,TKB_LOP_CHECK!$B$65:$J$860,9,0),"")</f>
        <v>GVVN -6A1</v>
      </c>
      <c r="AS17" s="40" t="str">
        <f>IFERROR(VLOOKUP($A$16&amp;$C$5&amp;$B17&amp;$AS$4,TKB_LOP_CHECK!$B$65:$J$860,9,0),"")</f>
        <v>Toán -2C1</v>
      </c>
      <c r="AT17" s="40" t="str">
        <f>IFERROR(VLOOKUP($A$16&amp;$D$5&amp;$B17&amp;$AS$4,TKB_LOP_CHECK!$B$65:$J$860,9,0),"")</f>
        <v>Toán -5C1</v>
      </c>
      <c r="AU17" s="40" t="str">
        <f>IFERROR(VLOOKUP($A$16&amp;$C$5&amp;$B17&amp;$AU$4,TKB_LOP_CHECK!$B$65:$J$860,9,0),"")</f>
        <v/>
      </c>
      <c r="AV17" s="40" t="str">
        <f>IFERROR(VLOOKUP($A$16&amp;$D$5&amp;$B17&amp;$AU$4,TKB_LOP_CHECK!$B$65:$J$860,9,0),"")</f>
        <v/>
      </c>
      <c r="AW17" s="40" t="str">
        <f>IFERROR(VLOOKUP($A$16&amp;$C$5&amp;$B17&amp;$AW$4,TKB_LOP_CHECK!$B$65:$J$860,9,0),"")</f>
        <v/>
      </c>
      <c r="AX17" s="40" t="str">
        <f>IFERROR(VLOOKUP($A$16&amp;$D$5&amp;$B17&amp;$AW$4,TKB_LOP_CHECK!$B$65:$J$860,9,0),"")</f>
        <v/>
      </c>
      <c r="AY17" s="40" t="str">
        <f>IFERROR(VLOOKUP($A$16&amp;$C$5&amp;$B17&amp;$AY$4,TKB_LOP_CHECK!$B$65:$J$860,9,0),"")</f>
        <v/>
      </c>
      <c r="AZ17" s="40" t="str">
        <f>IFERROR(VLOOKUP($A$16&amp;$D$5&amp;$B17&amp;$AY$4,TKB_LOP_CHECK!$B$65:$J$860,9,0),"")</f>
        <v/>
      </c>
      <c r="BA17" s="40" t="str">
        <f>IFERROR(VLOOKUP($A$16&amp;$C$5&amp;$B17&amp;$BA$4,TKB_LOP_CHECK!$B$65:$J$860,9,0),"")</f>
        <v/>
      </c>
      <c r="BB17" s="40" t="str">
        <f>IFERROR(VLOOKUP($A$16&amp;$D$5&amp;$B17&amp;$BA$4,TKB_LOP_CHECK!$B$65:$J$860,9,0),"")</f>
        <v/>
      </c>
      <c r="BC17" s="40" t="str">
        <f>IFERROR(VLOOKUP($A$16&amp;$C$5&amp;$B17&amp;$BC$4,TKB_LOP_CHECK!$B$65:$J$860,9,0),"")</f>
        <v/>
      </c>
      <c r="BD17" s="40" t="str">
        <f>IFERROR(VLOOKUP($A$16&amp;$D$5&amp;$B17&amp;$BC$4,TKB_LOP_CHECK!$B$65:$J$860,9,0),"")</f>
        <v/>
      </c>
      <c r="BE17" s="40" t="str">
        <f>IFERROR(VLOOKUP($A$16&amp;$C$5&amp;$B17&amp;$BE$4,TKB_LOP_CHECK!$B$65:$J$860,9,0),"")</f>
        <v/>
      </c>
      <c r="BF17" s="40" t="str">
        <f>IFERROR(VLOOKUP($A$16&amp;$D$5&amp;$B17&amp;$BE$4,TKB_LOP_CHECK!$B$65:$J$860,9,0),"")</f>
        <v/>
      </c>
      <c r="BG17" s="40" t="str">
        <f>IFERROR(VLOOKUP($A$16&amp;$C$5&amp;$B17&amp;$BG$4,TKB_LOP_CHECK!$B$65:$J$860,9,0),"")</f>
        <v/>
      </c>
      <c r="BH17" s="40" t="str">
        <f>IFERROR(VLOOKUP($A$16&amp;$D$5&amp;$B17&amp;$BG$4,TKB_LOP_CHECK!$B$65:$J$860,9,0),"")</f>
        <v/>
      </c>
      <c r="BI17" s="40" t="str">
        <f>IFERROR(VLOOKUP($A$16&amp;$C$5&amp;$B17&amp;$BI$4,TKB_LOP_CHECK!$B$65:$J$860,9,0),"")</f>
        <v/>
      </c>
      <c r="BJ17" s="40" t="str">
        <f>IFERROR(VLOOKUP($A$16&amp;$D$5&amp;$B17&amp;$BI$4,TKB_LOP_CHECK!$B$65:$J$860,9,0),"")</f>
        <v/>
      </c>
      <c r="BK17" s="40" t="str">
        <f>IFERROR(VLOOKUP($A$16&amp;$C$5&amp;$B17&amp;$BK$4,TKB_LOP_CHECK!$B$65:$J$860,9,0),"")</f>
        <v/>
      </c>
      <c r="BL17" s="40" t="str">
        <f>IFERROR(VLOOKUP($A$16&amp;$D$5&amp;$B17&amp;$BK$4,TKB_LOP_CHECK!$B$65:$J$860,9,0),"")</f>
        <v/>
      </c>
      <c r="BM17" s="40" t="str">
        <f>IFERROR(VLOOKUP($A$16&amp;$C$5&amp;$B17&amp;$BM$4,TKB_LOP_CHECK!$B$65:$J$860,9,0),"")</f>
        <v/>
      </c>
      <c r="BN17" s="40" t="str">
        <f>IFERROR(VLOOKUP($A$16&amp;$D$5&amp;$B17&amp;$BM$4,TKB_LOP_CHECK!$B$65:$J$860,9,0),"")</f>
        <v/>
      </c>
      <c r="BO17" s="40" t="str">
        <f>IFERROR(VLOOKUP($A$16&amp;$C$5&amp;$B17&amp;$BO$4,TKB_LOP_CHECK!$A$65:$J$860,10,0),"")</f>
        <v/>
      </c>
      <c r="BP17" s="40" t="str">
        <f>IFERROR(VLOOKUP($A$16&amp;$D$5&amp;$B17&amp;$BO$4,TKB_LOP_CHECK!$A$65:$J$860,10,0),"")</f>
        <v/>
      </c>
      <c r="BQ17" s="40" t="str">
        <f>IFERROR(VLOOKUP($A$16&amp;$C$5&amp;$B17&amp;$BQ$4,TKB_LOP_CHECK!$A$65:$J$860,10,0),"")</f>
        <v>GVNN -3C1</v>
      </c>
      <c r="BR17" s="40" t="str">
        <f>IFERROR(VLOOKUP($A$16&amp;$D$5&amp;$B17&amp;$BQ$4,TKB_LOP_CHECK!$A$65:$J$860,10,0),"")</f>
        <v/>
      </c>
      <c r="BS17" s="40" t="str">
        <f>IFERROR(VLOOKUP($A$16&amp;$C$5&amp;$B17&amp;$BS$4,TKB_LOP_CHECK!$A$65:$J$860,10,0),"")</f>
        <v/>
      </c>
      <c r="BT17" s="40" t="str">
        <f>IFERROR(VLOOKUP($A$16&amp;$D$5&amp;$B17&amp;$BS$4,TKB_LOP_CHECK!$A$65:$J$860,10,0),"")</f>
        <v/>
      </c>
      <c r="BU17" s="40" t="str">
        <f>IFERROR(VLOOKUP($A$16&amp;$C$5&amp;$B17&amp;$BU$4,TKB_LOP_CHECK!$A$65:$J$860,10,0),"")</f>
        <v/>
      </c>
      <c r="BV17" s="40" t="str">
        <f>IFERROR(VLOOKUP($A$16&amp;$D$5&amp;$B17&amp;$BU$4,TKB_LOP_CHECK!$A$65:$J$860,10,0),"")</f>
        <v/>
      </c>
    </row>
    <row r="18" spans="1:74" ht="16.7" customHeight="1" x14ac:dyDescent="0.25">
      <c r="A18" s="95"/>
      <c r="B18" s="41">
        <v>3</v>
      </c>
      <c r="C18" s="40" t="str">
        <f>IFERROR(VLOOKUP($A$16&amp;$C$5&amp;$B18&amp;$C$4,TKB_LOP_CHECK!$B$65:$J$860,9,0),"")</f>
        <v>GVVN -7A1</v>
      </c>
      <c r="D18" s="40" t="str">
        <f>IFERROR(VLOOKUP($A$16&amp;$D$5&amp;$B18&amp;$C$4,TKB_LOP_CHECK!$B$65:$J$860,9,0),"")</f>
        <v>GVNN -7A1</v>
      </c>
      <c r="E18" s="40" t="str">
        <f>IFERROR(VLOOKUP($A$16&amp;$C$5&amp;$B18&amp;$E$4,TKB_LOP_CHECK!$B$65:$J$860,9,0),"")</f>
        <v>Tiếng Trung -8A1</v>
      </c>
      <c r="F18" s="40" t="str">
        <f>IFERROR(VLOOKUP($A$16&amp;$D$5&amp;$B18&amp;$E$4,TKB_LOP_CHECK!$B$65:$J$860,9,0),"")</f>
        <v/>
      </c>
      <c r="G18" s="40" t="str">
        <f>IFERROR(VLOOKUP($A$16&amp;$C$5&amp;$B18&amp;$G$4,TKB_LOP_CHECK!$B$65:$J$860,9,0),"")</f>
        <v/>
      </c>
      <c r="H18" s="40" t="str">
        <f>IFERROR(VLOOKUP($A$16&amp;$D$5&amp;$B18&amp;$G$4,TKB_LOP_CHECK!$B$65:$J$860,9,0),"")</f>
        <v>GVVN -8A1</v>
      </c>
      <c r="I18" s="40" t="str">
        <f>IFERROR(VLOOKUP($A$16&amp;$C$5&amp;$B18&amp;$I$4,TKB_LOP_CHECK!$B$65:$J$860,9,0),"")</f>
        <v/>
      </c>
      <c r="J18" s="40" t="str">
        <f>IFERROR(VLOOKUP($A$16&amp;$D$5&amp;$B18&amp;$I$4,TKB_LOP_CHECK!$B$65:$J$860,9,0),"")</f>
        <v/>
      </c>
      <c r="K18" s="40" t="str">
        <f>IFERROR(VLOOKUP($A$16&amp;$C$5&amp;$B18&amp;$K$4,TKB_LOP_CHECK!$B$65:$J$860,9,0),"")</f>
        <v/>
      </c>
      <c r="L18" s="40" t="str">
        <f>IFERROR(VLOOKUP($A$16&amp;$D$5&amp;$B18&amp;$K$4,TKB_LOP_CHECK!$B$65:$J$860,9,0),"")</f>
        <v/>
      </c>
      <c r="M18" s="40" t="str">
        <f>IFERROR(VLOOKUP($A$16&amp;$C$5&amp;$B18&amp;$M$4,TKB_LOP_CHECK!$B$65:$J$860,9,0),"")</f>
        <v>GVVN -TTH2</v>
      </c>
      <c r="N18" s="40" t="str">
        <f>IFERROR(VLOOKUP($A$16&amp;$D$5&amp;$B18&amp;$M$4,TKB_LOP_CHECK!$B$65:$J$860,9,0),"")</f>
        <v>GVVN -TTH2</v>
      </c>
      <c r="O18" s="40" t="str">
        <f>IFERROR(VLOOKUP($A$16&amp;$C$5&amp;$B18&amp;$O$4,TKB_LOP_CHECK!$B$65:$J$860,9,0),"")</f>
        <v/>
      </c>
      <c r="P18" s="40" t="str">
        <f>IFERROR(VLOOKUP($A$16&amp;$D$5&amp;$B18&amp;$O$4,TKB_LOP_CHECK!$B$65:$J$860,9,0),"")</f>
        <v>Toán -TTH1</v>
      </c>
      <c r="Q18" s="40" t="str">
        <f>IFERROR(VLOOKUP($A$16&amp;$C$5&amp;$B18&amp;$Q$4,TKB_LOP_CHECK!$B$65:$J$860,9,0),"")</f>
        <v>GDTC -2A1</v>
      </c>
      <c r="R18" s="40" t="str">
        <f>IFERROR(VLOOKUP($A$16&amp;$D$5&amp;$B18&amp;$Q$4,TKB_LOP_CHECK!$B$65:$J$860,9,0),"")</f>
        <v>GDTC -2C1</v>
      </c>
      <c r="S18" s="40" t="str">
        <f>IFERROR(VLOOKUP($A$16&amp;$C$5&amp;$B18&amp;$S$4,TKB_LOP_CHECK!$B$65:$J$860,9,0),"")</f>
        <v/>
      </c>
      <c r="T18" s="40" t="str">
        <f>IFERROR(VLOOKUP($A$16&amp;$D$5&amp;$B18&amp;$S$4,TKB_LOP_CHECK!$B$65:$J$860,9,0),"")</f>
        <v>GVVN -8A1</v>
      </c>
      <c r="U18" s="40" t="str">
        <f>IFERROR(VLOOKUP($A$16&amp;$C$5&amp;$B18&amp;$U$4,TKB_LOP_CHECK!$B$65:$J$860,9,0),"")</f>
        <v/>
      </c>
      <c r="V18" s="40" t="str">
        <f>IFERROR(VLOOKUP($A$16&amp;$D$5&amp;$B18&amp;$U$4,TKB_LOP_CHECK!$B$65:$J$860,9,0),"")</f>
        <v/>
      </c>
      <c r="W18" s="40" t="str">
        <f>IFERROR(VLOOKUP($A$16&amp;$C$5&amp;$B18&amp;$W$4,TKB_LOP_CHECK!$B$65:$J$860,9,0),"")</f>
        <v/>
      </c>
      <c r="X18" s="40" t="str">
        <f>IFERROR(VLOOKUP($A$16&amp;$D$5&amp;$B18&amp;$W$4,TKB_LOP_CHECK!$B$65:$J$860,9,0),"")</f>
        <v/>
      </c>
      <c r="Y18" s="40" t="str">
        <f>IFERROR(VLOOKUP($A$16&amp;$C$5&amp;$B18&amp;$Y$4,TKB_LOP_CHECK!$B$65:$J$860,9,0),"")</f>
        <v/>
      </c>
      <c r="Z18" s="40" t="str">
        <f>IFERROR(VLOOKUP($A$16&amp;$D$5&amp;$B18&amp;$Y$4,TKB_LOP_CHECK!$B$65:$J$860,9,0),"")</f>
        <v/>
      </c>
      <c r="AA18" s="40" t="str">
        <f>IFERROR(VLOOKUP($A$16&amp;$C$5&amp;$B18&amp;$AA$4,TKB_LOP_CHECK!$B$65:$J$860,9,0),"")</f>
        <v>GVVN -TTH2</v>
      </c>
      <c r="AB18" s="40" t="str">
        <f>IFERROR(VLOOKUP($A$16&amp;$D$5&amp;$B18&amp;$AA$4,TKB_LOP_CHECK!$B$65:$J$860,9,0),"")</f>
        <v>GVVN -TTH2</v>
      </c>
      <c r="AC18" s="40" t="str">
        <f>IFERROR(VLOOKUP($A$16&amp;$C$5&amp;$B18&amp;$AC$4,TKB_LOP_CHECK!$B$65:$J$860,9,0),"")</f>
        <v/>
      </c>
      <c r="AD18" s="40" t="str">
        <f>IFERROR(VLOOKUP($A$16&amp;$D$5&amp;$B18&amp;$AC$4,TKB_LOP_CHECK!$B$65:$J$860,9,0),"")</f>
        <v/>
      </c>
      <c r="AE18" s="40" t="str">
        <f>IFERROR(VLOOKUP($A$16&amp;$C$5&amp;$B18&amp;$AE$4,TKB_LOP_CHECK!$B$65:$J$860,9,0),"")</f>
        <v>Science -3C1</v>
      </c>
      <c r="AF18" s="40" t="str">
        <f>IFERROR(VLOOKUP($A$16&amp;$D$5&amp;$B18&amp;$AE$4,TKB_LOP_CHECK!$B$65:$J$860,9,0),"")</f>
        <v>GVVN -3C1</v>
      </c>
      <c r="AG18" s="40" t="str">
        <f>IFERROR(VLOOKUP($A$16&amp;$C$5&amp;$B18&amp;$AG$4,TKB_LOP_CHECK!$B$65:$J$860,9,0),"")</f>
        <v>GVVN -TTH2</v>
      </c>
      <c r="AH18" s="40" t="str">
        <f>IFERROR(VLOOKUP($A$16&amp;$D$5&amp;$B18&amp;$AG$4,TKB_LOP_CHECK!$B$65:$J$860,9,0),"")</f>
        <v>GVVN -TTH2</v>
      </c>
      <c r="AI18" s="40" t="str">
        <f>IFERROR(VLOOKUP($A$16&amp;$C$5&amp;$B18&amp;$AI$4,TKB_LOP_CHECK!$B$65:$J$860,9,0),"")</f>
        <v/>
      </c>
      <c r="AJ18" s="40" t="str">
        <f>IFERROR(VLOOKUP($A$16&amp;$D$5&amp;$B18&amp;$AI$4,TKB_LOP_CHECK!$B$65:$J$860,9,0),"")</f>
        <v/>
      </c>
      <c r="AK18" s="40" t="str">
        <f>IFERROR(VLOOKUP($A$16&amp;$C$5&amp;$B18&amp;$AK$4,TKB_LOP_CHECK!$B$65:$J$860,9,0),"")</f>
        <v>Mĩ thuật -4C1</v>
      </c>
      <c r="AL18" s="40" t="str">
        <f>IFERROR(VLOOKUP($A$16&amp;$D$5&amp;$B18&amp;$AK$4,TKB_LOP_CHECK!$B$65:$J$860,9,0),"")</f>
        <v>Mĩ thuật -5C1</v>
      </c>
      <c r="AM18" s="40" t="str">
        <f>IFERROR(VLOOKUP($A$16&amp;$C$5&amp;$B18&amp;$AM$4,TKB_LOP_CHECK!$B$65:$J$860,9,0),"")</f>
        <v/>
      </c>
      <c r="AN18" s="40" t="str">
        <f>IFERROR(VLOOKUP($A$16&amp;$D$5&amp;$B18&amp;$AM$4,TKB_LOP_CHECK!$B$65:$J$860,9,0),"")</f>
        <v/>
      </c>
      <c r="AO18" s="40" t="str">
        <f>IFERROR(VLOOKUP($A$16&amp;$C$5&amp;$B18&amp;$AO$4,TKB_LOP_CHECK!$B$65:$J$860,9,0),"")</f>
        <v>TViệt -2C1</v>
      </c>
      <c r="AP18" s="40" t="str">
        <f>IFERROR(VLOOKUP($A$16&amp;$D$5&amp;$B18&amp;$AO$4,TKB_LOP_CHECK!$B$65:$J$860,9,0),"")</f>
        <v/>
      </c>
      <c r="AQ18" s="40" t="str">
        <f>IFERROR(VLOOKUP($A$16&amp;$C$5&amp;$B18&amp;$AQ$4,TKB_LOP_CHECK!$B$65:$J$860,9,0),"")</f>
        <v>GVVN -7A1</v>
      </c>
      <c r="AR18" s="40" t="str">
        <f>IFERROR(VLOOKUP($A$16&amp;$D$5&amp;$B18&amp;$AQ$4,TKB_LOP_CHECK!$B$65:$J$860,9,0),"")</f>
        <v>GVNN -7A1</v>
      </c>
      <c r="AS18" s="40" t="str">
        <f>IFERROR(VLOOKUP($A$16&amp;$C$5&amp;$B18&amp;$AS$4,TKB_LOP_CHECK!$B$65:$J$860,9,0),"")</f>
        <v/>
      </c>
      <c r="AT18" s="40" t="str">
        <f>IFERROR(VLOOKUP($A$16&amp;$D$5&amp;$B18&amp;$AS$4,TKB_LOP_CHECK!$B$65:$J$860,9,0),"")</f>
        <v/>
      </c>
      <c r="AU18" s="40" t="str">
        <f>IFERROR(VLOOKUP($A$16&amp;$C$5&amp;$B18&amp;$AU$4,TKB_LOP_CHECK!$B$65:$J$860,9,0),"")</f>
        <v/>
      </c>
      <c r="AV18" s="40" t="str">
        <f>IFERROR(VLOOKUP($A$16&amp;$D$5&amp;$B18&amp;$AU$4,TKB_LOP_CHECK!$B$65:$J$860,9,0),"")</f>
        <v/>
      </c>
      <c r="AW18" s="40" t="str">
        <f>IFERROR(VLOOKUP($A$16&amp;$C$5&amp;$B18&amp;$AW$4,TKB_LOP_CHECK!$B$65:$J$860,9,0),"")</f>
        <v/>
      </c>
      <c r="AX18" s="40" t="str">
        <f>IFERROR(VLOOKUP($A$16&amp;$D$5&amp;$B18&amp;$AW$4,TKB_LOP_CHECK!$B$65:$J$860,9,0),"")</f>
        <v/>
      </c>
      <c r="AY18" s="40" t="str">
        <f>IFERROR(VLOOKUP($A$16&amp;$C$5&amp;$B18&amp;$AY$4,TKB_LOP_CHECK!$B$65:$J$860,9,0),"")</f>
        <v/>
      </c>
      <c r="AZ18" s="40" t="str">
        <f>IFERROR(VLOOKUP($A$16&amp;$D$5&amp;$B18&amp;$AY$4,TKB_LOP_CHECK!$B$65:$J$860,9,0),"")</f>
        <v/>
      </c>
      <c r="BA18" s="40" t="str">
        <f>IFERROR(VLOOKUP($A$16&amp;$C$5&amp;$B18&amp;$BA$4,TKB_LOP_CHECK!$B$65:$J$860,9,0),"")</f>
        <v/>
      </c>
      <c r="BB18" s="40" t="str">
        <f>IFERROR(VLOOKUP($A$16&amp;$D$5&amp;$B18&amp;$BA$4,TKB_LOP_CHECK!$B$65:$J$860,9,0),"")</f>
        <v/>
      </c>
      <c r="BC18" s="40" t="str">
        <f>IFERROR(VLOOKUP($A$16&amp;$C$5&amp;$B18&amp;$BC$4,TKB_LOP_CHECK!$B$65:$J$860,9,0),"")</f>
        <v/>
      </c>
      <c r="BD18" s="40" t="str">
        <f>IFERROR(VLOOKUP($A$16&amp;$D$5&amp;$B18&amp;$BC$4,TKB_LOP_CHECK!$B$65:$J$860,9,0),"")</f>
        <v/>
      </c>
      <c r="BE18" s="40" t="str">
        <f>IFERROR(VLOOKUP($A$16&amp;$C$5&amp;$B18&amp;$BE$4,TKB_LOP_CHECK!$B$65:$J$860,9,0),"")</f>
        <v/>
      </c>
      <c r="BF18" s="40" t="str">
        <f>IFERROR(VLOOKUP($A$16&amp;$D$5&amp;$B18&amp;$BE$4,TKB_LOP_CHECK!$B$65:$J$860,9,0),"")</f>
        <v/>
      </c>
      <c r="BG18" s="40" t="str">
        <f>IFERROR(VLOOKUP($A$16&amp;$C$5&amp;$B18&amp;$BG$4,TKB_LOP_CHECK!$B$65:$J$860,9,0),"")</f>
        <v/>
      </c>
      <c r="BH18" s="40" t="str">
        <f>IFERROR(VLOOKUP($A$16&amp;$D$5&amp;$B18&amp;$BG$4,TKB_LOP_CHECK!$B$65:$J$860,9,0),"")</f>
        <v/>
      </c>
      <c r="BI18" s="40" t="str">
        <f>IFERROR(VLOOKUP($A$16&amp;$C$5&amp;$B18&amp;$BI$4,TKB_LOP_CHECK!$B$65:$J$860,9,0),"")</f>
        <v/>
      </c>
      <c r="BJ18" s="40" t="str">
        <f>IFERROR(VLOOKUP($A$16&amp;$D$5&amp;$B18&amp;$BI$4,TKB_LOP_CHECK!$B$65:$J$860,9,0),"")</f>
        <v/>
      </c>
      <c r="BK18" s="40" t="str">
        <f>IFERROR(VLOOKUP($A$16&amp;$C$5&amp;$B18&amp;$BK$4,TKB_LOP_CHECK!$B$65:$J$860,9,0),"")</f>
        <v/>
      </c>
      <c r="BL18" s="40" t="str">
        <f>IFERROR(VLOOKUP($A$16&amp;$D$5&amp;$B18&amp;$BK$4,TKB_LOP_CHECK!$B$65:$J$860,9,0),"")</f>
        <v/>
      </c>
      <c r="BM18" s="40" t="str">
        <f>IFERROR(VLOOKUP($A$16&amp;$C$5&amp;$B18&amp;$BM$4,TKB_LOP_CHECK!$B$65:$J$860,9,0),"")</f>
        <v/>
      </c>
      <c r="BN18" s="40" t="str">
        <f>IFERROR(VLOOKUP($A$16&amp;$D$5&amp;$B18&amp;$BM$4,TKB_LOP_CHECK!$B$65:$J$860,9,0),"")</f>
        <v/>
      </c>
      <c r="BO18" s="40" t="str">
        <f>IFERROR(VLOOKUP($A$16&amp;$C$5&amp;$B18&amp;$BO$4,TKB_LOP_CHECK!$A$65:$J$860,10,0),"")</f>
        <v/>
      </c>
      <c r="BP18" s="40" t="str">
        <f>IFERROR(VLOOKUP($A$16&amp;$D$5&amp;$B18&amp;$BO$4,TKB_LOP_CHECK!$A$65:$J$860,10,0),"")</f>
        <v/>
      </c>
      <c r="BQ18" s="40" t="str">
        <f>IFERROR(VLOOKUP($A$16&amp;$C$5&amp;$B18&amp;$BQ$4,TKB_LOP_CHECK!$A$65:$J$860,10,0),"")</f>
        <v/>
      </c>
      <c r="BR18" s="40" t="str">
        <f>IFERROR(VLOOKUP($A$16&amp;$D$5&amp;$B18&amp;$BQ$4,TKB_LOP_CHECK!$A$65:$J$860,10,0),"")</f>
        <v>GVNN -1C1</v>
      </c>
      <c r="BS18" s="40" t="str">
        <f>IFERROR(VLOOKUP($A$16&amp;$C$5&amp;$B18&amp;$BS$4,TKB_LOP_CHECK!$A$65:$J$860,10,0),"")</f>
        <v/>
      </c>
      <c r="BT18" s="40" t="str">
        <f>IFERROR(VLOOKUP($A$16&amp;$D$5&amp;$B18&amp;$BS$4,TKB_LOP_CHECK!$A$65:$J$860,10,0),"")</f>
        <v/>
      </c>
      <c r="BU18" s="40" t="str">
        <f>IFERROR(VLOOKUP($A$16&amp;$C$5&amp;$B18&amp;$BU$4,TKB_LOP_CHECK!$A$65:$J$860,10,0),"")</f>
        <v/>
      </c>
      <c r="BV18" s="40" t="str">
        <f>IFERROR(VLOOKUP($A$16&amp;$D$5&amp;$B18&amp;$BU$4,TKB_LOP_CHECK!$A$65:$J$860,10,0),"")</f>
        <v/>
      </c>
    </row>
    <row r="19" spans="1:74" ht="16.7" customHeight="1" x14ac:dyDescent="0.25">
      <c r="A19" s="95"/>
      <c r="B19" s="41">
        <v>4</v>
      </c>
      <c r="C19" s="40" t="str">
        <f>IFERROR(VLOOKUP($A$16&amp;$C$5&amp;$B19&amp;$C$4,TKB_LOP_CHECK!$B$65:$J$860,9,0),"")</f>
        <v/>
      </c>
      <c r="D19" s="40" t="str">
        <f>IFERROR(VLOOKUP($A$16&amp;$D$5&amp;$B19&amp;$C$4,TKB_LOP_CHECK!$B$65:$J$860,9,0),"")</f>
        <v/>
      </c>
      <c r="E19" s="40" t="str">
        <f>IFERROR(VLOOKUP($A$16&amp;$C$5&amp;$B19&amp;$E$4,TKB_LOP_CHECK!$B$65:$J$860,9,0),"")</f>
        <v/>
      </c>
      <c r="F19" s="40" t="str">
        <f>IFERROR(VLOOKUP($A$16&amp;$D$5&amp;$B19&amp;$E$4,TKB_LOP_CHECK!$B$65:$J$860,9,0),"")</f>
        <v/>
      </c>
      <c r="G19" s="40" t="str">
        <f>IFERROR(VLOOKUP($A$16&amp;$C$5&amp;$B19&amp;$G$4,TKB_LOP_CHECK!$B$65:$J$860,9,0),"")</f>
        <v>GVNN -8A1</v>
      </c>
      <c r="H19" s="40" t="str">
        <f>IFERROR(VLOOKUP($A$16&amp;$D$5&amp;$B19&amp;$G$4,TKB_LOP_CHECK!$B$65:$J$860,9,0),"")</f>
        <v>GVNN -4C1</v>
      </c>
      <c r="I19" s="40" t="str">
        <f>IFERROR(VLOOKUP($A$16&amp;$C$5&amp;$B19&amp;$I$4,TKB_LOP_CHECK!$B$65:$J$860,9,0),"")</f>
        <v>Toán -5C1</v>
      </c>
      <c r="J19" s="40" t="str">
        <f>IFERROR(VLOOKUP($A$16&amp;$D$5&amp;$B19&amp;$I$4,TKB_LOP_CHECK!$B$65:$J$860,9,0),"")</f>
        <v/>
      </c>
      <c r="K19" s="40" t="str">
        <f>IFERROR(VLOOKUP($A$16&amp;$C$5&amp;$B19&amp;$K$4,TKB_LOP_CHECK!$B$65:$J$860,9,0),"")</f>
        <v>Toán -5C1</v>
      </c>
      <c r="L19" s="40" t="str">
        <f>IFERROR(VLOOKUP($A$16&amp;$D$5&amp;$B19&amp;$K$4,TKB_LOP_CHECK!$B$65:$J$860,9,0),"")</f>
        <v/>
      </c>
      <c r="M19" s="40" t="str">
        <f>IFERROR(VLOOKUP($A$16&amp;$C$5&amp;$B19&amp;$M$4,TKB_LOP_CHECK!$B$65:$J$860,9,0),"")</f>
        <v>GVNN -1A1</v>
      </c>
      <c r="N19" s="40" t="str">
        <f>IFERROR(VLOOKUP($A$16&amp;$D$5&amp;$B19&amp;$M$4,TKB_LOP_CHECK!$B$65:$J$860,9,0),"")</f>
        <v/>
      </c>
      <c r="O19" s="40" t="str">
        <f>IFERROR(VLOOKUP($A$16&amp;$C$5&amp;$B19&amp;$O$4,TKB_LOP_CHECK!$B$65:$J$860,9,0),"")</f>
        <v>Cảm xúc xã hội -TTH1</v>
      </c>
      <c r="P19" s="40" t="str">
        <f>IFERROR(VLOOKUP($A$16&amp;$D$5&amp;$B19&amp;$O$4,TKB_LOP_CHECK!$B$65:$J$860,9,0),"")</f>
        <v>VĐ Ngoài trời -TTH1</v>
      </c>
      <c r="Q19" s="40" t="str">
        <f>IFERROR(VLOOKUP($A$16&amp;$C$5&amp;$B19&amp;$Q$4,TKB_LOP_CHECK!$B$65:$J$860,9,0),"")</f>
        <v>GDTC -2A1</v>
      </c>
      <c r="R19" s="40" t="str">
        <f>IFERROR(VLOOKUP($A$16&amp;$D$5&amp;$B19&amp;$Q$4,TKB_LOP_CHECK!$B$65:$J$860,9,0),"")</f>
        <v>GDTC -2C1</v>
      </c>
      <c r="S19" s="40" t="str">
        <f>IFERROR(VLOOKUP($A$16&amp;$C$5&amp;$B19&amp;$S$4,TKB_LOP_CHECK!$B$65:$J$860,9,0),"")</f>
        <v>GVNN -8A1</v>
      </c>
      <c r="T19" s="40" t="str">
        <f>IFERROR(VLOOKUP($A$16&amp;$D$5&amp;$B19&amp;$S$4,TKB_LOP_CHECK!$B$65:$J$860,9,0),"")</f>
        <v>GVNN -4C1</v>
      </c>
      <c r="U19" s="40" t="str">
        <f>IFERROR(VLOOKUP($A$16&amp;$C$5&amp;$B19&amp;$U$4,TKB_LOP_CHECK!$B$65:$J$860,9,0),"")</f>
        <v>Văn -7A1</v>
      </c>
      <c r="V19" s="40" t="str">
        <f>IFERROR(VLOOKUP($A$16&amp;$D$5&amp;$B19&amp;$U$4,TKB_LOP_CHECK!$B$65:$J$860,9,0),"")</f>
        <v>Đọc sách -7A1</v>
      </c>
      <c r="W19" s="40" t="str">
        <f>IFERROR(VLOOKUP($A$16&amp;$C$5&amp;$B19&amp;$W$4,TKB_LOP_CHECK!$B$65:$J$860,9,0),"")</f>
        <v/>
      </c>
      <c r="X19" s="40" t="str">
        <f>IFERROR(VLOOKUP($A$16&amp;$D$5&amp;$B19&amp;$W$4,TKB_LOP_CHECK!$B$65:$J$860,9,0),"")</f>
        <v/>
      </c>
      <c r="Y19" s="40" t="str">
        <f>IFERROR(VLOOKUP($A$16&amp;$C$5&amp;$B19&amp;$Y$4,TKB_LOP_CHECK!$B$65:$J$860,9,0),"")</f>
        <v>TViệt -3A1</v>
      </c>
      <c r="Z19" s="40" t="str">
        <f>IFERROR(VLOOKUP($A$16&amp;$D$5&amp;$B19&amp;$Y$4,TKB_LOP_CHECK!$B$65:$J$860,9,0),"")</f>
        <v>Toán -3A1</v>
      </c>
      <c r="AA19" s="40" t="str">
        <f>IFERROR(VLOOKUP($A$16&amp;$C$5&amp;$B19&amp;$AA$4,TKB_LOP_CHECK!$B$65:$J$860,9,0),"")</f>
        <v>GVNN -1A1</v>
      </c>
      <c r="AB19" s="40" t="str">
        <f>IFERROR(VLOOKUP($A$16&amp;$D$5&amp;$B19&amp;$AA$4,TKB_LOP_CHECK!$B$65:$J$860,9,0),"")</f>
        <v/>
      </c>
      <c r="AC19" s="40" t="str">
        <f>IFERROR(VLOOKUP($A$16&amp;$C$5&amp;$B19&amp;$AC$4,TKB_LOP_CHECK!$B$65:$J$860,9,0),"")</f>
        <v/>
      </c>
      <c r="AD19" s="40" t="str">
        <f>IFERROR(VLOOKUP($A$16&amp;$D$5&amp;$B19&amp;$AC$4,TKB_LOP_CHECK!$B$65:$J$860,9,0),"")</f>
        <v/>
      </c>
      <c r="AE19" s="40" t="str">
        <f>IFERROR(VLOOKUP($A$16&amp;$C$5&amp;$B19&amp;$AE$4,TKB_LOP_CHECK!$B$65:$J$860,9,0),"")</f>
        <v/>
      </c>
      <c r="AF19" s="40" t="str">
        <f>IFERROR(VLOOKUP($A$16&amp;$D$5&amp;$B19&amp;$AE$4,TKB_LOP_CHECK!$B$65:$J$860,9,0),"")</f>
        <v/>
      </c>
      <c r="AG19" s="40" t="str">
        <f>IFERROR(VLOOKUP($A$16&amp;$C$5&amp;$B19&amp;$AG$4,TKB_LOP_CHECK!$B$65:$J$860,9,0),"")</f>
        <v>GVNN -1A1</v>
      </c>
      <c r="AH19" s="40" t="str">
        <f>IFERROR(VLOOKUP($A$16&amp;$D$5&amp;$B19&amp;$AG$4,TKB_LOP_CHECK!$B$65:$J$860,9,0),"")</f>
        <v/>
      </c>
      <c r="AI19" s="40" t="str">
        <f>IFERROR(VLOOKUP($A$16&amp;$C$5&amp;$B19&amp;$AI$4,TKB_LOP_CHECK!$B$65:$J$860,9,0),"")</f>
        <v/>
      </c>
      <c r="AJ19" s="40" t="str">
        <f>IFERROR(VLOOKUP($A$16&amp;$D$5&amp;$B19&amp;$AI$4,TKB_LOP_CHECK!$B$65:$J$860,9,0),"")</f>
        <v/>
      </c>
      <c r="AK19" s="40" t="str">
        <f>IFERROR(VLOOKUP($A$16&amp;$C$5&amp;$B19&amp;$AK$4,TKB_LOP_CHECK!$B$65:$J$860,9,0),"")</f>
        <v>Mĩ thuật -TTH2</v>
      </c>
      <c r="AL19" s="40" t="str">
        <f>IFERROR(VLOOKUP($A$16&amp;$D$5&amp;$B19&amp;$AK$4,TKB_LOP_CHECK!$B$65:$J$860,9,0),"")</f>
        <v>Mĩ thuật -1A1</v>
      </c>
      <c r="AM19" s="40" t="str">
        <f>IFERROR(VLOOKUP($A$16&amp;$C$5&amp;$B19&amp;$AM$4,TKB_LOP_CHECK!$B$65:$J$860,9,0),"")</f>
        <v/>
      </c>
      <c r="AN19" s="40" t="str">
        <f>IFERROR(VLOOKUP($A$16&amp;$D$5&amp;$B19&amp;$AM$4,TKB_LOP_CHECK!$B$65:$J$860,9,0),"")</f>
        <v/>
      </c>
      <c r="AO19" s="40" t="str">
        <f>IFERROR(VLOOKUP($A$16&amp;$C$5&amp;$B19&amp;$AO$4,TKB_LOP_CHECK!$B$65:$J$860,9,0),"")</f>
        <v>TViệt -2C1</v>
      </c>
      <c r="AP19" s="40" t="str">
        <f>IFERROR(VLOOKUP($A$16&amp;$D$5&amp;$B19&amp;$AO$4,TKB_LOP_CHECK!$B$65:$J$860,9,0),"")</f>
        <v/>
      </c>
      <c r="AQ19" s="40" t="str">
        <f>IFERROR(VLOOKUP($A$16&amp;$C$5&amp;$B19&amp;$AQ$4,TKB_LOP_CHECK!$B$65:$J$860,9,0),"")</f>
        <v/>
      </c>
      <c r="AR19" s="40" t="str">
        <f>IFERROR(VLOOKUP($A$16&amp;$D$5&amp;$B19&amp;$AQ$4,TKB_LOP_CHECK!$B$65:$J$860,9,0),"")</f>
        <v/>
      </c>
      <c r="AS19" s="40" t="str">
        <f>IFERROR(VLOOKUP($A$16&amp;$C$5&amp;$B19&amp;$AS$4,TKB_LOP_CHECK!$B$65:$J$860,9,0),"")</f>
        <v>Toán -5C1</v>
      </c>
      <c r="AT19" s="40" t="str">
        <f>IFERROR(VLOOKUP($A$16&amp;$D$5&amp;$B19&amp;$AS$4,TKB_LOP_CHECK!$B$65:$J$860,9,0),"")</f>
        <v/>
      </c>
      <c r="AU19" s="40" t="str">
        <f>IFERROR(VLOOKUP($A$16&amp;$C$5&amp;$B19&amp;$AU$4,TKB_LOP_CHECK!$B$65:$J$860,9,0),"")</f>
        <v/>
      </c>
      <c r="AV19" s="40" t="str">
        <f>IFERROR(VLOOKUP($A$16&amp;$D$5&amp;$B19&amp;$AU$4,TKB_LOP_CHECK!$B$65:$J$860,9,0),"")</f>
        <v/>
      </c>
      <c r="AW19" s="40" t="str">
        <f>IFERROR(VLOOKUP($A$16&amp;$C$5&amp;$B19&amp;$AW$4,TKB_LOP_CHECK!$B$65:$J$860,9,0),"")</f>
        <v/>
      </c>
      <c r="AX19" s="40" t="str">
        <f>IFERROR(VLOOKUP($A$16&amp;$D$5&amp;$B19&amp;$AW$4,TKB_LOP_CHECK!$B$65:$J$860,9,0),"")</f>
        <v/>
      </c>
      <c r="AY19" s="40" t="str">
        <f>IFERROR(VLOOKUP($A$16&amp;$C$5&amp;$B19&amp;$AY$4,TKB_LOP_CHECK!$B$65:$J$860,9,0),"")</f>
        <v/>
      </c>
      <c r="AZ19" s="40" t="str">
        <f>IFERROR(VLOOKUP($A$16&amp;$D$5&amp;$B19&amp;$AY$4,TKB_LOP_CHECK!$B$65:$J$860,9,0),"")</f>
        <v/>
      </c>
      <c r="BA19" s="40" t="str">
        <f>IFERROR(VLOOKUP($A$16&amp;$C$5&amp;$B19&amp;$BA$4,TKB_LOP_CHECK!$B$65:$J$860,9,0),"")</f>
        <v/>
      </c>
      <c r="BB19" s="40" t="str">
        <f>IFERROR(VLOOKUP($A$16&amp;$D$5&amp;$B19&amp;$BA$4,TKB_LOP_CHECK!$B$65:$J$860,9,0),"")</f>
        <v/>
      </c>
      <c r="BC19" s="40" t="str">
        <f>IFERROR(VLOOKUP($A$16&amp;$C$5&amp;$B19&amp;$BC$4,TKB_LOP_CHECK!$B$65:$J$860,9,0),"")</f>
        <v/>
      </c>
      <c r="BD19" s="40" t="str">
        <f>IFERROR(VLOOKUP($A$16&amp;$D$5&amp;$B19&amp;$BC$4,TKB_LOP_CHECK!$B$65:$J$860,9,0),"")</f>
        <v/>
      </c>
      <c r="BE19" s="40" t="str">
        <f>IFERROR(VLOOKUP($A$16&amp;$C$5&amp;$B19&amp;$BE$4,TKB_LOP_CHECK!$B$65:$J$860,9,0),"")</f>
        <v/>
      </c>
      <c r="BF19" s="40" t="str">
        <f>IFERROR(VLOOKUP($A$16&amp;$D$5&amp;$B19&amp;$BE$4,TKB_LOP_CHECK!$B$65:$J$860,9,0),"")</f>
        <v/>
      </c>
      <c r="BG19" s="40" t="str">
        <f>IFERROR(VLOOKUP($A$16&amp;$C$5&amp;$B19&amp;$BG$4,TKB_LOP_CHECK!$B$65:$J$860,9,0),"")</f>
        <v/>
      </c>
      <c r="BH19" s="40" t="str">
        <f>IFERROR(VLOOKUP($A$16&amp;$D$5&amp;$B19&amp;$BG$4,TKB_LOP_CHECK!$B$65:$J$860,9,0),"")</f>
        <v/>
      </c>
      <c r="BI19" s="40" t="str">
        <f>IFERROR(VLOOKUP($A$16&amp;$C$5&amp;$B19&amp;$BI$4,TKB_LOP_CHECK!$B$65:$J$860,9,0),"")</f>
        <v/>
      </c>
      <c r="BJ19" s="40" t="str">
        <f>IFERROR(VLOOKUP($A$16&amp;$D$5&amp;$B19&amp;$BI$4,TKB_LOP_CHECK!$B$65:$J$860,9,0),"")</f>
        <v/>
      </c>
      <c r="BK19" s="40" t="str">
        <f>IFERROR(VLOOKUP($A$16&amp;$C$5&amp;$B19&amp;$BK$4,TKB_LOP_CHECK!$B$65:$J$860,9,0),"")</f>
        <v/>
      </c>
      <c r="BL19" s="40" t="str">
        <f>IFERROR(VLOOKUP($A$16&amp;$D$5&amp;$B19&amp;$BK$4,TKB_LOP_CHECK!$B$65:$J$860,9,0),"")</f>
        <v/>
      </c>
      <c r="BM19" s="40" t="str">
        <f>IFERROR(VLOOKUP($A$16&amp;$C$5&amp;$B19&amp;$BM$4,TKB_LOP_CHECK!$B$65:$J$860,9,0),"")</f>
        <v/>
      </c>
      <c r="BN19" s="40" t="str">
        <f>IFERROR(VLOOKUP($A$16&amp;$D$5&amp;$B19&amp;$BM$4,TKB_LOP_CHECK!$B$65:$J$860,9,0),"")</f>
        <v/>
      </c>
      <c r="BO19" s="40" t="str">
        <f>IFERROR(VLOOKUP($A$16&amp;$C$5&amp;$B19&amp;$BO$4,TKB_LOP_CHECK!$A$65:$J$860,10,0),"")</f>
        <v/>
      </c>
      <c r="BP19" s="40" t="str">
        <f>IFERROR(VLOOKUP($A$16&amp;$D$5&amp;$B19&amp;$BO$4,TKB_LOP_CHECK!$A$65:$J$860,10,0),"")</f>
        <v/>
      </c>
      <c r="BQ19" s="40" t="str">
        <f>IFERROR(VLOOKUP($A$16&amp;$C$5&amp;$B19&amp;$BQ$4,TKB_LOP_CHECK!$A$65:$J$860,10,0),"")</f>
        <v>GVNN -8A1</v>
      </c>
      <c r="BR19" s="40" t="str">
        <f>IFERROR(VLOOKUP($A$16&amp;$D$5&amp;$B19&amp;$BQ$4,TKB_LOP_CHECK!$A$65:$J$860,10,0),"")</f>
        <v>GVNN -4C1</v>
      </c>
      <c r="BS19" s="40" t="str">
        <f>IFERROR(VLOOKUP($A$16&amp;$C$5&amp;$B19&amp;$BS$4,TKB_LOP_CHECK!$A$65:$J$860,10,0),"")</f>
        <v/>
      </c>
      <c r="BT19" s="40" t="str">
        <f>IFERROR(VLOOKUP($A$16&amp;$D$5&amp;$B19&amp;$BS$4,TKB_LOP_CHECK!$A$65:$J$860,10,0),"")</f>
        <v/>
      </c>
      <c r="BU19" s="40" t="str">
        <f>IFERROR(VLOOKUP($A$16&amp;$C$5&amp;$B19&amp;$BU$4,TKB_LOP_CHECK!$A$65:$J$860,10,0),"")</f>
        <v/>
      </c>
      <c r="BV19" s="40" t="str">
        <f>IFERROR(VLOOKUP($A$16&amp;$D$5&amp;$B19&amp;$BU$4,TKB_LOP_CHECK!$A$65:$J$860,10,0),"")</f>
        <v/>
      </c>
    </row>
    <row r="20" spans="1:74" ht="16.7" customHeight="1" x14ac:dyDescent="0.25">
      <c r="A20" s="96"/>
      <c r="B20" s="42">
        <v>5</v>
      </c>
      <c r="C20" s="40" t="str">
        <f>IFERROR(VLOOKUP($A$16&amp;$C$5&amp;$B20&amp;$C$4,TKB_LOP_CHECK!$B$65:$J$860,9,0),"")</f>
        <v>GVNN -7A1</v>
      </c>
      <c r="D20" s="40" t="str">
        <f>IFERROR(VLOOKUP($A$16&amp;$D$5&amp;$B20&amp;$C$4,TKB_LOP_CHECK!$B$65:$J$860,9,0),"")</f>
        <v/>
      </c>
      <c r="E20" s="40" t="str">
        <f>IFERROR(VLOOKUP($A$16&amp;$C$5&amp;$B20&amp;$E$4,TKB_LOP_CHECK!$B$65:$J$860,9,0),"")</f>
        <v/>
      </c>
      <c r="F20" s="40" t="str">
        <f>IFERROR(VLOOKUP($A$16&amp;$D$5&amp;$B20&amp;$E$4,TKB_LOP_CHECK!$B$65:$J$860,9,0),"")</f>
        <v/>
      </c>
      <c r="G20" s="40" t="str">
        <f>IFERROR(VLOOKUP($A$16&amp;$C$5&amp;$B20&amp;$G$4,TKB_LOP_CHECK!$B$65:$J$860,9,0),"")</f>
        <v/>
      </c>
      <c r="H20" s="40" t="str">
        <f>IFERROR(VLOOKUP($A$16&amp;$D$5&amp;$B20&amp;$G$4,TKB_LOP_CHECK!$B$65:$J$860,9,0),"")</f>
        <v/>
      </c>
      <c r="I20" s="40" t="str">
        <f>IFERROR(VLOOKUP($A$16&amp;$C$5&amp;$B20&amp;$I$4,TKB_LOP_CHECK!$B$65:$J$860,9,0),"")</f>
        <v/>
      </c>
      <c r="J20" s="40" t="str">
        <f>IFERROR(VLOOKUP($A$16&amp;$D$5&amp;$B20&amp;$I$4,TKB_LOP_CHECK!$B$65:$J$860,9,0),"")</f>
        <v/>
      </c>
      <c r="K20" s="40" t="str">
        <f>IFERROR(VLOOKUP($A$16&amp;$C$5&amp;$B20&amp;$K$4,TKB_LOP_CHECK!$B$65:$J$860,9,0),"")</f>
        <v/>
      </c>
      <c r="L20" s="40" t="str">
        <f>IFERROR(VLOOKUP($A$16&amp;$D$5&amp;$B20&amp;$K$4,TKB_LOP_CHECK!$B$65:$J$860,9,0),"")</f>
        <v/>
      </c>
      <c r="M20" s="40" t="str">
        <f>IFERROR(VLOOKUP($A$16&amp;$C$5&amp;$B20&amp;$M$4,TKB_LOP_CHECK!$B$65:$J$860,9,0),"")</f>
        <v/>
      </c>
      <c r="N20" s="40" t="str">
        <f>IFERROR(VLOOKUP($A$16&amp;$D$5&amp;$B20&amp;$M$4,TKB_LOP_CHECK!$B$65:$J$860,9,0),"")</f>
        <v/>
      </c>
      <c r="O20" s="40" t="str">
        <f>IFERROR(VLOOKUP($A$16&amp;$C$5&amp;$B20&amp;$O$4,TKB_LOP_CHECK!$B$65:$J$860,9,0),"")</f>
        <v/>
      </c>
      <c r="P20" s="40" t="str">
        <f>IFERROR(VLOOKUP($A$16&amp;$D$5&amp;$B20&amp;$O$4,TKB_LOP_CHECK!$B$65:$J$860,9,0),"")</f>
        <v/>
      </c>
      <c r="Q20" s="40" t="str">
        <f>IFERROR(VLOOKUP($A$16&amp;$C$5&amp;$B20&amp;$Q$4,TKB_LOP_CHECK!$B$65:$J$860,9,0),"")</f>
        <v/>
      </c>
      <c r="R20" s="40" t="str">
        <f>IFERROR(VLOOKUP($A$16&amp;$D$5&amp;$B20&amp;$Q$4,TKB_LOP_CHECK!$B$65:$J$860,9,0),"")</f>
        <v/>
      </c>
      <c r="S20" s="40" t="str">
        <f>IFERROR(VLOOKUP($A$16&amp;$C$5&amp;$B20&amp;$S$4,TKB_LOP_CHECK!$B$65:$J$860,9,0),"")</f>
        <v/>
      </c>
      <c r="T20" s="40" t="str">
        <f>IFERROR(VLOOKUP($A$16&amp;$D$5&amp;$B20&amp;$S$4,TKB_LOP_CHECK!$B$65:$J$860,9,0),"")</f>
        <v/>
      </c>
      <c r="U20" s="40" t="str">
        <f>IFERROR(VLOOKUP($A$16&amp;$C$5&amp;$B20&amp;$U$4,TKB_LOP_CHECK!$B$65:$J$860,9,0),"")</f>
        <v>Đọc sách -8A1</v>
      </c>
      <c r="V20" s="40" t="str">
        <f>IFERROR(VLOOKUP($A$16&amp;$D$5&amp;$B20&amp;$U$4,TKB_LOP_CHECK!$B$65:$J$860,9,0),"")</f>
        <v/>
      </c>
      <c r="W20" s="40" t="str">
        <f>IFERROR(VLOOKUP($A$16&amp;$C$5&amp;$B20&amp;$W$4,TKB_LOP_CHECK!$B$65:$J$860,9,0),"")</f>
        <v/>
      </c>
      <c r="X20" s="40" t="str">
        <f>IFERROR(VLOOKUP($A$16&amp;$D$5&amp;$B20&amp;$W$4,TKB_LOP_CHECK!$B$65:$J$860,9,0),"")</f>
        <v/>
      </c>
      <c r="Y20" s="40" t="str">
        <f>IFERROR(VLOOKUP($A$16&amp;$C$5&amp;$B20&amp;$Y$4,TKB_LOP_CHECK!$B$65:$J$860,9,0),"")</f>
        <v/>
      </c>
      <c r="Z20" s="40" t="str">
        <f>IFERROR(VLOOKUP($A$16&amp;$D$5&amp;$B20&amp;$Y$4,TKB_LOP_CHECK!$B$65:$J$860,9,0),"")</f>
        <v/>
      </c>
      <c r="AA20" s="40" t="str">
        <f>IFERROR(VLOOKUP($A$16&amp;$C$5&amp;$B20&amp;$AA$4,TKB_LOP_CHECK!$B$65:$J$860,9,0),"")</f>
        <v/>
      </c>
      <c r="AB20" s="40" t="str">
        <f>IFERROR(VLOOKUP($A$16&amp;$D$5&amp;$B20&amp;$AA$4,TKB_LOP_CHECK!$B$65:$J$860,9,0),"")</f>
        <v/>
      </c>
      <c r="AC20" s="40" t="str">
        <f>IFERROR(VLOOKUP($A$16&amp;$C$5&amp;$B20&amp;$AC$4,TKB_LOP_CHECK!$B$65:$J$860,9,0),"")</f>
        <v/>
      </c>
      <c r="AD20" s="40" t="str">
        <f>IFERROR(VLOOKUP($A$16&amp;$D$5&amp;$B20&amp;$AC$4,TKB_LOP_CHECK!$B$65:$J$860,9,0),"")</f>
        <v/>
      </c>
      <c r="AE20" s="40" t="str">
        <f>IFERROR(VLOOKUP($A$16&amp;$C$5&amp;$B20&amp;$AE$4,TKB_LOP_CHECK!$B$65:$J$860,9,0),"")</f>
        <v/>
      </c>
      <c r="AF20" s="40" t="str">
        <f>IFERROR(VLOOKUP($A$16&amp;$D$5&amp;$B20&amp;$AE$4,TKB_LOP_CHECK!$B$65:$J$860,9,0),"")</f>
        <v/>
      </c>
      <c r="AG20" s="40" t="str">
        <f>IFERROR(VLOOKUP($A$16&amp;$C$5&amp;$B20&amp;$AG$4,TKB_LOP_CHECK!$B$65:$J$860,9,0),"")</f>
        <v/>
      </c>
      <c r="AH20" s="40" t="str">
        <f>IFERROR(VLOOKUP($A$16&amp;$D$5&amp;$B20&amp;$AG$4,TKB_LOP_CHECK!$B$65:$J$860,9,0),"")</f>
        <v/>
      </c>
      <c r="AI20" s="40" t="str">
        <f>IFERROR(VLOOKUP($A$16&amp;$C$5&amp;$B20&amp;$AI$4,TKB_LOP_CHECK!$B$65:$J$860,9,0),"")</f>
        <v/>
      </c>
      <c r="AJ20" s="40" t="str">
        <f>IFERROR(VLOOKUP($A$16&amp;$D$5&amp;$B20&amp;$AI$4,TKB_LOP_CHECK!$B$65:$J$860,9,0),"")</f>
        <v/>
      </c>
      <c r="AK20" s="40" t="str">
        <f>IFERROR(VLOOKUP($A$16&amp;$C$5&amp;$B20&amp;$AK$4,TKB_LOP_CHECK!$B$65:$J$860,9,0),"")</f>
        <v>Mĩ thuật -6A1</v>
      </c>
      <c r="AL20" s="40" t="str">
        <f>IFERROR(VLOOKUP($A$16&amp;$D$5&amp;$B20&amp;$AK$4,TKB_LOP_CHECK!$B$65:$J$860,9,0),"")</f>
        <v/>
      </c>
      <c r="AM20" s="40" t="str">
        <f>IFERROR(VLOOKUP($A$16&amp;$C$5&amp;$B20&amp;$AM$4,TKB_LOP_CHECK!$B$65:$J$860,9,0),"")</f>
        <v/>
      </c>
      <c r="AN20" s="40" t="str">
        <f>IFERROR(VLOOKUP($A$16&amp;$D$5&amp;$B20&amp;$AM$4,TKB_LOP_CHECK!$B$65:$J$860,9,0),"")</f>
        <v/>
      </c>
      <c r="AO20" s="40" t="str">
        <f>IFERROR(VLOOKUP($A$16&amp;$C$5&amp;$B20&amp;$AO$4,TKB_LOP_CHECK!$B$65:$J$860,9,0),"")</f>
        <v/>
      </c>
      <c r="AP20" s="40" t="str">
        <f>IFERROR(VLOOKUP($A$16&amp;$D$5&amp;$B20&amp;$AO$4,TKB_LOP_CHECK!$B$65:$J$860,9,0),"")</f>
        <v/>
      </c>
      <c r="AQ20" s="40" t="str">
        <f>IFERROR(VLOOKUP($A$16&amp;$C$5&amp;$B20&amp;$AQ$4,TKB_LOP_CHECK!$B$65:$J$860,9,0),"")</f>
        <v>GVNN -7A1</v>
      </c>
      <c r="AR20" s="40" t="str">
        <f>IFERROR(VLOOKUP($A$16&amp;$D$5&amp;$B20&amp;$AQ$4,TKB_LOP_CHECK!$B$65:$J$860,9,0),"")</f>
        <v/>
      </c>
      <c r="AS20" s="40" t="str">
        <f>IFERROR(VLOOKUP($A$16&amp;$C$5&amp;$B20&amp;$AS$4,TKB_LOP_CHECK!$B$65:$J$860,9,0),"")</f>
        <v/>
      </c>
      <c r="AT20" s="40" t="str">
        <f>IFERROR(VLOOKUP($A$16&amp;$D$5&amp;$B20&amp;$AS$4,TKB_LOP_CHECK!$B$65:$J$860,9,0),"")</f>
        <v/>
      </c>
      <c r="AU20" s="40" t="str">
        <f>IFERROR(VLOOKUP($A$16&amp;$C$5&amp;$B20&amp;$AU$4,TKB_LOP_CHECK!$B$65:$J$860,9,0),"")</f>
        <v/>
      </c>
      <c r="AV20" s="40" t="str">
        <f>IFERROR(VLOOKUP($A$16&amp;$D$5&amp;$B20&amp;$AU$4,TKB_LOP_CHECK!$B$65:$J$860,9,0),"")</f>
        <v/>
      </c>
      <c r="AW20" s="40" t="str">
        <f>IFERROR(VLOOKUP($A$16&amp;$C$5&amp;$B20&amp;$AW$4,TKB_LOP_CHECK!$B$65:$J$860,9,0),"")</f>
        <v/>
      </c>
      <c r="AX20" s="40" t="str">
        <f>IFERROR(VLOOKUP($A$16&amp;$D$5&amp;$B20&amp;$AW$4,TKB_LOP_CHECK!$B$65:$J$860,9,0),"")</f>
        <v/>
      </c>
      <c r="AY20" s="40" t="str">
        <f>IFERROR(VLOOKUP($A$16&amp;$C$5&amp;$B20&amp;$AY$4,TKB_LOP_CHECK!$B$65:$J$860,9,0),"")</f>
        <v/>
      </c>
      <c r="AZ20" s="40" t="str">
        <f>IFERROR(VLOOKUP($A$16&amp;$D$5&amp;$B20&amp;$AY$4,TKB_LOP_CHECK!$B$65:$J$860,9,0),"")</f>
        <v/>
      </c>
      <c r="BA20" s="40" t="str">
        <f>IFERROR(VLOOKUP($A$16&amp;$C$5&amp;$B20&amp;$BA$4,TKB_LOP_CHECK!$B$65:$J$860,9,0),"")</f>
        <v/>
      </c>
      <c r="BB20" s="40" t="str">
        <f>IFERROR(VLOOKUP($A$16&amp;$D$5&amp;$B20&amp;$BA$4,TKB_LOP_CHECK!$B$65:$J$860,9,0),"")</f>
        <v/>
      </c>
      <c r="BC20" s="40" t="str">
        <f>IFERROR(VLOOKUP($A$16&amp;$C$5&amp;$B20&amp;$BC$4,TKB_LOP_CHECK!$B$65:$J$860,9,0),"")</f>
        <v/>
      </c>
      <c r="BD20" s="40" t="str">
        <f>IFERROR(VLOOKUP($A$16&amp;$D$5&amp;$B20&amp;$BC$4,TKB_LOP_CHECK!$B$65:$J$860,9,0),"")</f>
        <v/>
      </c>
      <c r="BE20" s="40" t="str">
        <f>IFERROR(VLOOKUP($A$16&amp;$C$5&amp;$B20&amp;$BE$4,TKB_LOP_CHECK!$B$65:$J$860,9,0),"")</f>
        <v/>
      </c>
      <c r="BF20" s="40" t="str">
        <f>IFERROR(VLOOKUP($A$16&amp;$D$5&amp;$B20&amp;$BE$4,TKB_LOP_CHECK!$B$65:$J$860,9,0),"")</f>
        <v/>
      </c>
      <c r="BG20" s="40" t="str">
        <f>IFERROR(VLOOKUP($A$16&amp;$C$5&amp;$B20&amp;$BG$4,TKB_LOP_CHECK!$B$65:$J$860,9,0),"")</f>
        <v/>
      </c>
      <c r="BH20" s="40" t="str">
        <f>IFERROR(VLOOKUP($A$16&amp;$D$5&amp;$B20&amp;$BG$4,TKB_LOP_CHECK!$B$65:$J$860,9,0),"")</f>
        <v/>
      </c>
      <c r="BI20" s="40" t="str">
        <f>IFERROR(VLOOKUP($A$16&amp;$C$5&amp;$B20&amp;$BI$4,TKB_LOP_CHECK!$B$65:$J$860,9,0),"")</f>
        <v/>
      </c>
      <c r="BJ20" s="40" t="str">
        <f>IFERROR(VLOOKUP($A$16&amp;$D$5&amp;$B20&amp;$BI$4,TKB_LOP_CHECK!$B$65:$J$860,9,0),"")</f>
        <v/>
      </c>
      <c r="BK20" s="40" t="str">
        <f>IFERROR(VLOOKUP($A$16&amp;$C$5&amp;$B20&amp;$BK$4,TKB_LOP_CHECK!$B$65:$J$860,9,0),"")</f>
        <v/>
      </c>
      <c r="BL20" s="40" t="str">
        <f>IFERROR(VLOOKUP($A$16&amp;$D$5&amp;$B20&amp;$BK$4,TKB_LOP_CHECK!$B$65:$J$860,9,0),"")</f>
        <v/>
      </c>
      <c r="BM20" s="40" t="str">
        <f>IFERROR(VLOOKUP($A$16&amp;$C$5&amp;$B20&amp;$BM$4,TKB_LOP_CHECK!$B$65:$J$860,9,0),"")</f>
        <v/>
      </c>
      <c r="BN20" s="40" t="str">
        <f>IFERROR(VLOOKUP($A$16&amp;$D$5&amp;$B20&amp;$BM$4,TKB_LOP_CHECK!$B$65:$J$860,9,0),"")</f>
        <v/>
      </c>
      <c r="BO20" s="40" t="str">
        <f>IFERROR(VLOOKUP($A$16&amp;$C$5&amp;$B20&amp;$BO$4,TKB_LOP_CHECK!$A$65:$J$860,10,0),"")</f>
        <v/>
      </c>
      <c r="BP20" s="40" t="str">
        <f>IFERROR(VLOOKUP($A$16&amp;$D$5&amp;$B20&amp;$BO$4,TKB_LOP_CHECK!$A$65:$J$860,10,0),"")</f>
        <v/>
      </c>
      <c r="BQ20" s="40" t="str">
        <f>IFERROR(VLOOKUP($A$16&amp;$C$5&amp;$B20&amp;$BQ$4,TKB_LOP_CHECK!$A$65:$J$860,10,0),"")</f>
        <v>GVNN -7A1</v>
      </c>
      <c r="BR20" s="40" t="str">
        <f>IFERROR(VLOOKUP($A$16&amp;$D$5&amp;$B20&amp;$BQ$4,TKB_LOP_CHECK!$A$65:$J$860,10,0),"")</f>
        <v/>
      </c>
      <c r="BS20" s="40" t="str">
        <f>IFERROR(VLOOKUP($A$16&amp;$C$5&amp;$B20&amp;$BS$4,TKB_LOP_CHECK!$A$65:$J$860,10,0),"")</f>
        <v/>
      </c>
      <c r="BT20" s="40" t="str">
        <f>IFERROR(VLOOKUP($A$16&amp;$D$5&amp;$B20&amp;$BS$4,TKB_LOP_CHECK!$A$65:$J$860,10,0),"")</f>
        <v/>
      </c>
      <c r="BU20" s="40" t="str">
        <f>IFERROR(VLOOKUP($A$16&amp;$C$5&amp;$B20&amp;$BU$4,TKB_LOP_CHECK!$A$65:$J$860,10,0),"")</f>
        <v/>
      </c>
      <c r="BV20" s="40" t="str">
        <f>IFERROR(VLOOKUP($A$16&amp;$D$5&amp;$B20&amp;$BU$4,TKB_LOP_CHECK!$A$65:$J$860,10,0),"")</f>
        <v/>
      </c>
    </row>
    <row r="21" spans="1:74" ht="16.7" customHeight="1" x14ac:dyDescent="0.25">
      <c r="A21" s="94">
        <v>5</v>
      </c>
      <c r="B21" s="39">
        <v>1</v>
      </c>
      <c r="C21" s="40" t="str">
        <f>IFERROR(VLOOKUP($A$21&amp;$C$5&amp;$B21&amp;$C$4,TKB_LOP_CHECK!$B$65:$J$860,9,0),"")</f>
        <v>GVNN -7A1</v>
      </c>
      <c r="D21" s="40" t="str">
        <f>IFERROR(VLOOKUP($A$21&amp;$D$5&amp;$B21&amp;$C$4,TKB_LOP_CHECK!$B$65:$J$860,9,0),"")</f>
        <v>GVVN -7A1</v>
      </c>
      <c r="E21" s="40" t="str">
        <f>IFERROR(VLOOKUP($A$21&amp;$C$5&amp;$B21&amp;$E$4,TKB_LOP_CHECK!$B$65:$J$860,9,0),"")</f>
        <v/>
      </c>
      <c r="F21" s="40" t="str">
        <f>IFERROR(VLOOKUP($A$21&amp;$D$5&amp;$B21&amp;$E$4,TKB_LOP_CHECK!$B$65:$J$860,9,0),"")</f>
        <v/>
      </c>
      <c r="G21" s="40" t="str">
        <f>IFERROR(VLOOKUP($A$21&amp;$C$5&amp;$B21&amp;$G$4,TKB_LOP_CHECK!$B$65:$J$860,9,0),"")</f>
        <v>GVVN -8A1</v>
      </c>
      <c r="H21" s="40" t="str">
        <f>IFERROR(VLOOKUP($A$21&amp;$D$5&amp;$B21&amp;$G$4,TKB_LOP_CHECK!$B$65:$J$860,9,0),"")</f>
        <v/>
      </c>
      <c r="I21" s="40" t="str">
        <f>IFERROR(VLOOKUP($A$21&amp;$C$5&amp;$B21&amp;$I$4,TKB_LOP_CHECK!$B$65:$J$860,9,0),"")</f>
        <v/>
      </c>
      <c r="J21" s="40" t="str">
        <f>IFERROR(VLOOKUP($A$21&amp;$D$5&amp;$B21&amp;$I$4,TKB_LOP_CHECK!$B$65:$J$860,9,0),"")</f>
        <v>Toán -2C1</v>
      </c>
      <c r="K21" s="40" t="str">
        <f>IFERROR(VLOOKUP($A$21&amp;$C$5&amp;$B21&amp;$K$4,TKB_LOP_CHECK!$B$65:$J$860,9,0),"")</f>
        <v/>
      </c>
      <c r="L21" s="40" t="str">
        <f>IFERROR(VLOOKUP($A$21&amp;$D$5&amp;$B21&amp;$K$4,TKB_LOP_CHECK!$B$65:$J$860,9,0),"")</f>
        <v>Toán -2C1</v>
      </c>
      <c r="M21" s="40" t="str">
        <f>IFERROR(VLOOKUP($A$21&amp;$C$5&amp;$B21&amp;$M$4,TKB_LOP_CHECK!$B$65:$J$860,9,0),"")</f>
        <v>GVNN -1A1</v>
      </c>
      <c r="N21" s="40" t="str">
        <f>IFERROR(VLOOKUP($A$21&amp;$D$5&amp;$B21&amp;$M$4,TKB_LOP_CHECK!$B$65:$J$860,9,0),"")</f>
        <v>GVNN -1A1</v>
      </c>
      <c r="O21" s="40" t="str">
        <f>IFERROR(VLOOKUP($A$21&amp;$C$5&amp;$B21&amp;$O$4,TKB_LOP_CHECK!$B$65:$J$860,9,0),"")</f>
        <v>TViệt -TTH1</v>
      </c>
      <c r="P21" s="40" t="str">
        <f>IFERROR(VLOOKUP($A$21&amp;$D$5&amp;$B21&amp;$O$4,TKB_LOP_CHECK!$B$65:$J$860,9,0),"")</f>
        <v>HĐ tự chọn -TTH1</v>
      </c>
      <c r="Q21" s="40" t="str">
        <f>IFERROR(VLOOKUP($A$21&amp;$C$5&amp;$B21&amp;$Q$4,TKB_LOP_CHECK!$B$65:$J$860,9,0),"")</f>
        <v>GDTC -5C1</v>
      </c>
      <c r="R21" s="40" t="str">
        <f>IFERROR(VLOOKUP($A$21&amp;$D$5&amp;$B21&amp;$Q$4,TKB_LOP_CHECK!$B$65:$J$860,9,0),"")</f>
        <v/>
      </c>
      <c r="S21" s="40" t="str">
        <f>IFERROR(VLOOKUP($A$21&amp;$C$5&amp;$B21&amp;$S$4,TKB_LOP_CHECK!$B$65:$J$860,9,0),"")</f>
        <v>GVVN -8A1</v>
      </c>
      <c r="T21" s="40" t="str">
        <f>IFERROR(VLOOKUP($A$21&amp;$D$5&amp;$B21&amp;$S$4,TKB_LOP_CHECK!$B$65:$J$860,9,0),"")</f>
        <v/>
      </c>
      <c r="U21" s="40" t="str">
        <f>IFERROR(VLOOKUP($A$21&amp;$C$5&amp;$B21&amp;$U$4,TKB_LOP_CHECK!$B$65:$J$860,9,0),"")</f>
        <v/>
      </c>
      <c r="V21" s="40" t="str">
        <f>IFERROR(VLOOKUP($A$21&amp;$D$5&amp;$B21&amp;$U$4,TKB_LOP_CHECK!$B$65:$J$860,9,0),"")</f>
        <v/>
      </c>
      <c r="W21" s="40" t="str">
        <f>IFERROR(VLOOKUP($A$21&amp;$C$5&amp;$B21&amp;$W$4,TKB_LOP_CHECK!$B$65:$J$860,9,0),"")</f>
        <v/>
      </c>
      <c r="X21" s="40" t="str">
        <f>IFERROR(VLOOKUP($A$21&amp;$D$5&amp;$B21&amp;$W$4,TKB_LOP_CHECK!$B$65:$J$860,9,0),"")</f>
        <v/>
      </c>
      <c r="Y21" s="40" t="str">
        <f>IFERROR(VLOOKUP($A$21&amp;$C$5&amp;$B21&amp;$Y$4,TKB_LOP_CHECK!$B$65:$J$860,9,0),"")</f>
        <v>Toán -3A1</v>
      </c>
      <c r="Z21" s="40" t="str">
        <f>IFERROR(VLOOKUP($A$21&amp;$D$5&amp;$B21&amp;$Y$4,TKB_LOP_CHECK!$B$65:$J$860,9,0),"")</f>
        <v/>
      </c>
      <c r="AA21" s="40" t="str">
        <f>IFERROR(VLOOKUP($A$21&amp;$C$5&amp;$B21&amp;$AA$4,TKB_LOP_CHECK!$B$65:$J$860,9,0),"")</f>
        <v>GVNN -1A1</v>
      </c>
      <c r="AB21" s="40" t="str">
        <f>IFERROR(VLOOKUP($A$21&amp;$D$5&amp;$B21&amp;$AA$4,TKB_LOP_CHECK!$B$65:$J$860,9,0),"")</f>
        <v>GVNN -1A1</v>
      </c>
      <c r="AC21" s="40" t="str">
        <f>IFERROR(VLOOKUP($A$21&amp;$C$5&amp;$B21&amp;$AC$4,TKB_LOP_CHECK!$B$65:$J$860,9,0),"")</f>
        <v/>
      </c>
      <c r="AD21" s="40" t="str">
        <f>IFERROR(VLOOKUP($A$21&amp;$D$5&amp;$B21&amp;$AC$4,TKB_LOP_CHECK!$B$65:$J$860,9,0),"")</f>
        <v/>
      </c>
      <c r="AE21" s="40" t="str">
        <f>IFERROR(VLOOKUP($A$21&amp;$C$5&amp;$B21&amp;$AE$4,TKB_LOP_CHECK!$B$65:$J$860,9,0),"")</f>
        <v>GVNN -3C1</v>
      </c>
      <c r="AF21" s="40" t="str">
        <f>IFERROR(VLOOKUP($A$21&amp;$D$5&amp;$B21&amp;$AE$4,TKB_LOP_CHECK!$B$65:$J$860,9,0),"")</f>
        <v>GVNN -5C1</v>
      </c>
      <c r="AG21" s="40" t="str">
        <f>IFERROR(VLOOKUP($A$21&amp;$C$5&amp;$B21&amp;$AG$4,TKB_LOP_CHECK!$B$65:$J$860,9,0),"")</f>
        <v>GVNN -1A1</v>
      </c>
      <c r="AH21" s="40" t="str">
        <f>IFERROR(VLOOKUP($A$21&amp;$D$5&amp;$B21&amp;$AG$4,TKB_LOP_CHECK!$B$65:$J$860,9,0),"")</f>
        <v>GVNN -1A1</v>
      </c>
      <c r="AI21" s="40" t="str">
        <f>IFERROR(VLOOKUP($A$21&amp;$C$5&amp;$B21&amp;$AI$4,TKB_LOP_CHECK!$B$65:$J$860,9,0),"")</f>
        <v>KHTN -6A1</v>
      </c>
      <c r="AJ21" s="40" t="str">
        <f>IFERROR(VLOOKUP($A$21&amp;$D$5&amp;$B21&amp;$AI$4,TKB_LOP_CHECK!$B$65:$J$860,9,0),"")</f>
        <v>KHTN -8A1</v>
      </c>
      <c r="AK21" s="40" t="str">
        <f>IFERROR(VLOOKUP($A$21&amp;$C$5&amp;$B21&amp;$AK$4,TKB_LOP_CHECK!$B$65:$J$860,9,0),"")</f>
        <v/>
      </c>
      <c r="AL21" s="40" t="str">
        <f>IFERROR(VLOOKUP($A$21&amp;$D$5&amp;$B21&amp;$AK$4,TKB_LOP_CHECK!$B$65:$J$860,9,0),"")</f>
        <v/>
      </c>
      <c r="AM21" s="40" t="str">
        <f>IFERROR(VLOOKUP($A$21&amp;$C$5&amp;$B21&amp;$AM$4,TKB_LOP_CHECK!$B$65:$J$860,9,0),"")</f>
        <v/>
      </c>
      <c r="AN21" s="40" t="str">
        <f>IFERROR(VLOOKUP($A$21&amp;$D$5&amp;$B21&amp;$AM$4,TKB_LOP_CHECK!$B$65:$J$860,9,0),"")</f>
        <v>TViệt -3C1</v>
      </c>
      <c r="AO21" s="40" t="str">
        <f>IFERROR(VLOOKUP($A$21&amp;$C$5&amp;$B21&amp;$AO$4,TKB_LOP_CHECK!$B$65:$J$860,9,0),"")</f>
        <v/>
      </c>
      <c r="AP21" s="40" t="str">
        <f>IFERROR(VLOOKUP($A$21&amp;$D$5&amp;$B21&amp;$AO$4,TKB_LOP_CHECK!$B$65:$J$860,9,0),"")</f>
        <v>Viết sáng tạo -2A1</v>
      </c>
      <c r="AQ21" s="40" t="str">
        <f>IFERROR(VLOOKUP($A$21&amp;$C$5&amp;$B21&amp;$AQ$4,TKB_LOP_CHECK!$B$65:$J$860,9,0),"")</f>
        <v>GVNN -7A1</v>
      </c>
      <c r="AR21" s="40" t="str">
        <f>IFERROR(VLOOKUP($A$21&amp;$D$5&amp;$B21&amp;$AQ$4,TKB_LOP_CHECK!$B$65:$J$860,9,0),"")</f>
        <v>GVVN -7A1</v>
      </c>
      <c r="AS21" s="40" t="str">
        <f>IFERROR(VLOOKUP($A$21&amp;$C$5&amp;$B21&amp;$AS$4,TKB_LOP_CHECK!$B$65:$J$860,9,0),"")</f>
        <v/>
      </c>
      <c r="AT21" s="40" t="str">
        <f>IFERROR(VLOOKUP($A$21&amp;$D$5&amp;$B21&amp;$AS$4,TKB_LOP_CHECK!$B$65:$J$860,9,0),"")</f>
        <v>Toán -2C1</v>
      </c>
      <c r="AU21" s="40" t="str">
        <f>IFERROR(VLOOKUP($A$21&amp;$C$5&amp;$B21&amp;$AU$4,TKB_LOP_CHECK!$B$65:$J$860,9,0),"")</f>
        <v/>
      </c>
      <c r="AV21" s="40" t="str">
        <f>IFERROR(VLOOKUP($A$21&amp;$D$5&amp;$B21&amp;$AU$4,TKB_LOP_CHECK!$B$65:$J$860,9,0),"")</f>
        <v/>
      </c>
      <c r="AW21" s="40" t="str">
        <f>IFERROR(VLOOKUP($A$21&amp;$C$5&amp;$B21&amp;$AW$4,TKB_LOP_CHECK!$B$65:$J$860,9,0),"")</f>
        <v/>
      </c>
      <c r="AX21" s="40" t="str">
        <f>IFERROR(VLOOKUP($A$21&amp;$D$5&amp;$B21&amp;$AW$4,TKB_LOP_CHECK!$B$65:$J$860,9,0),"")</f>
        <v/>
      </c>
      <c r="AY21" s="40" t="str">
        <f>IFERROR(VLOOKUP($A$21&amp;$C$5&amp;$B21&amp;$AY$4,TKB_LOP_CHECK!$B$65:$J$860,9,0),"")</f>
        <v/>
      </c>
      <c r="AZ21" s="40" t="str">
        <f>IFERROR(VLOOKUP($A$21&amp;$D$5&amp;$B21&amp;$AY$4,TKB_LOP_CHECK!$B$65:$J$860,9,0),"")</f>
        <v/>
      </c>
      <c r="BA21" s="40" t="str">
        <f>IFERROR(VLOOKUP($A$21&amp;$C$5&amp;$B21&amp;$BA$4,TKB_LOP_CHECK!$B$65:$J$860,9,0),"")</f>
        <v/>
      </c>
      <c r="BB21" s="40" t="str">
        <f>IFERROR(VLOOKUP($A$21&amp;$D$5&amp;$B21&amp;$BA$4,TKB_LOP_CHECK!$B$65:$J$860,9,0),"")</f>
        <v/>
      </c>
      <c r="BC21" s="40" t="str">
        <f>IFERROR(VLOOKUP($A$21&amp;$C$5&amp;$B21&amp;$BC$4,TKB_LOP_CHECK!$B$65:$J$860,9,0),"")</f>
        <v/>
      </c>
      <c r="BD21" s="40" t="str">
        <f>IFERROR(VLOOKUP($A$21&amp;$D$5&amp;$B21&amp;$BC$4,TKB_LOP_CHECK!$B$65:$J$860,9,0),"")</f>
        <v/>
      </c>
      <c r="BE21" s="40" t="str">
        <f>IFERROR(VLOOKUP($A$21&amp;$C$5&amp;$B21&amp;$BE$4,TKB_LOP_CHECK!$B$65:$J$860,9,0),"")</f>
        <v/>
      </c>
      <c r="BF21" s="40" t="str">
        <f>IFERROR(VLOOKUP($A$21&amp;$D$5&amp;$B21&amp;$BE$4,TKB_LOP_CHECK!$B$65:$J$860,9,0),"")</f>
        <v/>
      </c>
      <c r="BG21" s="40" t="str">
        <f>IFERROR(VLOOKUP($A$21&amp;$C$5&amp;$B21&amp;$BG$4,TKB_LOP_CHECK!$B$65:$J$860,9,0),"")</f>
        <v/>
      </c>
      <c r="BH21" s="40" t="str">
        <f>IFERROR(VLOOKUP($A$21&amp;$D$5&amp;$B21&amp;$BG$4,TKB_LOP_CHECK!$B$65:$J$860,9,0),"")</f>
        <v/>
      </c>
      <c r="BI21" s="40" t="str">
        <f>IFERROR(VLOOKUP($A$21&amp;$C$5&amp;$B21&amp;$BI$4,TKB_LOP_CHECK!$B$65:$J$860,9,0),"")</f>
        <v/>
      </c>
      <c r="BJ21" s="40" t="str">
        <f>IFERROR(VLOOKUP($A$21&amp;$D$5&amp;$B21&amp;$BI$4,TKB_LOP_CHECK!$B$65:$J$860,9,0),"")</f>
        <v/>
      </c>
      <c r="BK21" s="40" t="str">
        <f>IFERROR(VLOOKUP($A$21&amp;$C$5&amp;$B21&amp;$BK$4,TKB_LOP_CHECK!$B$65:$J$860,9,0),"")</f>
        <v/>
      </c>
      <c r="BL21" s="40" t="str">
        <f>IFERROR(VLOOKUP($A$21&amp;$D$5&amp;$B21&amp;$BK$4,TKB_LOP_CHECK!$B$65:$J$860,9,0),"")</f>
        <v/>
      </c>
      <c r="BM21" s="40" t="str">
        <f>IFERROR(VLOOKUP($A$21&amp;$C$5&amp;$B21&amp;$BM$4,TKB_LOP_CHECK!$B$65:$J$860,9,0),"")</f>
        <v/>
      </c>
      <c r="BN21" s="40" t="str">
        <f>IFERROR(VLOOKUP($A$21&amp;$D$5&amp;$B21&amp;$BM$4,TKB_LOP_CHECK!$B$65:$J$860,9,0),"")</f>
        <v/>
      </c>
      <c r="BO21" s="40" t="str">
        <f>IFERROR(VLOOKUP($A$21&amp;$C$5&amp;$B21&amp;$BO$4,TKB_LOP_CHECK!$A$65:$J$860,10,0),"")</f>
        <v/>
      </c>
      <c r="BP21" s="40" t="str">
        <f>IFERROR(VLOOKUP($A$21&amp;$D$5&amp;$B21&amp;$BO$4,TKB_LOP_CHECK!$A$65:$J$860,10,0),"")</f>
        <v/>
      </c>
      <c r="BQ21" s="40" t="str">
        <f>IFERROR(VLOOKUP($A$21&amp;$C$5&amp;$B21&amp;$BQ$4,TKB_LOP_CHECK!$A$65:$J$860,10,0),"")</f>
        <v>GVNN -3C1</v>
      </c>
      <c r="BR21" s="40" t="str">
        <f>IFERROR(VLOOKUP($A$21&amp;$D$5&amp;$B21&amp;$BQ$4,TKB_LOP_CHECK!$A$65:$J$860,10,0),"")</f>
        <v>GVNN -5C1</v>
      </c>
      <c r="BS21" s="40" t="str">
        <f>IFERROR(VLOOKUP($A$21&amp;$C$5&amp;$B21&amp;$BS$4,TKB_LOP_CHECK!$A$65:$J$860,10,0),"")</f>
        <v/>
      </c>
      <c r="BT21" s="40" t="str">
        <f>IFERROR(VLOOKUP($A$21&amp;$D$5&amp;$B21&amp;$BS$4,TKB_LOP_CHECK!$A$65:$J$860,10,0),"")</f>
        <v/>
      </c>
      <c r="BU21" s="40" t="str">
        <f>IFERROR(VLOOKUP($A$21&amp;$C$5&amp;$B21&amp;$BU$4,TKB_LOP_CHECK!$A$65:$J$860,10,0),"")</f>
        <v/>
      </c>
      <c r="BV21" s="40" t="str">
        <f>IFERROR(VLOOKUP($A$21&amp;$D$5&amp;$B21&amp;$BU$4,TKB_LOP_CHECK!$A$65:$J$860,10,0),"")</f>
        <v/>
      </c>
    </row>
    <row r="22" spans="1:74" ht="16.7" customHeight="1" x14ac:dyDescent="0.25">
      <c r="A22" s="95"/>
      <c r="B22" s="41">
        <v>2</v>
      </c>
      <c r="C22" s="40" t="str">
        <f>IFERROR(VLOOKUP($A$21&amp;$C$5&amp;$B22&amp;$C$4,TKB_LOP_CHECK!$B$65:$J$860,9,0),"")</f>
        <v/>
      </c>
      <c r="D22" s="40" t="str">
        <f>IFERROR(VLOOKUP($A$21&amp;$D$5&amp;$B22&amp;$C$4,TKB_LOP_CHECK!$B$65:$J$860,9,0),"")</f>
        <v>GVVN -6A1</v>
      </c>
      <c r="E22" s="40" t="str">
        <f>IFERROR(VLOOKUP($A$21&amp;$C$5&amp;$B22&amp;$E$4,TKB_LOP_CHECK!$B$65:$J$860,9,0),"")</f>
        <v/>
      </c>
      <c r="F22" s="40" t="str">
        <f>IFERROR(VLOOKUP($A$21&amp;$D$5&amp;$B22&amp;$E$4,TKB_LOP_CHECK!$B$65:$J$860,9,0),"")</f>
        <v/>
      </c>
      <c r="G22" s="40" t="str">
        <f>IFERROR(VLOOKUP($A$21&amp;$C$5&amp;$B22&amp;$G$4,TKB_LOP_CHECK!$B$65:$J$860,9,0),"")</f>
        <v>Science -4C1</v>
      </c>
      <c r="H22" s="40" t="str">
        <f>IFERROR(VLOOKUP($A$21&amp;$D$5&amp;$B22&amp;$G$4,TKB_LOP_CHECK!$B$65:$J$860,9,0),"")</f>
        <v>GVNN -4C1</v>
      </c>
      <c r="I22" s="40" t="str">
        <f>IFERROR(VLOOKUP($A$21&amp;$C$5&amp;$B22&amp;$I$4,TKB_LOP_CHECK!$B$65:$J$860,9,0),"")</f>
        <v>Toán -2C1</v>
      </c>
      <c r="J22" s="40" t="str">
        <f>IFERROR(VLOOKUP($A$21&amp;$D$5&amp;$B22&amp;$I$4,TKB_LOP_CHECK!$B$65:$J$860,9,0),"")</f>
        <v/>
      </c>
      <c r="K22" s="40" t="str">
        <f>IFERROR(VLOOKUP($A$21&amp;$C$5&amp;$B22&amp;$K$4,TKB_LOP_CHECK!$B$65:$J$860,9,0),"")</f>
        <v>Toán -2C1</v>
      </c>
      <c r="L22" s="40" t="str">
        <f>IFERROR(VLOOKUP($A$21&amp;$D$5&amp;$B22&amp;$K$4,TKB_LOP_CHECK!$B$65:$J$860,9,0),"")</f>
        <v/>
      </c>
      <c r="M22" s="40" t="str">
        <f>IFERROR(VLOOKUP($A$21&amp;$C$5&amp;$B22&amp;$M$4,TKB_LOP_CHECK!$B$65:$J$860,9,0),"")</f>
        <v>GVNN -2A1</v>
      </c>
      <c r="N22" s="40" t="str">
        <f>IFERROR(VLOOKUP($A$21&amp;$D$5&amp;$B22&amp;$M$4,TKB_LOP_CHECK!$B$65:$J$860,9,0),"")</f>
        <v>GVVN -TTH2</v>
      </c>
      <c r="O22" s="40" t="str">
        <f>IFERROR(VLOOKUP($A$21&amp;$C$5&amp;$B22&amp;$O$4,TKB_LOP_CHECK!$B$65:$J$860,9,0),"")</f>
        <v>Vận động theo nhạc -TTH1</v>
      </c>
      <c r="P22" s="40" t="str">
        <f>IFERROR(VLOOKUP($A$21&amp;$D$5&amp;$B22&amp;$O$4,TKB_LOP_CHECK!$B$65:$J$860,9,0),"")</f>
        <v/>
      </c>
      <c r="Q22" s="40" t="str">
        <f>IFERROR(VLOOKUP($A$21&amp;$C$5&amp;$B22&amp;$Q$4,TKB_LOP_CHECK!$B$65:$J$860,9,0),"")</f>
        <v>GDTC -5C1</v>
      </c>
      <c r="R22" s="40" t="str">
        <f>IFERROR(VLOOKUP($A$21&amp;$D$5&amp;$B22&amp;$Q$4,TKB_LOP_CHECK!$B$65:$J$860,9,0),"")</f>
        <v/>
      </c>
      <c r="S22" s="40" t="str">
        <f>IFERROR(VLOOKUP($A$21&amp;$C$5&amp;$B22&amp;$S$4,TKB_LOP_CHECK!$B$65:$J$860,9,0),"")</f>
        <v>Science -4C1</v>
      </c>
      <c r="T22" s="40" t="str">
        <f>IFERROR(VLOOKUP($A$21&amp;$D$5&amp;$B22&amp;$S$4,TKB_LOP_CHECK!$B$65:$J$860,9,0),"")</f>
        <v>GVNN -4C1</v>
      </c>
      <c r="U22" s="40" t="str">
        <f>IFERROR(VLOOKUP($A$21&amp;$C$5&amp;$B22&amp;$U$4,TKB_LOP_CHECK!$B$65:$J$860,9,0),"")</f>
        <v/>
      </c>
      <c r="V22" s="40" t="str">
        <f>IFERROR(VLOOKUP($A$21&amp;$D$5&amp;$B22&amp;$U$4,TKB_LOP_CHECK!$B$65:$J$860,9,0),"")</f>
        <v/>
      </c>
      <c r="W22" s="40" t="str">
        <f>IFERROR(VLOOKUP($A$21&amp;$C$5&amp;$B22&amp;$W$4,TKB_LOP_CHECK!$B$65:$J$860,9,0),"")</f>
        <v/>
      </c>
      <c r="X22" s="40" t="str">
        <f>IFERROR(VLOOKUP($A$21&amp;$D$5&amp;$B22&amp;$W$4,TKB_LOP_CHECK!$B$65:$J$860,9,0),"")</f>
        <v/>
      </c>
      <c r="Y22" s="40" t="str">
        <f>IFERROR(VLOOKUP($A$21&amp;$C$5&amp;$B22&amp;$Y$4,TKB_LOP_CHECK!$B$65:$J$860,9,0),"")</f>
        <v>TViệt -3A1</v>
      </c>
      <c r="Z22" s="40" t="str">
        <f>IFERROR(VLOOKUP($A$21&amp;$D$5&amp;$B22&amp;$Y$4,TKB_LOP_CHECK!$B$65:$J$860,9,0),"")</f>
        <v>Toán -3A1</v>
      </c>
      <c r="AA22" s="40" t="str">
        <f>IFERROR(VLOOKUP($A$21&amp;$C$5&amp;$B22&amp;$AA$4,TKB_LOP_CHECK!$B$65:$J$860,9,0),"")</f>
        <v>GVNN -2A1</v>
      </c>
      <c r="AB22" s="40" t="str">
        <f>IFERROR(VLOOKUP($A$21&amp;$D$5&amp;$B22&amp;$AA$4,TKB_LOP_CHECK!$B$65:$J$860,9,0),"")</f>
        <v>GVVN -TTH2</v>
      </c>
      <c r="AC22" s="40" t="str">
        <f>IFERROR(VLOOKUP($A$21&amp;$C$5&amp;$B22&amp;$AC$4,TKB_LOP_CHECK!$B$65:$J$860,9,0),"")</f>
        <v/>
      </c>
      <c r="AD22" s="40" t="str">
        <f>IFERROR(VLOOKUP($A$21&amp;$D$5&amp;$B22&amp;$AC$4,TKB_LOP_CHECK!$B$65:$J$860,9,0),"")</f>
        <v/>
      </c>
      <c r="AE22" s="40" t="str">
        <f>IFERROR(VLOOKUP($A$21&amp;$C$5&amp;$B22&amp;$AE$4,TKB_LOP_CHECK!$B$65:$J$860,9,0),"")</f>
        <v/>
      </c>
      <c r="AF22" s="40" t="str">
        <f>IFERROR(VLOOKUP($A$21&amp;$D$5&amp;$B22&amp;$AE$4,TKB_LOP_CHECK!$B$65:$J$860,9,0),"")</f>
        <v>GVVN -3C1</v>
      </c>
      <c r="AG22" s="40" t="str">
        <f>IFERROR(VLOOKUP($A$21&amp;$C$5&amp;$B22&amp;$AG$4,TKB_LOP_CHECK!$B$65:$J$860,9,0),"")</f>
        <v>GVNN -2A1</v>
      </c>
      <c r="AH22" s="40" t="str">
        <f>IFERROR(VLOOKUP($A$21&amp;$D$5&amp;$B22&amp;$AG$4,TKB_LOP_CHECK!$B$65:$J$860,9,0),"")</f>
        <v>GVVN -TTH2</v>
      </c>
      <c r="AI22" s="40" t="str">
        <f>IFERROR(VLOOKUP($A$21&amp;$C$5&amp;$B22&amp;$AI$4,TKB_LOP_CHECK!$B$65:$J$860,9,0),"")</f>
        <v>KHTN -6A1</v>
      </c>
      <c r="AJ22" s="40" t="str">
        <f>IFERROR(VLOOKUP($A$21&amp;$D$5&amp;$B22&amp;$AI$4,TKB_LOP_CHECK!$B$65:$J$860,9,0),"")</f>
        <v>KHTN -8A1</v>
      </c>
      <c r="AK22" s="40" t="str">
        <f>IFERROR(VLOOKUP($A$21&amp;$C$5&amp;$B22&amp;$AK$4,TKB_LOP_CHECK!$B$65:$J$860,9,0),"")</f>
        <v/>
      </c>
      <c r="AL22" s="40" t="str">
        <f>IFERROR(VLOOKUP($A$21&amp;$D$5&amp;$B22&amp;$AK$4,TKB_LOP_CHECK!$B$65:$J$860,9,0),"")</f>
        <v/>
      </c>
      <c r="AM22" s="40" t="str">
        <f>IFERROR(VLOOKUP($A$21&amp;$C$5&amp;$B22&amp;$AM$4,TKB_LOP_CHECK!$B$65:$J$860,9,0),"")</f>
        <v/>
      </c>
      <c r="AN22" s="40" t="str">
        <f>IFERROR(VLOOKUP($A$21&amp;$D$5&amp;$B22&amp;$AM$4,TKB_LOP_CHECK!$B$65:$J$860,9,0),"")</f>
        <v/>
      </c>
      <c r="AO22" s="40" t="str">
        <f>IFERROR(VLOOKUP($A$21&amp;$C$5&amp;$B22&amp;$AO$4,TKB_LOP_CHECK!$B$65:$J$860,9,0),"")</f>
        <v/>
      </c>
      <c r="AP22" s="40" t="str">
        <f>IFERROR(VLOOKUP($A$21&amp;$D$5&amp;$B22&amp;$AO$4,TKB_LOP_CHECK!$B$65:$J$860,9,0),"")</f>
        <v>Đạo đức -5C1</v>
      </c>
      <c r="AQ22" s="40" t="str">
        <f>IFERROR(VLOOKUP($A$21&amp;$C$5&amp;$B22&amp;$AQ$4,TKB_LOP_CHECK!$B$65:$J$860,9,0),"")</f>
        <v/>
      </c>
      <c r="AR22" s="40" t="str">
        <f>IFERROR(VLOOKUP($A$21&amp;$D$5&amp;$B22&amp;$AQ$4,TKB_LOP_CHECK!$B$65:$J$860,9,0),"")</f>
        <v>GVVN -6A1</v>
      </c>
      <c r="AS22" s="40" t="str">
        <f>IFERROR(VLOOKUP($A$21&amp;$C$5&amp;$B22&amp;$AS$4,TKB_LOP_CHECK!$B$65:$J$860,9,0),"")</f>
        <v>Toán -2C1</v>
      </c>
      <c r="AT22" s="40" t="str">
        <f>IFERROR(VLOOKUP($A$21&amp;$D$5&amp;$B22&amp;$AS$4,TKB_LOP_CHECK!$B$65:$J$860,9,0),"")</f>
        <v/>
      </c>
      <c r="AU22" s="40" t="str">
        <f>IFERROR(VLOOKUP($A$21&amp;$C$5&amp;$B22&amp;$AU$4,TKB_LOP_CHECK!$B$65:$J$860,9,0),"")</f>
        <v/>
      </c>
      <c r="AV22" s="40" t="str">
        <f>IFERROR(VLOOKUP($A$21&amp;$D$5&amp;$B22&amp;$AU$4,TKB_LOP_CHECK!$B$65:$J$860,9,0),"")</f>
        <v/>
      </c>
      <c r="AW22" s="40" t="str">
        <f>IFERROR(VLOOKUP($A$21&amp;$C$5&amp;$B22&amp;$AW$4,TKB_LOP_CHECK!$B$65:$J$860,9,0),"")</f>
        <v/>
      </c>
      <c r="AX22" s="40" t="str">
        <f>IFERROR(VLOOKUP($A$21&amp;$D$5&amp;$B22&amp;$AW$4,TKB_LOP_CHECK!$B$65:$J$860,9,0),"")</f>
        <v/>
      </c>
      <c r="AY22" s="40" t="str">
        <f>IFERROR(VLOOKUP($A$21&amp;$C$5&amp;$B22&amp;$AY$4,TKB_LOP_CHECK!$B$65:$J$860,9,0),"")</f>
        <v/>
      </c>
      <c r="AZ22" s="40" t="str">
        <f>IFERROR(VLOOKUP($A$21&amp;$D$5&amp;$B22&amp;$AY$4,TKB_LOP_CHECK!$B$65:$J$860,9,0),"")</f>
        <v/>
      </c>
      <c r="BA22" s="40" t="str">
        <f>IFERROR(VLOOKUP($A$21&amp;$C$5&amp;$B22&amp;$BA$4,TKB_LOP_CHECK!$B$65:$J$860,9,0),"")</f>
        <v/>
      </c>
      <c r="BB22" s="40" t="str">
        <f>IFERROR(VLOOKUP($A$21&amp;$D$5&amp;$B22&amp;$BA$4,TKB_LOP_CHECK!$B$65:$J$860,9,0),"")</f>
        <v/>
      </c>
      <c r="BC22" s="40" t="str">
        <f>IFERROR(VLOOKUP($A$21&amp;$C$5&amp;$B22&amp;$BC$4,TKB_LOP_CHECK!$B$65:$J$860,9,0),"")</f>
        <v/>
      </c>
      <c r="BD22" s="40" t="str">
        <f>IFERROR(VLOOKUP($A$21&amp;$D$5&amp;$B22&amp;$BC$4,TKB_LOP_CHECK!$B$65:$J$860,9,0),"")</f>
        <v/>
      </c>
      <c r="BE22" s="40" t="str">
        <f>IFERROR(VLOOKUP($A$21&amp;$C$5&amp;$B22&amp;$BE$4,TKB_LOP_CHECK!$B$65:$J$860,9,0),"")</f>
        <v/>
      </c>
      <c r="BF22" s="40" t="str">
        <f>IFERROR(VLOOKUP($A$21&amp;$D$5&amp;$B22&amp;$BE$4,TKB_LOP_CHECK!$B$65:$J$860,9,0),"")</f>
        <v/>
      </c>
      <c r="BG22" s="40" t="str">
        <f>IFERROR(VLOOKUP($A$21&amp;$C$5&amp;$B22&amp;$BG$4,TKB_LOP_CHECK!$B$65:$J$860,9,0),"")</f>
        <v/>
      </c>
      <c r="BH22" s="40" t="str">
        <f>IFERROR(VLOOKUP($A$21&amp;$D$5&amp;$B22&amp;$BG$4,TKB_LOP_CHECK!$B$65:$J$860,9,0),"")</f>
        <v/>
      </c>
      <c r="BI22" s="40" t="str">
        <f>IFERROR(VLOOKUP($A$21&amp;$C$5&amp;$B22&amp;$BI$4,TKB_LOP_CHECK!$B$65:$J$860,9,0),"")</f>
        <v/>
      </c>
      <c r="BJ22" s="40" t="str">
        <f>IFERROR(VLOOKUP($A$21&amp;$D$5&amp;$B22&amp;$BI$4,TKB_LOP_CHECK!$B$65:$J$860,9,0),"")</f>
        <v/>
      </c>
      <c r="BK22" s="40" t="str">
        <f>IFERROR(VLOOKUP($A$21&amp;$C$5&amp;$B22&amp;$BK$4,TKB_LOP_CHECK!$B$65:$J$860,9,0),"")</f>
        <v/>
      </c>
      <c r="BL22" s="40" t="str">
        <f>IFERROR(VLOOKUP($A$21&amp;$D$5&amp;$B22&amp;$BK$4,TKB_LOP_CHECK!$B$65:$J$860,9,0),"")</f>
        <v/>
      </c>
      <c r="BM22" s="40" t="str">
        <f>IFERROR(VLOOKUP($A$21&amp;$C$5&amp;$B22&amp;$BM$4,TKB_LOP_CHECK!$B$65:$J$860,9,0),"")</f>
        <v/>
      </c>
      <c r="BN22" s="40" t="str">
        <f>IFERROR(VLOOKUP($A$21&amp;$D$5&amp;$B22&amp;$BM$4,TKB_LOP_CHECK!$B$65:$J$860,9,0),"")</f>
        <v/>
      </c>
      <c r="BO22" s="40" t="str">
        <f>IFERROR(VLOOKUP($A$21&amp;$C$5&amp;$B22&amp;$BO$4,TKB_LOP_CHECK!$A$65:$J$860,10,0),"")</f>
        <v/>
      </c>
      <c r="BP22" s="40" t="str">
        <f>IFERROR(VLOOKUP($A$21&amp;$D$5&amp;$B22&amp;$BO$4,TKB_LOP_CHECK!$A$65:$J$860,10,0),"")</f>
        <v/>
      </c>
      <c r="BQ22" s="40" t="str">
        <f>IFERROR(VLOOKUP($A$21&amp;$C$5&amp;$B22&amp;$BQ$4,TKB_LOP_CHECK!$A$65:$J$860,10,0),"")</f>
        <v>GVNN -1C1</v>
      </c>
      <c r="BR22" s="40" t="str">
        <f>IFERROR(VLOOKUP($A$21&amp;$D$5&amp;$B22&amp;$BQ$4,TKB_LOP_CHECK!$A$65:$J$860,10,0),"")</f>
        <v>GVNN -4C1</v>
      </c>
      <c r="BS22" s="40" t="str">
        <f>IFERROR(VLOOKUP($A$21&amp;$C$5&amp;$B22&amp;$BS$4,TKB_LOP_CHECK!$A$65:$J$860,10,0),"")</f>
        <v/>
      </c>
      <c r="BT22" s="40" t="str">
        <f>IFERROR(VLOOKUP($A$21&amp;$D$5&amp;$B22&amp;$BS$4,TKB_LOP_CHECK!$A$65:$J$860,10,0),"")</f>
        <v/>
      </c>
      <c r="BU22" s="40" t="str">
        <f>IFERROR(VLOOKUP($A$21&amp;$C$5&amp;$B22&amp;$BU$4,TKB_LOP_CHECK!$A$65:$J$860,10,0),"")</f>
        <v/>
      </c>
      <c r="BV22" s="40" t="str">
        <f>IFERROR(VLOOKUP($A$21&amp;$D$5&amp;$B22&amp;$BU$4,TKB_LOP_CHECK!$A$65:$J$860,10,0),"")</f>
        <v/>
      </c>
    </row>
    <row r="23" spans="1:74" ht="16.7" customHeight="1" x14ac:dyDescent="0.25">
      <c r="A23" s="95"/>
      <c r="B23" s="41">
        <v>3</v>
      </c>
      <c r="C23" s="40" t="str">
        <f>IFERROR(VLOOKUP($A$21&amp;$C$5&amp;$B23&amp;$C$4,TKB_LOP_CHECK!$B$65:$J$860,9,0),"")</f>
        <v/>
      </c>
      <c r="D23" s="40" t="str">
        <f>IFERROR(VLOOKUP($A$21&amp;$D$5&amp;$B23&amp;$C$4,TKB_LOP_CHECK!$B$65:$J$860,9,0),"")</f>
        <v>GVNN -6A1</v>
      </c>
      <c r="E23" s="40" t="str">
        <f>IFERROR(VLOOKUP($A$21&amp;$C$5&amp;$B23&amp;$E$4,TKB_LOP_CHECK!$B$65:$J$860,9,0),"")</f>
        <v/>
      </c>
      <c r="F23" s="40" t="str">
        <f>IFERROR(VLOOKUP($A$21&amp;$D$5&amp;$B23&amp;$E$4,TKB_LOP_CHECK!$B$65:$J$860,9,0),"")</f>
        <v/>
      </c>
      <c r="G23" s="40" t="str">
        <f>IFERROR(VLOOKUP($A$21&amp;$C$5&amp;$B23&amp;$G$4,TKB_LOP_CHECK!$B$65:$J$860,9,0),"")</f>
        <v/>
      </c>
      <c r="H23" s="40" t="str">
        <f>IFERROR(VLOOKUP($A$21&amp;$D$5&amp;$B23&amp;$G$4,TKB_LOP_CHECK!$B$65:$J$860,9,0),"")</f>
        <v>GVVN -8A1</v>
      </c>
      <c r="I23" s="40" t="str">
        <f>IFERROR(VLOOKUP($A$21&amp;$C$5&amp;$B23&amp;$I$4,TKB_LOP_CHECK!$B$65:$J$860,9,0),"")</f>
        <v>Toán -3C1</v>
      </c>
      <c r="J23" s="40" t="str">
        <f>IFERROR(VLOOKUP($A$21&amp;$D$5&amp;$B23&amp;$I$4,TKB_LOP_CHECK!$B$65:$J$860,9,0),"")</f>
        <v>Toán -3C1</v>
      </c>
      <c r="K23" s="40" t="str">
        <f>IFERROR(VLOOKUP($A$21&amp;$C$5&amp;$B23&amp;$K$4,TKB_LOP_CHECK!$B$65:$J$860,9,0),"")</f>
        <v>Toán -3C1</v>
      </c>
      <c r="L23" s="40" t="str">
        <f>IFERROR(VLOOKUP($A$21&amp;$D$5&amp;$B23&amp;$K$4,TKB_LOP_CHECK!$B$65:$J$860,9,0),"")</f>
        <v>Toán -3C1</v>
      </c>
      <c r="M23" s="40" t="str">
        <f>IFERROR(VLOOKUP($A$21&amp;$C$5&amp;$B23&amp;$M$4,TKB_LOP_CHECK!$B$65:$J$860,9,0),"")</f>
        <v>GVVN -TTH2</v>
      </c>
      <c r="N23" s="40" t="str">
        <f>IFERROR(VLOOKUP($A$21&amp;$D$5&amp;$B23&amp;$M$4,TKB_LOP_CHECK!$B$65:$J$860,9,0),"")</f>
        <v/>
      </c>
      <c r="O23" s="40" t="str">
        <f>IFERROR(VLOOKUP($A$21&amp;$C$5&amp;$B23&amp;$O$4,TKB_LOP_CHECK!$B$65:$J$860,9,0),"")</f>
        <v>TViệt -TTH1</v>
      </c>
      <c r="P23" s="40" t="str">
        <f>IFERROR(VLOOKUP($A$21&amp;$D$5&amp;$B23&amp;$O$4,TKB_LOP_CHECK!$B$65:$J$860,9,0),"")</f>
        <v/>
      </c>
      <c r="Q23" s="40" t="str">
        <f>IFERROR(VLOOKUP($A$21&amp;$C$5&amp;$B23&amp;$Q$4,TKB_LOP_CHECK!$B$65:$J$860,9,0),"")</f>
        <v>GDTC -1A1</v>
      </c>
      <c r="R23" s="40" t="str">
        <f>IFERROR(VLOOKUP($A$21&amp;$D$5&amp;$B23&amp;$Q$4,TKB_LOP_CHECK!$B$65:$J$860,9,0),"")</f>
        <v>GDTC -4C1</v>
      </c>
      <c r="S23" s="40" t="str">
        <f>IFERROR(VLOOKUP($A$21&amp;$C$5&amp;$B23&amp;$S$4,TKB_LOP_CHECK!$B$65:$J$860,9,0),"")</f>
        <v/>
      </c>
      <c r="T23" s="40" t="str">
        <f>IFERROR(VLOOKUP($A$21&amp;$D$5&amp;$B23&amp;$S$4,TKB_LOP_CHECK!$B$65:$J$860,9,0),"")</f>
        <v>GVVN -8A1</v>
      </c>
      <c r="U23" s="40" t="str">
        <f>IFERROR(VLOOKUP($A$21&amp;$C$5&amp;$B23&amp;$U$4,TKB_LOP_CHECK!$B$65:$J$860,9,0),"")</f>
        <v>Văn -8A1</v>
      </c>
      <c r="V23" s="40" t="str">
        <f>IFERROR(VLOOKUP($A$21&amp;$D$5&amp;$B23&amp;$U$4,TKB_LOP_CHECK!$B$65:$J$860,9,0),"")</f>
        <v>Văn -7A1</v>
      </c>
      <c r="W23" s="40" t="str">
        <f>IFERROR(VLOOKUP($A$21&amp;$C$5&amp;$B23&amp;$W$4,TKB_LOP_CHECK!$B$65:$J$860,9,0),"")</f>
        <v/>
      </c>
      <c r="X23" s="40" t="str">
        <f>IFERROR(VLOOKUP($A$21&amp;$D$5&amp;$B23&amp;$W$4,TKB_LOP_CHECK!$B$65:$J$860,9,0),"")</f>
        <v/>
      </c>
      <c r="Y23" s="40" t="str">
        <f>IFERROR(VLOOKUP($A$21&amp;$C$5&amp;$B23&amp;$Y$4,TKB_LOP_CHECK!$B$65:$J$860,9,0),"")</f>
        <v/>
      </c>
      <c r="Z23" s="40" t="str">
        <f>IFERROR(VLOOKUP($A$21&amp;$D$5&amp;$B23&amp;$Y$4,TKB_LOP_CHECK!$B$65:$J$860,9,0),"")</f>
        <v>TViệt -5C1</v>
      </c>
      <c r="AA23" s="40" t="str">
        <f>IFERROR(VLOOKUP($A$21&amp;$C$5&amp;$B23&amp;$AA$4,TKB_LOP_CHECK!$B$65:$J$860,9,0),"")</f>
        <v>GVVN -TTH2</v>
      </c>
      <c r="AB23" s="40" t="str">
        <f>IFERROR(VLOOKUP($A$21&amp;$D$5&amp;$B23&amp;$AA$4,TKB_LOP_CHECK!$B$65:$J$860,9,0),"")</f>
        <v/>
      </c>
      <c r="AC23" s="40" t="str">
        <f>IFERROR(VLOOKUP($A$21&amp;$C$5&amp;$B23&amp;$AC$4,TKB_LOP_CHECK!$B$65:$J$860,9,0),"")</f>
        <v/>
      </c>
      <c r="AD23" s="40" t="str">
        <f>IFERROR(VLOOKUP($A$21&amp;$D$5&amp;$B23&amp;$AC$4,TKB_LOP_CHECK!$B$65:$J$860,9,0),"")</f>
        <v/>
      </c>
      <c r="AE23" s="40" t="str">
        <f>IFERROR(VLOOKUP($A$21&amp;$C$5&amp;$B23&amp;$AE$4,TKB_LOP_CHECK!$B$65:$J$860,9,0),"")</f>
        <v>GVVN -5C1</v>
      </c>
      <c r="AF23" s="40" t="str">
        <f>IFERROR(VLOOKUP($A$21&amp;$D$5&amp;$B23&amp;$AE$4,TKB_LOP_CHECK!$B$65:$J$860,9,0),"")</f>
        <v/>
      </c>
      <c r="AG23" s="40" t="str">
        <f>IFERROR(VLOOKUP($A$21&amp;$C$5&amp;$B23&amp;$AG$4,TKB_LOP_CHECK!$B$65:$J$860,9,0),"")</f>
        <v>GVVN -TTH2</v>
      </c>
      <c r="AH23" s="40" t="str">
        <f>IFERROR(VLOOKUP($A$21&amp;$D$5&amp;$B23&amp;$AG$4,TKB_LOP_CHECK!$B$65:$J$860,9,0),"")</f>
        <v/>
      </c>
      <c r="AI23" s="40" t="str">
        <f>IFERROR(VLOOKUP($A$21&amp;$C$5&amp;$B23&amp;$AI$4,TKB_LOP_CHECK!$B$65:$J$860,9,0),"")</f>
        <v>KHTN -7A1</v>
      </c>
      <c r="AJ23" s="40" t="str">
        <f>IFERROR(VLOOKUP($A$21&amp;$D$5&amp;$B23&amp;$AI$4,TKB_LOP_CHECK!$B$65:$J$860,9,0),"")</f>
        <v/>
      </c>
      <c r="AK23" s="40" t="str">
        <f>IFERROR(VLOOKUP($A$21&amp;$C$5&amp;$B23&amp;$AK$4,TKB_LOP_CHECK!$B$65:$J$860,9,0),"")</f>
        <v/>
      </c>
      <c r="AL23" s="40" t="str">
        <f>IFERROR(VLOOKUP($A$21&amp;$D$5&amp;$B23&amp;$AK$4,TKB_LOP_CHECK!$B$65:$J$860,9,0),"")</f>
        <v/>
      </c>
      <c r="AM23" s="40" t="str">
        <f>IFERROR(VLOOKUP($A$21&amp;$C$5&amp;$B23&amp;$AM$4,TKB_LOP_CHECK!$B$65:$J$860,9,0),"")</f>
        <v>TViệt -4C1</v>
      </c>
      <c r="AN23" s="40" t="str">
        <f>IFERROR(VLOOKUP($A$21&amp;$D$5&amp;$B23&amp;$AM$4,TKB_LOP_CHECK!$B$65:$J$860,9,0),"")</f>
        <v/>
      </c>
      <c r="AO23" s="40" t="str">
        <f>IFERROR(VLOOKUP($A$21&amp;$C$5&amp;$B23&amp;$AO$4,TKB_LOP_CHECK!$B$65:$J$860,9,0),"")</f>
        <v/>
      </c>
      <c r="AP23" s="40" t="str">
        <f>IFERROR(VLOOKUP($A$21&amp;$D$5&amp;$B23&amp;$AO$4,TKB_LOP_CHECK!$B$65:$J$860,9,0),"")</f>
        <v>TNXH -2C1</v>
      </c>
      <c r="AQ23" s="40" t="str">
        <f>IFERROR(VLOOKUP($A$21&amp;$C$5&amp;$B23&amp;$AQ$4,TKB_LOP_CHECK!$B$65:$J$860,9,0),"")</f>
        <v/>
      </c>
      <c r="AR23" s="40" t="str">
        <f>IFERROR(VLOOKUP($A$21&amp;$D$5&amp;$B23&amp;$AQ$4,TKB_LOP_CHECK!$B$65:$J$860,9,0),"")</f>
        <v>GVNN -6A1</v>
      </c>
      <c r="AS23" s="40" t="str">
        <f>IFERROR(VLOOKUP($A$21&amp;$C$5&amp;$B23&amp;$AS$4,TKB_LOP_CHECK!$B$65:$J$860,9,0),"")</f>
        <v>Toán -3C1</v>
      </c>
      <c r="AT23" s="40" t="str">
        <f>IFERROR(VLOOKUP($A$21&amp;$D$5&amp;$B23&amp;$AS$4,TKB_LOP_CHECK!$B$65:$J$860,9,0),"")</f>
        <v>Toán -3C1</v>
      </c>
      <c r="AU23" s="40" t="str">
        <f>IFERROR(VLOOKUP($A$21&amp;$C$5&amp;$B23&amp;$AU$4,TKB_LOP_CHECK!$B$65:$J$860,9,0),"")</f>
        <v/>
      </c>
      <c r="AV23" s="40" t="str">
        <f>IFERROR(VLOOKUP($A$21&amp;$D$5&amp;$B23&amp;$AU$4,TKB_LOP_CHECK!$B$65:$J$860,9,0),"")</f>
        <v/>
      </c>
      <c r="AW23" s="40" t="str">
        <f>IFERROR(VLOOKUP($A$21&amp;$C$5&amp;$B23&amp;$AW$4,TKB_LOP_CHECK!$B$65:$J$860,9,0),"")</f>
        <v/>
      </c>
      <c r="AX23" s="40" t="str">
        <f>IFERROR(VLOOKUP($A$21&amp;$D$5&amp;$B23&amp;$AW$4,TKB_LOP_CHECK!$B$65:$J$860,9,0),"")</f>
        <v/>
      </c>
      <c r="AY23" s="40" t="str">
        <f>IFERROR(VLOOKUP($A$21&amp;$C$5&amp;$B23&amp;$AY$4,TKB_LOP_CHECK!$B$65:$J$860,9,0),"")</f>
        <v/>
      </c>
      <c r="AZ23" s="40" t="str">
        <f>IFERROR(VLOOKUP($A$21&amp;$D$5&amp;$B23&amp;$AY$4,TKB_LOP_CHECK!$B$65:$J$860,9,0),"")</f>
        <v/>
      </c>
      <c r="BA23" s="40" t="str">
        <f>IFERROR(VLOOKUP($A$21&amp;$C$5&amp;$B23&amp;$BA$4,TKB_LOP_CHECK!$B$65:$J$860,9,0),"")</f>
        <v/>
      </c>
      <c r="BB23" s="40" t="str">
        <f>IFERROR(VLOOKUP($A$21&amp;$D$5&amp;$B23&amp;$BA$4,TKB_LOP_CHECK!$B$65:$J$860,9,0),"")</f>
        <v/>
      </c>
      <c r="BC23" s="40" t="str">
        <f>IFERROR(VLOOKUP($A$21&amp;$C$5&amp;$B23&amp;$BC$4,TKB_LOP_CHECK!$B$65:$J$860,9,0),"")</f>
        <v/>
      </c>
      <c r="BD23" s="40" t="str">
        <f>IFERROR(VLOOKUP($A$21&amp;$D$5&amp;$B23&amp;$BC$4,TKB_LOP_CHECK!$B$65:$J$860,9,0),"")</f>
        <v/>
      </c>
      <c r="BE23" s="40" t="str">
        <f>IFERROR(VLOOKUP($A$21&amp;$C$5&amp;$B23&amp;$BE$4,TKB_LOP_CHECK!$B$65:$J$860,9,0),"")</f>
        <v/>
      </c>
      <c r="BF23" s="40" t="str">
        <f>IFERROR(VLOOKUP($A$21&amp;$D$5&amp;$B23&amp;$BE$4,TKB_LOP_CHECK!$B$65:$J$860,9,0),"")</f>
        <v/>
      </c>
      <c r="BG23" s="40" t="str">
        <f>IFERROR(VLOOKUP($A$21&amp;$C$5&amp;$B23&amp;$BG$4,TKB_LOP_CHECK!$B$65:$J$860,9,0),"")</f>
        <v/>
      </c>
      <c r="BH23" s="40" t="str">
        <f>IFERROR(VLOOKUP($A$21&amp;$D$5&amp;$B23&amp;$BG$4,TKB_LOP_CHECK!$B$65:$J$860,9,0),"")</f>
        <v/>
      </c>
      <c r="BI23" s="40" t="str">
        <f>IFERROR(VLOOKUP($A$21&amp;$C$5&amp;$B23&amp;$BI$4,TKB_LOP_CHECK!$B$65:$J$860,9,0),"")</f>
        <v/>
      </c>
      <c r="BJ23" s="40" t="str">
        <f>IFERROR(VLOOKUP($A$21&amp;$D$5&amp;$B23&amp;$BI$4,TKB_LOP_CHECK!$B$65:$J$860,9,0),"")</f>
        <v/>
      </c>
      <c r="BK23" s="40" t="str">
        <f>IFERROR(VLOOKUP($A$21&amp;$C$5&amp;$B23&amp;$BK$4,TKB_LOP_CHECK!$B$65:$J$860,9,0),"")</f>
        <v/>
      </c>
      <c r="BL23" s="40" t="str">
        <f>IFERROR(VLOOKUP($A$21&amp;$D$5&amp;$B23&amp;$BK$4,TKB_LOP_CHECK!$B$65:$J$860,9,0),"")</f>
        <v/>
      </c>
      <c r="BM23" s="40" t="str">
        <f>IFERROR(VLOOKUP($A$21&amp;$C$5&amp;$B23&amp;$BM$4,TKB_LOP_CHECK!$B$65:$J$860,9,0),"")</f>
        <v/>
      </c>
      <c r="BN23" s="40" t="str">
        <f>IFERROR(VLOOKUP($A$21&amp;$D$5&amp;$B23&amp;$BM$4,TKB_LOP_CHECK!$B$65:$J$860,9,0),"")</f>
        <v/>
      </c>
      <c r="BO23" s="40" t="str">
        <f>IFERROR(VLOOKUP($A$21&amp;$C$5&amp;$B23&amp;$BO$4,TKB_LOP_CHECK!$A$65:$J$860,10,0),"")</f>
        <v/>
      </c>
      <c r="BP23" s="40" t="str">
        <f>IFERROR(VLOOKUP($A$21&amp;$D$5&amp;$B23&amp;$BO$4,TKB_LOP_CHECK!$A$65:$J$860,10,0),"")</f>
        <v/>
      </c>
      <c r="BQ23" s="40" t="str">
        <f>IFERROR(VLOOKUP($A$21&amp;$C$5&amp;$B23&amp;$BQ$4,TKB_LOP_CHECK!$A$65:$J$860,10,0),"")</f>
        <v/>
      </c>
      <c r="BR23" s="40" t="str">
        <f>IFERROR(VLOOKUP($A$21&amp;$D$5&amp;$B23&amp;$BQ$4,TKB_LOP_CHECK!$A$65:$J$860,10,0),"")</f>
        <v>GVNN -6A1</v>
      </c>
      <c r="BS23" s="40" t="str">
        <f>IFERROR(VLOOKUP($A$21&amp;$C$5&amp;$B23&amp;$BS$4,TKB_LOP_CHECK!$A$65:$J$860,10,0),"")</f>
        <v/>
      </c>
      <c r="BT23" s="40" t="str">
        <f>IFERROR(VLOOKUP($A$21&amp;$D$5&amp;$B23&amp;$BS$4,TKB_LOP_CHECK!$A$65:$J$860,10,0),"")</f>
        <v/>
      </c>
      <c r="BU23" s="40" t="str">
        <f>IFERROR(VLOOKUP($A$21&amp;$C$5&amp;$B23&amp;$BU$4,TKB_LOP_CHECK!$A$65:$J$860,10,0),"")</f>
        <v/>
      </c>
      <c r="BV23" s="40" t="str">
        <f>IFERROR(VLOOKUP($A$21&amp;$D$5&amp;$B23&amp;$BU$4,TKB_LOP_CHECK!$A$65:$J$860,10,0),"")</f>
        <v/>
      </c>
    </row>
    <row r="24" spans="1:74" ht="16.7" customHeight="1" x14ac:dyDescent="0.25">
      <c r="A24" s="95"/>
      <c r="B24" s="41">
        <v>4</v>
      </c>
      <c r="C24" s="40" t="str">
        <f>IFERROR(VLOOKUP($A$21&amp;$C$5&amp;$B24&amp;$C$4,TKB_LOP_CHECK!$B$65:$J$860,9,0),"")</f>
        <v/>
      </c>
      <c r="D24" s="40" t="str">
        <f>IFERROR(VLOOKUP($A$21&amp;$D$5&amp;$B24&amp;$C$4,TKB_LOP_CHECK!$B$65:$J$860,9,0),"")</f>
        <v/>
      </c>
      <c r="E24" s="40" t="str">
        <f>IFERROR(VLOOKUP($A$21&amp;$C$5&amp;$B24&amp;$E$4,TKB_LOP_CHECK!$B$65:$J$860,9,0),"")</f>
        <v/>
      </c>
      <c r="F24" s="40" t="str">
        <f>IFERROR(VLOOKUP($A$21&amp;$D$5&amp;$B24&amp;$E$4,TKB_LOP_CHECK!$B$65:$J$860,9,0),"")</f>
        <v/>
      </c>
      <c r="G24" s="40" t="str">
        <f>IFERROR(VLOOKUP($A$21&amp;$C$5&amp;$B24&amp;$G$4,TKB_LOP_CHECK!$B$65:$J$860,9,0),"")</f>
        <v>GVVN -4C1</v>
      </c>
      <c r="H24" s="40" t="str">
        <f>IFERROR(VLOOKUP($A$21&amp;$D$5&amp;$B24&amp;$G$4,TKB_LOP_CHECK!$B$65:$J$860,9,0),"")</f>
        <v/>
      </c>
      <c r="I24" s="40" t="str">
        <f>IFERROR(VLOOKUP($A$21&amp;$C$5&amp;$B24&amp;$I$4,TKB_LOP_CHECK!$B$65:$J$860,9,0),"")</f>
        <v>Toán -5C1</v>
      </c>
      <c r="J24" s="40" t="str">
        <f>IFERROR(VLOOKUP($A$21&amp;$D$5&amp;$B24&amp;$I$4,TKB_LOP_CHECK!$B$65:$J$860,9,0),"")</f>
        <v>Toán -5C1</v>
      </c>
      <c r="K24" s="40" t="str">
        <f>IFERROR(VLOOKUP($A$21&amp;$C$5&amp;$B24&amp;$K$4,TKB_LOP_CHECK!$B$65:$J$860,9,0),"")</f>
        <v>Toán -5C1</v>
      </c>
      <c r="L24" s="40" t="str">
        <f>IFERROR(VLOOKUP($A$21&amp;$D$5&amp;$B24&amp;$K$4,TKB_LOP_CHECK!$B$65:$J$860,9,0),"")</f>
        <v>Toán -5C1</v>
      </c>
      <c r="M24" s="40" t="str">
        <f>IFERROR(VLOOKUP($A$21&amp;$C$5&amp;$B24&amp;$M$4,TKB_LOP_CHECK!$B$65:$J$860,9,0),"")</f>
        <v>GVNN -2A1</v>
      </c>
      <c r="N24" s="40" t="str">
        <f>IFERROR(VLOOKUP($A$21&amp;$D$5&amp;$B24&amp;$M$4,TKB_LOP_CHECK!$B$65:$J$860,9,0),"")</f>
        <v/>
      </c>
      <c r="O24" s="40" t="str">
        <f>IFERROR(VLOOKUP($A$21&amp;$C$5&amp;$B24&amp;$O$4,TKB_LOP_CHECK!$B$65:$J$860,9,0),"")</f>
        <v/>
      </c>
      <c r="P24" s="40" t="str">
        <f>IFERROR(VLOOKUP($A$21&amp;$D$5&amp;$B24&amp;$O$4,TKB_LOP_CHECK!$B$65:$J$860,9,0),"")</f>
        <v/>
      </c>
      <c r="Q24" s="40" t="str">
        <f>IFERROR(VLOOKUP($A$21&amp;$C$5&amp;$B24&amp;$Q$4,TKB_LOP_CHECK!$B$65:$J$860,9,0),"")</f>
        <v>GDTC -1A1</v>
      </c>
      <c r="R24" s="40" t="str">
        <f>IFERROR(VLOOKUP($A$21&amp;$D$5&amp;$B24&amp;$Q$4,TKB_LOP_CHECK!$B$65:$J$860,9,0),"")</f>
        <v>GDTC -4C1</v>
      </c>
      <c r="S24" s="40" t="str">
        <f>IFERROR(VLOOKUP($A$21&amp;$C$5&amp;$B24&amp;$S$4,TKB_LOP_CHECK!$B$65:$J$860,9,0),"")</f>
        <v>GVVN -4C1</v>
      </c>
      <c r="T24" s="40" t="str">
        <f>IFERROR(VLOOKUP($A$21&amp;$D$5&amp;$B24&amp;$S$4,TKB_LOP_CHECK!$B$65:$J$860,9,0),"")</f>
        <v/>
      </c>
      <c r="U24" s="40" t="str">
        <f>IFERROR(VLOOKUP($A$21&amp;$C$5&amp;$B24&amp;$U$4,TKB_LOP_CHECK!$B$65:$J$860,9,0),"")</f>
        <v>Văn -8A1</v>
      </c>
      <c r="V24" s="40" t="str">
        <f>IFERROR(VLOOKUP($A$21&amp;$D$5&amp;$B24&amp;$U$4,TKB_LOP_CHECK!$B$65:$J$860,9,0),"")</f>
        <v>Văn -7A1</v>
      </c>
      <c r="W24" s="40" t="str">
        <f>IFERROR(VLOOKUP($A$21&amp;$C$5&amp;$B24&amp;$W$4,TKB_LOP_CHECK!$B$65:$J$860,9,0),"")</f>
        <v/>
      </c>
      <c r="X24" s="40" t="str">
        <f>IFERROR(VLOOKUP($A$21&amp;$D$5&amp;$B24&amp;$W$4,TKB_LOP_CHECK!$B$65:$J$860,9,0),"")</f>
        <v/>
      </c>
      <c r="Y24" s="40" t="str">
        <f>IFERROR(VLOOKUP($A$21&amp;$C$5&amp;$B24&amp;$Y$4,TKB_LOP_CHECK!$B$65:$J$860,9,0),"")</f>
        <v/>
      </c>
      <c r="Z24" s="40" t="str">
        <f>IFERROR(VLOOKUP($A$21&amp;$D$5&amp;$B24&amp;$Y$4,TKB_LOP_CHECK!$B$65:$J$860,9,0),"")</f>
        <v/>
      </c>
      <c r="AA24" s="40" t="str">
        <f>IFERROR(VLOOKUP($A$21&amp;$C$5&amp;$B24&amp;$AA$4,TKB_LOP_CHECK!$B$65:$J$860,9,0),"")</f>
        <v>GVNN -2A1</v>
      </c>
      <c r="AB24" s="40" t="str">
        <f>IFERROR(VLOOKUP($A$21&amp;$D$5&amp;$B24&amp;$AA$4,TKB_LOP_CHECK!$B$65:$J$860,9,0),"")</f>
        <v/>
      </c>
      <c r="AC24" s="40" t="str">
        <f>IFERROR(VLOOKUP($A$21&amp;$C$5&amp;$B24&amp;$AC$4,TKB_LOP_CHECK!$B$65:$J$860,9,0),"")</f>
        <v/>
      </c>
      <c r="AD24" s="40" t="str">
        <f>IFERROR(VLOOKUP($A$21&amp;$D$5&amp;$B24&amp;$AC$4,TKB_LOP_CHECK!$B$65:$J$860,9,0),"")</f>
        <v/>
      </c>
      <c r="AE24" s="40" t="str">
        <f>IFERROR(VLOOKUP($A$21&amp;$C$5&amp;$B24&amp;$AE$4,TKB_LOP_CHECK!$B$65:$J$860,9,0),"")</f>
        <v>GVVN -3C1</v>
      </c>
      <c r="AF24" s="40" t="str">
        <f>IFERROR(VLOOKUP($A$21&amp;$D$5&amp;$B24&amp;$AE$4,TKB_LOP_CHECK!$B$65:$J$860,9,0),"")</f>
        <v>Science -3C1</v>
      </c>
      <c r="AG24" s="40" t="str">
        <f>IFERROR(VLOOKUP($A$21&amp;$C$5&amp;$B24&amp;$AG$4,TKB_LOP_CHECK!$B$65:$J$860,9,0),"")</f>
        <v>GVNN -2A1</v>
      </c>
      <c r="AH24" s="40" t="str">
        <f>IFERROR(VLOOKUP($A$21&amp;$D$5&amp;$B24&amp;$AG$4,TKB_LOP_CHECK!$B$65:$J$860,9,0),"")</f>
        <v/>
      </c>
      <c r="AI24" s="40" t="str">
        <f>IFERROR(VLOOKUP($A$21&amp;$C$5&amp;$B24&amp;$AI$4,TKB_LOP_CHECK!$B$65:$J$860,9,0),"")</f>
        <v>KHTN -7A1</v>
      </c>
      <c r="AJ24" s="40" t="str">
        <f>IFERROR(VLOOKUP($A$21&amp;$D$5&amp;$B24&amp;$AI$4,TKB_LOP_CHECK!$B$65:$J$860,9,0),"")</f>
        <v/>
      </c>
      <c r="AK24" s="40" t="str">
        <f>IFERROR(VLOOKUP($A$21&amp;$C$5&amp;$B24&amp;$AK$4,TKB_LOP_CHECK!$B$65:$J$860,9,0),"")</f>
        <v/>
      </c>
      <c r="AL24" s="40" t="str">
        <f>IFERROR(VLOOKUP($A$21&amp;$D$5&amp;$B24&amp;$AK$4,TKB_LOP_CHECK!$B$65:$J$860,9,0),"")</f>
        <v/>
      </c>
      <c r="AM24" s="40" t="str">
        <f>IFERROR(VLOOKUP($A$21&amp;$C$5&amp;$B24&amp;$AM$4,TKB_LOP_CHECK!$B$65:$J$860,9,0),"")</f>
        <v/>
      </c>
      <c r="AN24" s="40" t="str">
        <f>IFERROR(VLOOKUP($A$21&amp;$D$5&amp;$B24&amp;$AM$4,TKB_LOP_CHECK!$B$65:$J$860,9,0),"")</f>
        <v/>
      </c>
      <c r="AO24" s="40" t="str">
        <f>IFERROR(VLOOKUP($A$21&amp;$C$5&amp;$B24&amp;$AO$4,TKB_LOP_CHECK!$B$65:$J$860,9,0),"")</f>
        <v>Viết sáng tạo -3A1</v>
      </c>
      <c r="AP24" s="40" t="str">
        <f>IFERROR(VLOOKUP($A$21&amp;$D$5&amp;$B24&amp;$AO$4,TKB_LOP_CHECK!$B$65:$J$860,9,0),"")</f>
        <v>Đọc sách -3A1</v>
      </c>
      <c r="AQ24" s="40" t="str">
        <f>IFERROR(VLOOKUP($A$21&amp;$C$5&amp;$B24&amp;$AQ$4,TKB_LOP_CHECK!$B$65:$J$860,9,0),"")</f>
        <v/>
      </c>
      <c r="AR24" s="40" t="str">
        <f>IFERROR(VLOOKUP($A$21&amp;$D$5&amp;$B24&amp;$AQ$4,TKB_LOP_CHECK!$B$65:$J$860,9,0),"")</f>
        <v/>
      </c>
      <c r="AS24" s="40" t="str">
        <f>IFERROR(VLOOKUP($A$21&amp;$C$5&amp;$B24&amp;$AS$4,TKB_LOP_CHECK!$B$65:$J$860,9,0),"")</f>
        <v>Toán -5C1</v>
      </c>
      <c r="AT24" s="40" t="str">
        <f>IFERROR(VLOOKUP($A$21&amp;$D$5&amp;$B24&amp;$AS$4,TKB_LOP_CHECK!$B$65:$J$860,9,0),"")</f>
        <v>Toán -5C1</v>
      </c>
      <c r="AU24" s="40" t="str">
        <f>IFERROR(VLOOKUP($A$21&amp;$C$5&amp;$B24&amp;$AU$4,TKB_LOP_CHECK!$B$65:$J$860,9,0),"")</f>
        <v/>
      </c>
      <c r="AV24" s="40" t="str">
        <f>IFERROR(VLOOKUP($A$21&amp;$D$5&amp;$B24&amp;$AU$4,TKB_LOP_CHECK!$B$65:$J$860,9,0),"")</f>
        <v/>
      </c>
      <c r="AW24" s="40" t="str">
        <f>IFERROR(VLOOKUP($A$21&amp;$C$5&amp;$B24&amp;$AW$4,TKB_LOP_CHECK!$B$65:$J$860,9,0),"")</f>
        <v/>
      </c>
      <c r="AX24" s="40" t="str">
        <f>IFERROR(VLOOKUP($A$21&amp;$D$5&amp;$B24&amp;$AW$4,TKB_LOP_CHECK!$B$65:$J$860,9,0),"")</f>
        <v/>
      </c>
      <c r="AY24" s="40" t="str">
        <f>IFERROR(VLOOKUP($A$21&amp;$C$5&amp;$B24&amp;$AY$4,TKB_LOP_CHECK!$B$65:$J$860,9,0),"")</f>
        <v/>
      </c>
      <c r="AZ24" s="40" t="str">
        <f>IFERROR(VLOOKUP($A$21&amp;$D$5&amp;$B24&amp;$AY$4,TKB_LOP_CHECK!$B$65:$J$860,9,0),"")</f>
        <v/>
      </c>
      <c r="BA24" s="40" t="str">
        <f>IFERROR(VLOOKUP($A$21&amp;$C$5&amp;$B24&amp;$BA$4,TKB_LOP_CHECK!$B$65:$J$860,9,0),"")</f>
        <v/>
      </c>
      <c r="BB24" s="40" t="str">
        <f>IFERROR(VLOOKUP($A$21&amp;$D$5&amp;$B24&amp;$BA$4,TKB_LOP_CHECK!$B$65:$J$860,9,0),"")</f>
        <v/>
      </c>
      <c r="BC24" s="40" t="str">
        <f>IFERROR(VLOOKUP($A$21&amp;$C$5&amp;$B24&amp;$BC$4,TKB_LOP_CHECK!$B$65:$J$860,9,0),"")</f>
        <v/>
      </c>
      <c r="BD24" s="40" t="str">
        <f>IFERROR(VLOOKUP($A$21&amp;$D$5&amp;$B24&amp;$BC$4,TKB_LOP_CHECK!$B$65:$J$860,9,0),"")</f>
        <v/>
      </c>
      <c r="BE24" s="40" t="str">
        <f>IFERROR(VLOOKUP($A$21&amp;$C$5&amp;$B24&amp;$BE$4,TKB_LOP_CHECK!$B$65:$J$860,9,0),"")</f>
        <v/>
      </c>
      <c r="BF24" s="40" t="str">
        <f>IFERROR(VLOOKUP($A$21&amp;$D$5&amp;$B24&amp;$BE$4,TKB_LOP_CHECK!$B$65:$J$860,9,0),"")</f>
        <v/>
      </c>
      <c r="BG24" s="40" t="str">
        <f>IFERROR(VLOOKUP($A$21&amp;$C$5&amp;$B24&amp;$BG$4,TKB_LOP_CHECK!$B$65:$J$860,9,0),"")</f>
        <v/>
      </c>
      <c r="BH24" s="40" t="str">
        <f>IFERROR(VLOOKUP($A$21&amp;$D$5&amp;$B24&amp;$BG$4,TKB_LOP_CHECK!$B$65:$J$860,9,0),"")</f>
        <v/>
      </c>
      <c r="BI24" s="40" t="str">
        <f>IFERROR(VLOOKUP($A$21&amp;$C$5&amp;$B24&amp;$BI$4,TKB_LOP_CHECK!$B$65:$J$860,9,0),"")</f>
        <v/>
      </c>
      <c r="BJ24" s="40" t="str">
        <f>IFERROR(VLOOKUP($A$21&amp;$D$5&amp;$B24&amp;$BI$4,TKB_LOP_CHECK!$B$65:$J$860,9,0),"")</f>
        <v/>
      </c>
      <c r="BK24" s="40" t="str">
        <f>IFERROR(VLOOKUP($A$21&amp;$C$5&amp;$B24&amp;$BK$4,TKB_LOP_CHECK!$B$65:$J$860,9,0),"")</f>
        <v/>
      </c>
      <c r="BL24" s="40" t="str">
        <f>IFERROR(VLOOKUP($A$21&amp;$D$5&amp;$B24&amp;$BK$4,TKB_LOP_CHECK!$B$65:$J$860,9,0),"")</f>
        <v/>
      </c>
      <c r="BM24" s="40" t="str">
        <f>IFERROR(VLOOKUP($A$21&amp;$C$5&amp;$B24&amp;$BM$4,TKB_LOP_CHECK!$B$65:$J$860,9,0),"")</f>
        <v/>
      </c>
      <c r="BN24" s="40" t="str">
        <f>IFERROR(VLOOKUP($A$21&amp;$D$5&amp;$B24&amp;$BM$4,TKB_LOP_CHECK!$B$65:$J$860,9,0),"")</f>
        <v/>
      </c>
      <c r="BO24" s="40" t="str">
        <f>IFERROR(VLOOKUP($A$21&amp;$C$5&amp;$B24&amp;$BO$4,TKB_LOP_CHECK!$A$65:$J$860,10,0),"")</f>
        <v/>
      </c>
      <c r="BP24" s="40" t="str">
        <f>IFERROR(VLOOKUP($A$21&amp;$D$5&amp;$B24&amp;$BO$4,TKB_LOP_CHECK!$A$65:$J$860,10,0),"")</f>
        <v/>
      </c>
      <c r="BQ24" s="40" t="str">
        <f>IFERROR(VLOOKUP($A$21&amp;$C$5&amp;$B24&amp;$BQ$4,TKB_LOP_CHECK!$A$65:$J$860,10,0),"")</f>
        <v/>
      </c>
      <c r="BR24" s="40" t="str">
        <f>IFERROR(VLOOKUP($A$21&amp;$D$5&amp;$B24&amp;$BQ$4,TKB_LOP_CHECK!$A$65:$J$860,10,0),"")</f>
        <v>GVNN -2C1</v>
      </c>
      <c r="BS24" s="40" t="str">
        <f>IFERROR(VLOOKUP($A$21&amp;$C$5&amp;$B24&amp;$BS$4,TKB_LOP_CHECK!$A$65:$J$860,10,0),"")</f>
        <v/>
      </c>
      <c r="BT24" s="40" t="str">
        <f>IFERROR(VLOOKUP($A$21&amp;$D$5&amp;$B24&amp;$BS$4,TKB_LOP_CHECK!$A$65:$J$860,10,0),"")</f>
        <v/>
      </c>
      <c r="BU24" s="40" t="str">
        <f>IFERROR(VLOOKUP($A$21&amp;$C$5&amp;$B24&amp;$BU$4,TKB_LOP_CHECK!$A$65:$J$860,10,0),"")</f>
        <v/>
      </c>
      <c r="BV24" s="40" t="str">
        <f>IFERROR(VLOOKUP($A$21&amp;$D$5&amp;$B24&amp;$BU$4,TKB_LOP_CHECK!$A$65:$J$860,10,0),"")</f>
        <v/>
      </c>
    </row>
    <row r="25" spans="1:74" ht="16.7" customHeight="1" x14ac:dyDescent="0.25">
      <c r="A25" s="96"/>
      <c r="B25" s="42">
        <v>5</v>
      </c>
      <c r="C25" s="40" t="str">
        <f>IFERROR(VLOOKUP($A$21&amp;$C$5&amp;$B25&amp;$C$4,TKB_LOP_CHECK!$B$65:$J$860,9,0),"")</f>
        <v>GVNN -7A1</v>
      </c>
      <c r="D25" s="40" t="str">
        <f>IFERROR(VLOOKUP($A$21&amp;$D$5&amp;$B25&amp;$C$4,TKB_LOP_CHECK!$B$65:$J$860,9,0),"")</f>
        <v/>
      </c>
      <c r="E25" s="40" t="str">
        <f>IFERROR(VLOOKUP($A$21&amp;$C$5&amp;$B25&amp;$E$4,TKB_LOP_CHECK!$B$65:$J$860,9,0),"")</f>
        <v/>
      </c>
      <c r="F25" s="40" t="str">
        <f>IFERROR(VLOOKUP($A$21&amp;$D$5&amp;$B25&amp;$E$4,TKB_LOP_CHECK!$B$65:$J$860,9,0),"")</f>
        <v/>
      </c>
      <c r="G25" s="40" t="str">
        <f>IFERROR(VLOOKUP($A$21&amp;$C$5&amp;$B25&amp;$G$4,TKB_LOP_CHECK!$B$65:$J$860,9,0),"")</f>
        <v/>
      </c>
      <c r="H25" s="40" t="str">
        <f>IFERROR(VLOOKUP($A$21&amp;$D$5&amp;$B25&amp;$G$4,TKB_LOP_CHECK!$B$65:$J$860,9,0),"")</f>
        <v/>
      </c>
      <c r="I25" s="40" t="str">
        <f>IFERROR(VLOOKUP($A$21&amp;$C$5&amp;$B25&amp;$I$4,TKB_LOP_CHECK!$B$65:$J$860,9,0),"")</f>
        <v/>
      </c>
      <c r="J25" s="40" t="str">
        <f>IFERROR(VLOOKUP($A$21&amp;$D$5&amp;$B25&amp;$I$4,TKB_LOP_CHECK!$B$65:$J$860,9,0),"")</f>
        <v/>
      </c>
      <c r="K25" s="40" t="str">
        <f>IFERROR(VLOOKUP($A$21&amp;$C$5&amp;$B25&amp;$K$4,TKB_LOP_CHECK!$B$65:$J$860,9,0),"")</f>
        <v/>
      </c>
      <c r="L25" s="40" t="str">
        <f>IFERROR(VLOOKUP($A$21&amp;$D$5&amp;$B25&amp;$K$4,TKB_LOP_CHECK!$B$65:$J$860,9,0),"")</f>
        <v/>
      </c>
      <c r="M25" s="40" t="str">
        <f>IFERROR(VLOOKUP($A$21&amp;$C$5&amp;$B25&amp;$M$4,TKB_LOP_CHECK!$B$65:$J$860,9,0),"")</f>
        <v/>
      </c>
      <c r="N25" s="40" t="str">
        <f>IFERROR(VLOOKUP($A$21&amp;$D$5&amp;$B25&amp;$M$4,TKB_LOP_CHECK!$B$65:$J$860,9,0),"")</f>
        <v/>
      </c>
      <c r="O25" s="40" t="str">
        <f>IFERROR(VLOOKUP($A$21&amp;$C$5&amp;$B25&amp;$O$4,TKB_LOP_CHECK!$B$65:$J$860,9,0),"")</f>
        <v/>
      </c>
      <c r="P25" s="40" t="str">
        <f>IFERROR(VLOOKUP($A$21&amp;$D$5&amp;$B25&amp;$O$4,TKB_LOP_CHECK!$B$65:$J$860,9,0),"")</f>
        <v/>
      </c>
      <c r="Q25" s="40" t="str">
        <f>IFERROR(VLOOKUP($A$21&amp;$C$5&amp;$B25&amp;$Q$4,TKB_LOP_CHECK!$B$65:$J$860,9,0),"")</f>
        <v/>
      </c>
      <c r="R25" s="40" t="str">
        <f>IFERROR(VLOOKUP($A$21&amp;$D$5&amp;$B25&amp;$Q$4,TKB_LOP_CHECK!$B$65:$J$860,9,0),"")</f>
        <v/>
      </c>
      <c r="S25" s="40" t="str">
        <f>IFERROR(VLOOKUP($A$21&amp;$C$5&amp;$B25&amp;$S$4,TKB_LOP_CHECK!$B$65:$J$860,9,0),"")</f>
        <v/>
      </c>
      <c r="T25" s="40" t="str">
        <f>IFERROR(VLOOKUP($A$21&amp;$D$5&amp;$B25&amp;$S$4,TKB_LOP_CHECK!$B$65:$J$860,9,0),"")</f>
        <v/>
      </c>
      <c r="U25" s="40" t="str">
        <f>IFERROR(VLOOKUP($A$21&amp;$C$5&amp;$B25&amp;$U$4,TKB_LOP_CHECK!$B$65:$J$860,9,0),"")</f>
        <v>GDĐP -8A1</v>
      </c>
      <c r="V25" s="40" t="str">
        <f>IFERROR(VLOOKUP($A$21&amp;$D$5&amp;$B25&amp;$U$4,TKB_LOP_CHECK!$B$65:$J$860,9,0),"")</f>
        <v/>
      </c>
      <c r="W25" s="40" t="str">
        <f>IFERROR(VLOOKUP($A$21&amp;$C$5&amp;$B25&amp;$W$4,TKB_LOP_CHECK!$B$65:$J$860,9,0),"")</f>
        <v/>
      </c>
      <c r="X25" s="40" t="str">
        <f>IFERROR(VLOOKUP($A$21&amp;$D$5&amp;$B25&amp;$W$4,TKB_LOP_CHECK!$B$65:$J$860,9,0),"")</f>
        <v/>
      </c>
      <c r="Y25" s="40" t="str">
        <f>IFERROR(VLOOKUP($A$21&amp;$C$5&amp;$B25&amp;$Y$4,TKB_LOP_CHECK!$B$65:$J$860,9,0),"")</f>
        <v/>
      </c>
      <c r="Z25" s="40" t="str">
        <f>IFERROR(VLOOKUP($A$21&amp;$D$5&amp;$B25&amp;$Y$4,TKB_LOP_CHECK!$B$65:$J$860,9,0),"")</f>
        <v/>
      </c>
      <c r="AA25" s="40" t="str">
        <f>IFERROR(VLOOKUP($A$21&amp;$C$5&amp;$B25&amp;$AA$4,TKB_LOP_CHECK!$B$65:$J$860,9,0),"")</f>
        <v/>
      </c>
      <c r="AB25" s="40" t="str">
        <f>IFERROR(VLOOKUP($A$21&amp;$D$5&amp;$B25&amp;$AA$4,TKB_LOP_CHECK!$B$65:$J$860,9,0),"")</f>
        <v/>
      </c>
      <c r="AC25" s="40" t="str">
        <f>IFERROR(VLOOKUP($A$21&amp;$C$5&amp;$B25&amp;$AC$4,TKB_LOP_CHECK!$B$65:$J$860,9,0),"")</f>
        <v/>
      </c>
      <c r="AD25" s="40" t="str">
        <f>IFERROR(VLOOKUP($A$21&amp;$D$5&amp;$B25&amp;$AC$4,TKB_LOP_CHECK!$B$65:$J$860,9,0),"")</f>
        <v/>
      </c>
      <c r="AE25" s="40" t="str">
        <f>IFERROR(VLOOKUP($A$21&amp;$C$5&amp;$B25&amp;$AE$4,TKB_LOP_CHECK!$B$65:$J$860,9,0),"")</f>
        <v/>
      </c>
      <c r="AF25" s="40" t="str">
        <f>IFERROR(VLOOKUP($A$21&amp;$D$5&amp;$B25&amp;$AE$4,TKB_LOP_CHECK!$B$65:$J$860,9,0),"")</f>
        <v/>
      </c>
      <c r="AG25" s="40" t="str">
        <f>IFERROR(VLOOKUP($A$21&amp;$C$5&amp;$B25&amp;$AG$4,TKB_LOP_CHECK!$B$65:$J$860,9,0),"")</f>
        <v/>
      </c>
      <c r="AH25" s="40" t="str">
        <f>IFERROR(VLOOKUP($A$21&amp;$D$5&amp;$B25&amp;$AG$4,TKB_LOP_CHECK!$B$65:$J$860,9,0),"")</f>
        <v/>
      </c>
      <c r="AI25" s="40" t="str">
        <f>IFERROR(VLOOKUP($A$21&amp;$C$5&amp;$B25&amp;$AI$4,TKB_LOP_CHECK!$B$65:$J$860,9,0),"")</f>
        <v/>
      </c>
      <c r="AJ25" s="40" t="str">
        <f>IFERROR(VLOOKUP($A$21&amp;$D$5&amp;$B25&amp;$AI$4,TKB_LOP_CHECK!$B$65:$J$860,9,0),"")</f>
        <v/>
      </c>
      <c r="AK25" s="40" t="str">
        <f>IFERROR(VLOOKUP($A$21&amp;$C$5&amp;$B25&amp;$AK$4,TKB_LOP_CHECK!$B$65:$J$860,9,0),"")</f>
        <v/>
      </c>
      <c r="AL25" s="40" t="str">
        <f>IFERROR(VLOOKUP($A$21&amp;$D$5&amp;$B25&amp;$AK$4,TKB_LOP_CHECK!$B$65:$J$860,9,0),"")</f>
        <v/>
      </c>
      <c r="AM25" s="40" t="str">
        <f>IFERROR(VLOOKUP($A$21&amp;$C$5&amp;$B25&amp;$AM$4,TKB_LOP_CHECK!$B$65:$J$860,9,0),"")</f>
        <v/>
      </c>
      <c r="AN25" s="40" t="str">
        <f>IFERROR(VLOOKUP($A$21&amp;$D$5&amp;$B25&amp;$AM$4,TKB_LOP_CHECK!$B$65:$J$860,9,0),"")</f>
        <v/>
      </c>
      <c r="AO25" s="40" t="str">
        <f>IFERROR(VLOOKUP($A$21&amp;$C$5&amp;$B25&amp;$AO$4,TKB_LOP_CHECK!$B$65:$J$860,9,0),"")</f>
        <v/>
      </c>
      <c r="AP25" s="40" t="str">
        <f>IFERROR(VLOOKUP($A$21&amp;$D$5&amp;$B25&amp;$AO$4,TKB_LOP_CHECK!$B$65:$J$860,9,0),"")</f>
        <v/>
      </c>
      <c r="AQ25" s="40" t="str">
        <f>IFERROR(VLOOKUP($A$21&amp;$C$5&amp;$B25&amp;$AQ$4,TKB_LOP_CHECK!$B$65:$J$860,9,0),"")</f>
        <v>GVNN -7A1</v>
      </c>
      <c r="AR25" s="40" t="str">
        <f>IFERROR(VLOOKUP($A$21&amp;$D$5&amp;$B25&amp;$AQ$4,TKB_LOP_CHECK!$B$65:$J$860,9,0),"")</f>
        <v/>
      </c>
      <c r="AS25" s="40" t="str">
        <f>IFERROR(VLOOKUP($A$21&amp;$C$5&amp;$B25&amp;$AS$4,TKB_LOP_CHECK!$B$65:$J$860,9,0),"")</f>
        <v/>
      </c>
      <c r="AT25" s="40" t="str">
        <f>IFERROR(VLOOKUP($A$21&amp;$D$5&amp;$B25&amp;$AS$4,TKB_LOP_CHECK!$B$65:$J$860,9,0),"")</f>
        <v/>
      </c>
      <c r="AU25" s="40" t="str">
        <f>IFERROR(VLOOKUP($A$21&amp;$C$5&amp;$B25&amp;$AU$4,TKB_LOP_CHECK!$B$65:$J$860,9,0),"")</f>
        <v/>
      </c>
      <c r="AV25" s="40" t="str">
        <f>IFERROR(VLOOKUP($A$21&amp;$D$5&amp;$B25&amp;$AU$4,TKB_LOP_CHECK!$B$65:$J$860,9,0),"")</f>
        <v/>
      </c>
      <c r="AW25" s="40" t="str">
        <f>IFERROR(VLOOKUP($A$21&amp;$C$5&amp;$B25&amp;$AW$4,TKB_LOP_CHECK!$B$65:$J$860,9,0),"")</f>
        <v/>
      </c>
      <c r="AX25" s="40" t="str">
        <f>IFERROR(VLOOKUP($A$21&amp;$D$5&amp;$B25&amp;$AW$4,TKB_LOP_CHECK!$B$65:$J$860,9,0),"")</f>
        <v/>
      </c>
      <c r="AY25" s="40" t="str">
        <f>IFERROR(VLOOKUP($A$21&amp;$C$5&amp;$B25&amp;$AY$4,TKB_LOP_CHECK!$B$65:$J$860,9,0),"")</f>
        <v/>
      </c>
      <c r="AZ25" s="40" t="str">
        <f>IFERROR(VLOOKUP($A$21&amp;$D$5&amp;$B25&amp;$AY$4,TKB_LOP_CHECK!$B$65:$J$860,9,0),"")</f>
        <v/>
      </c>
      <c r="BA25" s="40" t="str">
        <f>IFERROR(VLOOKUP($A$21&amp;$C$5&amp;$B25&amp;$BA$4,TKB_LOP_CHECK!$B$65:$J$860,9,0),"")</f>
        <v/>
      </c>
      <c r="BB25" s="40" t="str">
        <f>IFERROR(VLOOKUP($A$21&amp;$D$5&amp;$B25&amp;$BA$4,TKB_LOP_CHECK!$B$65:$J$860,9,0),"")</f>
        <v/>
      </c>
      <c r="BC25" s="40" t="str">
        <f>IFERROR(VLOOKUP($A$21&amp;$C$5&amp;$B25&amp;$BC$4,TKB_LOP_CHECK!$B$65:$J$860,9,0),"")</f>
        <v/>
      </c>
      <c r="BD25" s="40" t="str">
        <f>IFERROR(VLOOKUP($A$21&amp;$D$5&amp;$B25&amp;$BC$4,TKB_LOP_CHECK!$B$65:$J$860,9,0),"")</f>
        <v/>
      </c>
      <c r="BE25" s="40" t="str">
        <f>IFERROR(VLOOKUP($A$21&amp;$C$5&amp;$B25&amp;$BE$4,TKB_LOP_CHECK!$B$65:$J$860,9,0),"")</f>
        <v/>
      </c>
      <c r="BF25" s="40" t="str">
        <f>IFERROR(VLOOKUP($A$21&amp;$D$5&amp;$B25&amp;$BE$4,TKB_LOP_CHECK!$B$65:$J$860,9,0),"")</f>
        <v/>
      </c>
      <c r="BG25" s="40" t="str">
        <f>IFERROR(VLOOKUP($A$21&amp;$C$5&amp;$B25&amp;$BG$4,TKB_LOP_CHECK!$B$65:$J$860,9,0),"")</f>
        <v/>
      </c>
      <c r="BH25" s="40" t="str">
        <f>IFERROR(VLOOKUP($A$21&amp;$D$5&amp;$B25&amp;$BG$4,TKB_LOP_CHECK!$B$65:$J$860,9,0),"")</f>
        <v/>
      </c>
      <c r="BI25" s="40" t="str">
        <f>IFERROR(VLOOKUP($A$21&amp;$C$5&amp;$B25&amp;$BI$4,TKB_LOP_CHECK!$B$65:$J$860,9,0),"")</f>
        <v/>
      </c>
      <c r="BJ25" s="40" t="str">
        <f>IFERROR(VLOOKUP($A$21&amp;$D$5&amp;$B25&amp;$BI$4,TKB_LOP_CHECK!$B$65:$J$860,9,0),"")</f>
        <v/>
      </c>
      <c r="BK25" s="40" t="str">
        <f>IFERROR(VLOOKUP($A$21&amp;$C$5&amp;$B25&amp;$BK$4,TKB_LOP_CHECK!$B$65:$J$860,9,0),"")</f>
        <v/>
      </c>
      <c r="BL25" s="40" t="str">
        <f>IFERROR(VLOOKUP($A$21&amp;$D$5&amp;$B25&amp;$BK$4,TKB_LOP_CHECK!$B$65:$J$860,9,0),"")</f>
        <v/>
      </c>
      <c r="BM25" s="40" t="str">
        <f>IFERROR(VLOOKUP($A$21&amp;$C$5&amp;$B25&amp;$BM$4,TKB_LOP_CHECK!$B$65:$J$860,9,0),"")</f>
        <v/>
      </c>
      <c r="BN25" s="40" t="str">
        <f>IFERROR(VLOOKUP($A$21&amp;$D$5&amp;$B25&amp;$BM$4,TKB_LOP_CHECK!$B$65:$J$860,9,0),"")</f>
        <v/>
      </c>
      <c r="BO25" s="40" t="str">
        <f>IFERROR(VLOOKUP($A$21&amp;$C$5&amp;$B25&amp;$BO$4,TKB_LOP_CHECK!$A$65:$J$860,10,0),"")</f>
        <v/>
      </c>
      <c r="BP25" s="40" t="str">
        <f>IFERROR(VLOOKUP($A$21&amp;$D$5&amp;$B25&amp;$BO$4,TKB_LOP_CHECK!$A$65:$J$860,10,0),"")</f>
        <v/>
      </c>
      <c r="BQ25" s="40" t="str">
        <f>IFERROR(VLOOKUP($A$21&amp;$C$5&amp;$B25&amp;$BQ$4,TKB_LOP_CHECK!$A$65:$J$860,10,0),"")</f>
        <v>GVNN -7A1</v>
      </c>
      <c r="BR25" s="40" t="str">
        <f>IFERROR(VLOOKUP($A$21&amp;$D$5&amp;$B25&amp;$BQ$4,TKB_LOP_CHECK!$A$65:$J$860,10,0),"")</f>
        <v/>
      </c>
      <c r="BS25" s="40" t="str">
        <f>IFERROR(VLOOKUP($A$21&amp;$C$5&amp;$B25&amp;$BS$4,TKB_LOP_CHECK!$A$65:$J$860,10,0),"")</f>
        <v/>
      </c>
      <c r="BT25" s="40" t="str">
        <f>IFERROR(VLOOKUP($A$21&amp;$D$5&amp;$B25&amp;$BS$4,TKB_LOP_CHECK!$A$65:$J$860,10,0),"")</f>
        <v/>
      </c>
      <c r="BU25" s="40" t="str">
        <f>IFERROR(VLOOKUP($A$21&amp;$C$5&amp;$B25&amp;$BU$4,TKB_LOP_CHECK!$A$65:$J$860,10,0),"")</f>
        <v/>
      </c>
      <c r="BV25" s="40" t="str">
        <f>IFERROR(VLOOKUP($A$21&amp;$D$5&amp;$B25&amp;$BU$4,TKB_LOP_CHECK!$A$65:$J$860,10,0),"")</f>
        <v/>
      </c>
    </row>
    <row r="26" spans="1:74" ht="16.7" customHeight="1" x14ac:dyDescent="0.25">
      <c r="A26" s="94">
        <v>6</v>
      </c>
      <c r="B26" s="39">
        <v>1</v>
      </c>
      <c r="C26" s="40" t="str">
        <f>IFERROR(VLOOKUP($A$26&amp;$C$5&amp;$B26&amp;$C$4,TKB_LOP_CHECK!$B$65:$J$860,9,0),"")</f>
        <v/>
      </c>
      <c r="D26" s="40" t="str">
        <f>IFERROR(VLOOKUP($A$26&amp;$D$5&amp;$B26&amp;$C$4,TKB_LOP_CHECK!$B$65:$J$860,9,0),"")</f>
        <v/>
      </c>
      <c r="E26" s="40" t="str">
        <f>IFERROR(VLOOKUP($A$26&amp;$C$5&amp;$B26&amp;$E$4,TKB_LOP_CHECK!$B$65:$J$860,9,0),"")</f>
        <v/>
      </c>
      <c r="F26" s="40" t="str">
        <f>IFERROR(VLOOKUP($A$26&amp;$D$5&amp;$B26&amp;$E$4,TKB_LOP_CHECK!$B$65:$J$860,9,0),"")</f>
        <v/>
      </c>
      <c r="G26" s="40" t="str">
        <f>IFERROR(VLOOKUP($A$26&amp;$C$5&amp;$B26&amp;$G$4,TKB_LOP_CHECK!$B$65:$J$860,9,0),"")</f>
        <v/>
      </c>
      <c r="H26" s="40" t="str">
        <f>IFERROR(VLOOKUP($A$26&amp;$D$5&amp;$B26&amp;$G$4,TKB_LOP_CHECK!$B$65:$J$860,9,0),"")</f>
        <v/>
      </c>
      <c r="I26" s="40" t="str">
        <f>IFERROR(VLOOKUP($A$26&amp;$C$5&amp;$B26&amp;$I$4,TKB_LOP_CHECK!$B$65:$J$860,9,0),"")</f>
        <v>Toán -3C1</v>
      </c>
      <c r="J26" s="40" t="str">
        <f>IFERROR(VLOOKUP($A$26&amp;$D$5&amp;$B26&amp;$I$4,TKB_LOP_CHECK!$B$65:$J$860,9,0),"")</f>
        <v>Toán -3C1</v>
      </c>
      <c r="K26" s="40" t="str">
        <f>IFERROR(VLOOKUP($A$26&amp;$C$5&amp;$B26&amp;$K$4,TKB_LOP_CHECK!$B$65:$J$860,9,0),"")</f>
        <v>Toán -3C1</v>
      </c>
      <c r="L26" s="40" t="str">
        <f>IFERROR(VLOOKUP($A$26&amp;$D$5&amp;$B26&amp;$K$4,TKB_LOP_CHECK!$B$65:$J$860,9,0),"")</f>
        <v>Toán -3C1</v>
      </c>
      <c r="M26" s="40" t="str">
        <f>IFERROR(VLOOKUP($A$26&amp;$C$5&amp;$B26&amp;$M$4,TKB_LOP_CHECK!$B$65:$J$860,9,0),"")</f>
        <v/>
      </c>
      <c r="N26" s="40" t="str">
        <f>IFERROR(VLOOKUP($A$26&amp;$D$5&amp;$B26&amp;$M$4,TKB_LOP_CHECK!$B$65:$J$860,9,0),"")</f>
        <v>GVVN -1A1</v>
      </c>
      <c r="O26" s="40" t="str">
        <f>IFERROR(VLOOKUP($A$26&amp;$C$5&amp;$B26&amp;$O$4,TKB_LOP_CHECK!$B$65:$J$860,9,0),"")</f>
        <v/>
      </c>
      <c r="P26" s="40" t="str">
        <f>IFERROR(VLOOKUP($A$26&amp;$D$5&amp;$B26&amp;$O$4,TKB_LOP_CHECK!$B$65:$J$860,9,0),"")</f>
        <v>HĐ tự chọn -TTH1</v>
      </c>
      <c r="Q26" s="40" t="str">
        <f>IFERROR(VLOOKUP($A$26&amp;$C$5&amp;$B26&amp;$Q$4,TKB_LOP_CHECK!$B$65:$J$860,9,0),"")</f>
        <v>GDTC -8A1</v>
      </c>
      <c r="R26" s="40" t="str">
        <f>IFERROR(VLOOKUP($A$26&amp;$D$5&amp;$B26&amp;$Q$4,TKB_LOP_CHECK!$B$65:$J$860,9,0),"")</f>
        <v>GDTC -6A1</v>
      </c>
      <c r="S26" s="40" t="str">
        <f>IFERROR(VLOOKUP($A$26&amp;$C$5&amp;$B26&amp;$S$4,TKB_LOP_CHECK!$B$65:$J$860,9,0),"")</f>
        <v/>
      </c>
      <c r="T26" s="40" t="str">
        <f>IFERROR(VLOOKUP($A$26&amp;$D$5&amp;$B26&amp;$S$4,TKB_LOP_CHECK!$B$65:$J$860,9,0),"")</f>
        <v/>
      </c>
      <c r="U26" s="40" t="str">
        <f>IFERROR(VLOOKUP($A$26&amp;$C$5&amp;$B26&amp;$U$4,TKB_LOP_CHECK!$B$65:$J$860,9,0),"")</f>
        <v/>
      </c>
      <c r="V26" s="40" t="str">
        <f>IFERROR(VLOOKUP($A$26&amp;$D$5&amp;$B26&amp;$U$4,TKB_LOP_CHECK!$B$65:$J$860,9,0),"")</f>
        <v/>
      </c>
      <c r="W26" s="40" t="str">
        <f>IFERROR(VLOOKUP($A$26&amp;$C$5&amp;$B26&amp;$W$4,TKB_LOP_CHECK!$B$65:$J$860,9,0),"")</f>
        <v/>
      </c>
      <c r="X26" s="40" t="str">
        <f>IFERROR(VLOOKUP($A$26&amp;$D$5&amp;$B26&amp;$W$4,TKB_LOP_CHECK!$B$65:$J$860,9,0),"")</f>
        <v/>
      </c>
      <c r="Y26" s="40" t="str">
        <f>IFERROR(VLOOKUP($A$26&amp;$C$5&amp;$B26&amp;$Y$4,TKB_LOP_CHECK!$B$65:$J$860,9,0),"")</f>
        <v>TViệt -3A1</v>
      </c>
      <c r="Z26" s="40" t="str">
        <f>IFERROR(VLOOKUP($A$26&amp;$D$5&amp;$B26&amp;$Y$4,TKB_LOP_CHECK!$B$65:$J$860,9,0),"")</f>
        <v/>
      </c>
      <c r="AA26" s="40" t="str">
        <f>IFERROR(VLOOKUP($A$26&amp;$C$5&amp;$B26&amp;$AA$4,TKB_LOP_CHECK!$B$65:$J$860,9,0),"")</f>
        <v/>
      </c>
      <c r="AB26" s="40" t="str">
        <f>IFERROR(VLOOKUP($A$26&amp;$D$5&amp;$B26&amp;$AA$4,TKB_LOP_CHECK!$B$65:$J$860,9,0),"")</f>
        <v>GVVN -1A1</v>
      </c>
      <c r="AC26" s="40" t="str">
        <f>IFERROR(VLOOKUP($A$26&amp;$C$5&amp;$B26&amp;$AC$4,TKB_LOP_CHECK!$B$65:$J$860,9,0),"")</f>
        <v/>
      </c>
      <c r="AD26" s="40" t="str">
        <f>IFERROR(VLOOKUP($A$26&amp;$D$5&amp;$B26&amp;$AC$4,TKB_LOP_CHECK!$B$65:$J$860,9,0),"")</f>
        <v/>
      </c>
      <c r="AE26" s="40" t="str">
        <f>IFERROR(VLOOKUP($A$26&amp;$C$5&amp;$B26&amp;$AE$4,TKB_LOP_CHECK!$B$65:$J$860,9,0),"")</f>
        <v>GVVN -5C1</v>
      </c>
      <c r="AF26" s="40" t="str">
        <f>IFERROR(VLOOKUP($A$26&amp;$D$5&amp;$B26&amp;$AE$4,TKB_LOP_CHECK!$B$65:$J$860,9,0),"")</f>
        <v>Science -5C1</v>
      </c>
      <c r="AG26" s="40" t="str">
        <f>IFERROR(VLOOKUP($A$26&amp;$C$5&amp;$B26&amp;$AG$4,TKB_LOP_CHECK!$B$65:$J$860,9,0),"")</f>
        <v/>
      </c>
      <c r="AH26" s="40" t="str">
        <f>IFERROR(VLOOKUP($A$26&amp;$D$5&amp;$B26&amp;$AG$4,TKB_LOP_CHECK!$B$65:$J$860,9,0),"")</f>
        <v>GVVN -1A1</v>
      </c>
      <c r="AI26" s="40" t="str">
        <f>IFERROR(VLOOKUP($A$26&amp;$C$5&amp;$B26&amp;$AI$4,TKB_LOP_CHECK!$B$65:$J$860,9,0),"")</f>
        <v/>
      </c>
      <c r="AJ26" s="40" t="str">
        <f>IFERROR(VLOOKUP($A$26&amp;$D$5&amp;$B26&amp;$AI$4,TKB_LOP_CHECK!$B$65:$J$860,9,0),"")</f>
        <v/>
      </c>
      <c r="AK26" s="40" t="str">
        <f>IFERROR(VLOOKUP($A$26&amp;$C$5&amp;$B26&amp;$AK$4,TKB_LOP_CHECK!$B$65:$J$860,9,0),"")</f>
        <v>Mĩ thuật -7A1</v>
      </c>
      <c r="AL26" s="40" t="str">
        <f>IFERROR(VLOOKUP($A$26&amp;$D$5&amp;$B26&amp;$AK$4,TKB_LOP_CHECK!$B$65:$J$860,9,0),"")</f>
        <v/>
      </c>
      <c r="AM26" s="40" t="str">
        <f>IFERROR(VLOOKUP($A$26&amp;$C$5&amp;$B26&amp;$AM$4,TKB_LOP_CHECK!$B$65:$J$860,9,0),"")</f>
        <v/>
      </c>
      <c r="AN26" s="40" t="str">
        <f>IFERROR(VLOOKUP($A$26&amp;$D$5&amp;$B26&amp;$AM$4,TKB_LOP_CHECK!$B$65:$J$860,9,0),"")</f>
        <v>TViệt -4C1</v>
      </c>
      <c r="AO26" s="40" t="str">
        <f>IFERROR(VLOOKUP($A$26&amp;$C$5&amp;$B26&amp;$AO$4,TKB_LOP_CHECK!$B$65:$J$860,9,0),"")</f>
        <v/>
      </c>
      <c r="AP26" s="40" t="str">
        <f>IFERROR(VLOOKUP($A$26&amp;$D$5&amp;$B26&amp;$AO$4,TKB_LOP_CHECK!$B$65:$J$860,9,0),"")</f>
        <v>Đọc sách -2A1</v>
      </c>
      <c r="AQ26" s="40" t="str">
        <f>IFERROR(VLOOKUP($A$26&amp;$C$5&amp;$B26&amp;$AQ$4,TKB_LOP_CHECK!$B$65:$J$860,9,0),"")</f>
        <v/>
      </c>
      <c r="AR26" s="40" t="str">
        <f>IFERROR(VLOOKUP($A$26&amp;$D$5&amp;$B26&amp;$AQ$4,TKB_LOP_CHECK!$B$65:$J$860,9,0),"")</f>
        <v/>
      </c>
      <c r="AS26" s="40" t="str">
        <f>IFERROR(VLOOKUP($A$26&amp;$C$5&amp;$B26&amp;$AS$4,TKB_LOP_CHECK!$B$65:$J$860,9,0),"")</f>
        <v>Toán -3C1</v>
      </c>
      <c r="AT26" s="40" t="str">
        <f>IFERROR(VLOOKUP($A$26&amp;$D$5&amp;$B26&amp;$AS$4,TKB_LOP_CHECK!$B$65:$J$860,9,0),"")</f>
        <v>Toán -3C1</v>
      </c>
      <c r="AU26" s="40" t="str">
        <f>IFERROR(VLOOKUP($A$26&amp;$C$5&amp;$B26&amp;$AU$4,TKB_LOP_CHECK!$B$65:$J$860,9,0),"")</f>
        <v/>
      </c>
      <c r="AV26" s="40" t="str">
        <f>IFERROR(VLOOKUP($A$26&amp;$D$5&amp;$B26&amp;$AU$4,TKB_LOP_CHECK!$B$65:$J$860,9,0),"")</f>
        <v/>
      </c>
      <c r="AW26" s="40" t="str">
        <f>IFERROR(VLOOKUP($A$26&amp;$C$5&amp;$B26&amp;$AW$4,TKB_LOP_CHECK!$B$65:$J$860,9,0),"")</f>
        <v/>
      </c>
      <c r="AX26" s="40" t="str">
        <f>IFERROR(VLOOKUP($A$26&amp;$D$5&amp;$B26&amp;$AW$4,TKB_LOP_CHECK!$B$65:$J$860,9,0),"")</f>
        <v/>
      </c>
      <c r="AY26" s="40" t="str">
        <f>IFERROR(VLOOKUP($A$26&amp;$C$5&amp;$B26&amp;$AY$4,TKB_LOP_CHECK!$B$65:$J$860,9,0),"")</f>
        <v/>
      </c>
      <c r="AZ26" s="40" t="str">
        <f>IFERROR(VLOOKUP($A$26&amp;$D$5&amp;$B26&amp;$AY$4,TKB_LOP_CHECK!$B$65:$J$860,9,0),"")</f>
        <v/>
      </c>
      <c r="BA26" s="40" t="str">
        <f>IFERROR(VLOOKUP($A$26&amp;$C$5&amp;$B26&amp;$BA$4,TKB_LOP_CHECK!$B$65:$J$860,9,0),"")</f>
        <v/>
      </c>
      <c r="BB26" s="40" t="str">
        <f>IFERROR(VLOOKUP($A$26&amp;$D$5&amp;$B26&amp;$BA$4,TKB_LOP_CHECK!$B$65:$J$860,9,0),"")</f>
        <v/>
      </c>
      <c r="BC26" s="40" t="str">
        <f>IFERROR(VLOOKUP($A$26&amp;$C$5&amp;$B26&amp;$BC$4,TKB_LOP_CHECK!$B$65:$J$860,9,0),"")</f>
        <v/>
      </c>
      <c r="BD26" s="40" t="str">
        <f>IFERROR(VLOOKUP($A$26&amp;$D$5&amp;$B26&amp;$BC$4,TKB_LOP_CHECK!$B$65:$J$860,9,0),"")</f>
        <v/>
      </c>
      <c r="BE26" s="40" t="str">
        <f>IFERROR(VLOOKUP($A$26&amp;$C$5&amp;$B26&amp;$BE$4,TKB_LOP_CHECK!$B$65:$J$860,9,0),"")</f>
        <v/>
      </c>
      <c r="BF26" s="40" t="str">
        <f>IFERROR(VLOOKUP($A$26&amp;$D$5&amp;$B26&amp;$BE$4,TKB_LOP_CHECK!$B$65:$J$860,9,0),"")</f>
        <v/>
      </c>
      <c r="BG26" s="40" t="str">
        <f>IFERROR(VLOOKUP($A$26&amp;$C$5&amp;$B26&amp;$BG$4,TKB_LOP_CHECK!$B$65:$J$860,9,0),"")</f>
        <v/>
      </c>
      <c r="BH26" s="40" t="str">
        <f>IFERROR(VLOOKUP($A$26&amp;$D$5&amp;$B26&amp;$BG$4,TKB_LOP_CHECK!$B$65:$J$860,9,0),"")</f>
        <v/>
      </c>
      <c r="BI26" s="40" t="str">
        <f>IFERROR(VLOOKUP($A$26&amp;$C$5&amp;$B26&amp;$BI$4,TKB_LOP_CHECK!$B$65:$J$860,9,0),"")</f>
        <v/>
      </c>
      <c r="BJ26" s="40" t="str">
        <f>IFERROR(VLOOKUP($A$26&amp;$D$5&amp;$B26&amp;$BI$4,TKB_LOP_CHECK!$B$65:$J$860,9,0),"")</f>
        <v/>
      </c>
      <c r="BK26" s="40" t="str">
        <f>IFERROR(VLOOKUP($A$26&amp;$C$5&amp;$B26&amp;$BK$4,TKB_LOP_CHECK!$B$65:$J$860,9,0),"")</f>
        <v/>
      </c>
      <c r="BL26" s="40" t="str">
        <f>IFERROR(VLOOKUP($A$26&amp;$D$5&amp;$B26&amp;$BK$4,TKB_LOP_CHECK!$B$65:$J$860,9,0),"")</f>
        <v/>
      </c>
      <c r="BM26" s="40" t="str">
        <f>IFERROR(VLOOKUP($A$26&amp;$C$5&amp;$B26&amp;$BM$4,TKB_LOP_CHECK!$B$65:$J$860,9,0),"")</f>
        <v/>
      </c>
      <c r="BN26" s="40" t="str">
        <f>IFERROR(VLOOKUP($A$26&amp;$D$5&amp;$B26&amp;$BM$4,TKB_LOP_CHECK!$B$65:$J$860,9,0),"")</f>
        <v/>
      </c>
      <c r="BO26" s="40" t="str">
        <f>IFERROR(VLOOKUP($A$26&amp;$C$5&amp;$B26&amp;$BO$4,TKB_LOP_CHECK!$A$65:$J$860,10,0),"")</f>
        <v/>
      </c>
      <c r="BP26" s="40" t="str">
        <f>IFERROR(VLOOKUP($A$26&amp;$D$5&amp;$B26&amp;$BO$4,TKB_LOP_CHECK!$A$65:$J$860,10,0),"")</f>
        <v/>
      </c>
      <c r="BQ26" s="40" t="str">
        <f>IFERROR(VLOOKUP($A$26&amp;$C$5&amp;$B26&amp;$BQ$4,TKB_LOP_CHECK!$A$65:$J$860,10,0),"")</f>
        <v/>
      </c>
      <c r="BR26" s="40" t="str">
        <f>IFERROR(VLOOKUP($A$26&amp;$D$5&amp;$B26&amp;$BQ$4,TKB_LOP_CHECK!$A$65:$J$860,10,0),"")</f>
        <v/>
      </c>
      <c r="BS26" s="40" t="str">
        <f>IFERROR(VLOOKUP($A$26&amp;$C$5&amp;$B26&amp;$BS$4,TKB_LOP_CHECK!$A$65:$J$860,10,0),"")</f>
        <v/>
      </c>
      <c r="BT26" s="40" t="str">
        <f>IFERROR(VLOOKUP($A$26&amp;$D$5&amp;$B26&amp;$BS$4,TKB_LOP_CHECK!$A$65:$J$860,10,0),"")</f>
        <v/>
      </c>
      <c r="BU26" s="40" t="str">
        <f>IFERROR(VLOOKUP($A$26&amp;$C$5&amp;$B26&amp;$BU$4,TKB_LOP_CHECK!$A$65:$J$860,10,0),"")</f>
        <v/>
      </c>
      <c r="BV26" s="40" t="str">
        <f>IFERROR(VLOOKUP($A$26&amp;$D$5&amp;$B26&amp;$BU$4,TKB_LOP_CHECK!$A$65:$J$860,10,0),"")</f>
        <v/>
      </c>
    </row>
    <row r="27" spans="1:74" ht="16.7" customHeight="1" x14ac:dyDescent="0.25">
      <c r="A27" s="95"/>
      <c r="B27" s="41">
        <v>2</v>
      </c>
      <c r="C27" s="40" t="str">
        <f>IFERROR(VLOOKUP($A$26&amp;$C$5&amp;$B27&amp;$C$4,TKB_LOP_CHECK!$B$65:$J$860,9,0),"")</f>
        <v/>
      </c>
      <c r="D27" s="40" t="str">
        <f>IFERROR(VLOOKUP($A$26&amp;$D$5&amp;$B27&amp;$C$4,TKB_LOP_CHECK!$B$65:$J$860,9,0),"")</f>
        <v/>
      </c>
      <c r="E27" s="40" t="str">
        <f>IFERROR(VLOOKUP($A$26&amp;$C$5&amp;$B27&amp;$E$4,TKB_LOP_CHECK!$B$65:$J$860,9,0),"")</f>
        <v/>
      </c>
      <c r="F27" s="40" t="str">
        <f>IFERROR(VLOOKUP($A$26&amp;$D$5&amp;$B27&amp;$E$4,TKB_LOP_CHECK!$B$65:$J$860,9,0),"")</f>
        <v/>
      </c>
      <c r="G27" s="40" t="str">
        <f>IFERROR(VLOOKUP($A$26&amp;$C$5&amp;$B27&amp;$G$4,TKB_LOP_CHECK!$B$65:$J$860,9,0),"")</f>
        <v>GVVN -4C1</v>
      </c>
      <c r="H27" s="40" t="str">
        <f>IFERROR(VLOOKUP($A$26&amp;$D$5&amp;$B27&amp;$G$4,TKB_LOP_CHECK!$B$65:$J$860,9,0),"")</f>
        <v/>
      </c>
      <c r="I27" s="40" t="str">
        <f>IFERROR(VLOOKUP($A$26&amp;$C$5&amp;$B27&amp;$I$4,TKB_LOP_CHECK!$B$65:$J$860,9,0),"")</f>
        <v>Toán -5C1</v>
      </c>
      <c r="J27" s="40" t="str">
        <f>IFERROR(VLOOKUP($A$26&amp;$D$5&amp;$B27&amp;$I$4,TKB_LOP_CHECK!$B$65:$J$860,9,0),"")</f>
        <v>Toán -2C1</v>
      </c>
      <c r="K27" s="40" t="str">
        <f>IFERROR(VLOOKUP($A$26&amp;$C$5&amp;$B27&amp;$K$4,TKB_LOP_CHECK!$B$65:$J$860,9,0),"")</f>
        <v>Toán -5C1</v>
      </c>
      <c r="L27" s="40" t="str">
        <f>IFERROR(VLOOKUP($A$26&amp;$D$5&amp;$B27&amp;$K$4,TKB_LOP_CHECK!$B$65:$J$860,9,0),"")</f>
        <v>Toán -2C1</v>
      </c>
      <c r="M27" s="40" t="s">
        <v>165</v>
      </c>
      <c r="N27" s="40" t="str">
        <f>IFERROR(VLOOKUP($A$26&amp;$D$5&amp;$B27&amp;$M$4,TKB_LOP_CHECK!$B$65:$J$860,9,0),"")</f>
        <v>GVVN -2A1</v>
      </c>
      <c r="O27" s="40" t="str">
        <f>IFERROR(VLOOKUP($A$26&amp;$C$5&amp;$B27&amp;$O$4,TKB_LOP_CHECK!$B$65:$J$860,9,0),"")</f>
        <v>Cãm xúc xã hội -TTH1</v>
      </c>
      <c r="P27" s="40" t="str">
        <f>IFERROR(VLOOKUP($A$26&amp;$D$5&amp;$B27&amp;$O$4,TKB_LOP_CHECK!$B$65:$J$860,9,0),"")</f>
        <v/>
      </c>
      <c r="Q27" s="40" t="str">
        <f>IFERROR(VLOOKUP($A$26&amp;$C$5&amp;$B27&amp;$Q$4,TKB_LOP_CHECK!$B$65:$J$860,9,0),"")</f>
        <v>GDTC -8A1</v>
      </c>
      <c r="R27" s="40" t="str">
        <f>IFERROR(VLOOKUP($A$26&amp;$D$5&amp;$B27&amp;$Q$4,TKB_LOP_CHECK!$B$65:$J$860,9,0),"")</f>
        <v>GDTC -6A1</v>
      </c>
      <c r="S27" s="40" t="str">
        <f>IFERROR(VLOOKUP($A$26&amp;$C$5&amp;$B27&amp;$S$4,TKB_LOP_CHECK!$B$65:$J$860,9,0),"")</f>
        <v>GVVN -4C1</v>
      </c>
      <c r="T27" s="40" t="str">
        <f>IFERROR(VLOOKUP($A$26&amp;$D$5&amp;$B27&amp;$S$4,TKB_LOP_CHECK!$B$65:$J$860,9,0),"")</f>
        <v/>
      </c>
      <c r="U27" s="40" t="str">
        <f>IFERROR(VLOOKUP($A$26&amp;$C$5&amp;$B27&amp;$U$4,TKB_LOP_CHECK!$B$65:$J$860,9,0),"")</f>
        <v/>
      </c>
      <c r="V27" s="40" t="str">
        <f>IFERROR(VLOOKUP($A$26&amp;$D$5&amp;$B27&amp;$U$4,TKB_LOP_CHECK!$B$65:$J$860,9,0),"")</f>
        <v/>
      </c>
      <c r="W27" s="40" t="str">
        <f>IFERROR(VLOOKUP($A$26&amp;$C$5&amp;$B27&amp;$W$4,TKB_LOP_CHECK!$B$65:$J$860,9,0),"")</f>
        <v/>
      </c>
      <c r="X27" s="40" t="str">
        <f>IFERROR(VLOOKUP($A$26&amp;$D$5&amp;$B27&amp;$W$4,TKB_LOP_CHECK!$B$65:$J$860,9,0),"")</f>
        <v/>
      </c>
      <c r="Y27" s="40" t="str">
        <f>IFERROR(VLOOKUP($A$26&amp;$C$5&amp;$B27&amp;$Y$4,TKB_LOP_CHECK!$B$65:$J$860,9,0),"")</f>
        <v>TViệt -3A1</v>
      </c>
      <c r="Z27" s="40" t="str">
        <f>IFERROR(VLOOKUP($A$26&amp;$D$5&amp;$B27&amp;$Y$4,TKB_LOP_CHECK!$B$65:$J$860,9,0),"")</f>
        <v>TViệt -3A1</v>
      </c>
      <c r="AA27" s="40" t="str">
        <f>IFERROR(VLOOKUP($A$26&amp;$C$5&amp;$B27&amp;$AA$4,TKB_LOP_CHECK!$B$65:$J$860,9,0),"")</f>
        <v>GVVN -2A1</v>
      </c>
      <c r="AB27" s="40" t="str">
        <f>IFERROR(VLOOKUP($A$26&amp;$D$5&amp;$B27&amp;$AA$4,TKB_LOP_CHECK!$B$65:$J$860,9,0),"")</f>
        <v>GVVN -2A1</v>
      </c>
      <c r="AC27" s="40" t="str">
        <f>IFERROR(VLOOKUP($A$26&amp;$C$5&amp;$B27&amp;$AC$4,TKB_LOP_CHECK!$B$65:$J$860,9,0),"")</f>
        <v/>
      </c>
      <c r="AD27" s="40" t="str">
        <f>IFERROR(VLOOKUP($A$26&amp;$D$5&amp;$B27&amp;$AC$4,TKB_LOP_CHECK!$B$65:$J$860,9,0),"")</f>
        <v/>
      </c>
      <c r="AE27" s="40" t="str">
        <f>IFERROR(VLOOKUP($A$26&amp;$C$5&amp;$B27&amp;$AE$4,TKB_LOP_CHECK!$B$65:$J$860,9,0),"")</f>
        <v/>
      </c>
      <c r="AF27" s="40" t="str">
        <f>IFERROR(VLOOKUP($A$26&amp;$D$5&amp;$B27&amp;$AE$4,TKB_LOP_CHECK!$B$65:$J$860,9,0),"")</f>
        <v>GVVN -5C1</v>
      </c>
      <c r="AG27" s="40" t="str">
        <f>IFERROR(VLOOKUP($A$26&amp;$C$5&amp;$B27&amp;$AG$4,TKB_LOP_CHECK!$B$65:$J$860,9,0),"")</f>
        <v>GVVN -2A1</v>
      </c>
      <c r="AH27" s="40" t="str">
        <f>IFERROR(VLOOKUP($A$26&amp;$D$5&amp;$B27&amp;$AG$4,TKB_LOP_CHECK!$B$65:$J$860,9,0),"")</f>
        <v>GVVN -2A1</v>
      </c>
      <c r="AI27" s="40" t="str">
        <f>IFERROR(VLOOKUP($A$26&amp;$C$5&amp;$B27&amp;$AI$4,TKB_LOP_CHECK!$B$65:$J$860,9,0),"")</f>
        <v/>
      </c>
      <c r="AJ27" s="40" t="str">
        <f>IFERROR(VLOOKUP($A$26&amp;$D$5&amp;$B27&amp;$AI$4,TKB_LOP_CHECK!$B$65:$J$860,9,0),"")</f>
        <v/>
      </c>
      <c r="AK27" s="40" t="str">
        <f>IFERROR(VLOOKUP($A$26&amp;$C$5&amp;$B27&amp;$AK$4,TKB_LOP_CHECK!$B$65:$J$860,9,0),"")</f>
        <v>Mĩ thuật -2C1</v>
      </c>
      <c r="AL27" s="40" t="str">
        <f>IFERROR(VLOOKUP($A$26&amp;$D$5&amp;$B27&amp;$AK$4,TKB_LOP_CHECK!$B$65:$J$860,9,0),"")</f>
        <v>Mĩ thuật -TTH1</v>
      </c>
      <c r="AM27" s="40" t="str">
        <f>IFERROR(VLOOKUP($A$26&amp;$C$5&amp;$B27&amp;$AM$4,TKB_LOP_CHECK!$B$65:$J$860,9,0),"")</f>
        <v/>
      </c>
      <c r="AN27" s="40" t="str">
        <f>IFERROR(VLOOKUP($A$26&amp;$D$5&amp;$B27&amp;$AM$4,TKB_LOP_CHECK!$B$65:$J$860,9,0),"")</f>
        <v>TViệt -3C1</v>
      </c>
      <c r="AO27" s="40" t="str">
        <f>IFERROR(VLOOKUP($A$26&amp;$C$5&amp;$B27&amp;$AO$4,TKB_LOP_CHECK!$B$65:$J$860,9,0),"")</f>
        <v/>
      </c>
      <c r="AP27" s="40" t="str">
        <f>IFERROR(VLOOKUP($A$26&amp;$D$5&amp;$B27&amp;$AO$4,TKB_LOP_CHECK!$B$65:$J$860,9,0),"")</f>
        <v>Đọc sách -1A1</v>
      </c>
      <c r="AQ27" s="40" t="str">
        <f>IFERROR(VLOOKUP($A$26&amp;$C$5&amp;$B27&amp;$AQ$4,TKB_LOP_CHECK!$B$65:$J$860,9,0),"")</f>
        <v/>
      </c>
      <c r="AR27" s="40" t="str">
        <f>IFERROR(VLOOKUP($A$26&amp;$D$5&amp;$B27&amp;$AQ$4,TKB_LOP_CHECK!$B$65:$J$860,9,0),"")</f>
        <v/>
      </c>
      <c r="AS27" s="40" t="str">
        <f>IFERROR(VLOOKUP($A$26&amp;$C$5&amp;$B27&amp;$AS$4,TKB_LOP_CHECK!$B$65:$J$860,9,0),"")</f>
        <v>Toán -5C1</v>
      </c>
      <c r="AT27" s="40" t="str">
        <f>IFERROR(VLOOKUP($A$26&amp;$D$5&amp;$B27&amp;$AS$4,TKB_LOP_CHECK!$B$65:$J$860,9,0),"")</f>
        <v>Toán -2C1</v>
      </c>
      <c r="AU27" s="40" t="str">
        <f>IFERROR(VLOOKUP($A$26&amp;$C$5&amp;$B27&amp;$AU$4,TKB_LOP_CHECK!$B$65:$J$860,9,0),"")</f>
        <v/>
      </c>
      <c r="AV27" s="40" t="str">
        <f>IFERROR(VLOOKUP($A$26&amp;$D$5&amp;$B27&amp;$AU$4,TKB_LOP_CHECK!$B$65:$J$860,9,0),"")</f>
        <v/>
      </c>
      <c r="AW27" s="40" t="str">
        <f>IFERROR(VLOOKUP($A$26&amp;$C$5&amp;$B27&amp;$AW$4,TKB_LOP_CHECK!$B$65:$J$860,9,0),"")</f>
        <v/>
      </c>
      <c r="AX27" s="40" t="str">
        <f>IFERROR(VLOOKUP($A$26&amp;$D$5&amp;$B27&amp;$AW$4,TKB_LOP_CHECK!$B$65:$J$860,9,0),"")</f>
        <v/>
      </c>
      <c r="AY27" s="40" t="str">
        <f>IFERROR(VLOOKUP($A$26&amp;$C$5&amp;$B27&amp;$AY$4,TKB_LOP_CHECK!$B$65:$J$860,9,0),"")</f>
        <v/>
      </c>
      <c r="AZ27" s="40" t="str">
        <f>IFERROR(VLOOKUP($A$26&amp;$D$5&amp;$B27&amp;$AY$4,TKB_LOP_CHECK!$B$65:$J$860,9,0),"")</f>
        <v/>
      </c>
      <c r="BA27" s="40" t="str">
        <f>IFERROR(VLOOKUP($A$26&amp;$C$5&amp;$B27&amp;$BA$4,TKB_LOP_CHECK!$B$65:$J$860,9,0),"")</f>
        <v/>
      </c>
      <c r="BB27" s="40" t="str">
        <f>IFERROR(VLOOKUP($A$26&amp;$D$5&amp;$B27&amp;$BA$4,TKB_LOP_CHECK!$B$65:$J$860,9,0),"")</f>
        <v/>
      </c>
      <c r="BC27" s="40" t="str">
        <f>IFERROR(VLOOKUP($A$26&amp;$C$5&amp;$B27&amp;$BC$4,TKB_LOP_CHECK!$B$65:$J$860,9,0),"")</f>
        <v/>
      </c>
      <c r="BD27" s="40" t="str">
        <f>IFERROR(VLOOKUP($A$26&amp;$D$5&amp;$B27&amp;$BC$4,TKB_LOP_CHECK!$B$65:$J$860,9,0),"")</f>
        <v/>
      </c>
      <c r="BE27" s="40" t="str">
        <f>IFERROR(VLOOKUP($A$26&amp;$C$5&amp;$B27&amp;$BE$4,TKB_LOP_CHECK!$B$65:$J$860,9,0),"")</f>
        <v/>
      </c>
      <c r="BF27" s="40" t="str">
        <f>IFERROR(VLOOKUP($A$26&amp;$D$5&amp;$B27&amp;$BE$4,TKB_LOP_CHECK!$B$65:$J$860,9,0),"")</f>
        <v/>
      </c>
      <c r="BG27" s="40" t="str">
        <f>IFERROR(VLOOKUP($A$26&amp;$C$5&amp;$B27&amp;$BG$4,TKB_LOP_CHECK!$B$65:$J$860,9,0),"")</f>
        <v/>
      </c>
      <c r="BH27" s="40" t="str">
        <f>IFERROR(VLOOKUP($A$26&amp;$D$5&amp;$B27&amp;$BG$4,TKB_LOP_CHECK!$B$65:$J$860,9,0),"")</f>
        <v/>
      </c>
      <c r="BI27" s="40" t="str">
        <f>IFERROR(VLOOKUP($A$26&amp;$C$5&amp;$B27&amp;$BI$4,TKB_LOP_CHECK!$B$65:$J$860,9,0),"")</f>
        <v/>
      </c>
      <c r="BJ27" s="40" t="str">
        <f>IFERROR(VLOOKUP($A$26&amp;$D$5&amp;$B27&amp;$BI$4,TKB_LOP_CHECK!$B$65:$J$860,9,0),"")</f>
        <v/>
      </c>
      <c r="BK27" s="40" t="str">
        <f>IFERROR(VLOOKUP($A$26&amp;$C$5&amp;$B27&amp;$BK$4,TKB_LOP_CHECK!$B$65:$J$860,9,0),"")</f>
        <v/>
      </c>
      <c r="BL27" s="40" t="str">
        <f>IFERROR(VLOOKUP($A$26&amp;$D$5&amp;$B27&amp;$BK$4,TKB_LOP_CHECK!$B$65:$J$860,9,0),"")</f>
        <v/>
      </c>
      <c r="BM27" s="40" t="str">
        <f>IFERROR(VLOOKUP($A$26&amp;$C$5&amp;$B27&amp;$BM$4,TKB_LOP_CHECK!$B$65:$J$860,9,0),"")</f>
        <v/>
      </c>
      <c r="BN27" s="40" t="str">
        <f>IFERROR(VLOOKUP($A$26&amp;$D$5&amp;$B27&amp;$BM$4,TKB_LOP_CHECK!$B$65:$J$860,9,0),"")</f>
        <v/>
      </c>
      <c r="BO27" s="40" t="str">
        <f>IFERROR(VLOOKUP($A$26&amp;$C$5&amp;$B27&amp;$BO$4,TKB_LOP_CHECK!$A$65:$J$860,10,0),"")</f>
        <v/>
      </c>
      <c r="BP27" s="40" t="str">
        <f>IFERROR(VLOOKUP($A$26&amp;$D$5&amp;$B27&amp;$BO$4,TKB_LOP_CHECK!$A$65:$J$860,10,0),"")</f>
        <v/>
      </c>
      <c r="BQ27" s="40" t="str">
        <f>IFERROR(VLOOKUP($A$26&amp;$C$5&amp;$B27&amp;$BQ$4,TKB_LOP_CHECK!$A$65:$J$860,10,0),"")</f>
        <v/>
      </c>
      <c r="BR27" s="40" t="str">
        <f>IFERROR(VLOOKUP($A$26&amp;$D$5&amp;$B27&amp;$BQ$4,TKB_LOP_CHECK!$A$65:$J$860,10,0),"")</f>
        <v/>
      </c>
      <c r="BS27" s="40" t="str">
        <f>IFERROR(VLOOKUP($A$26&amp;$C$5&amp;$B27&amp;$BS$4,TKB_LOP_CHECK!$A$65:$J$860,10,0),"")</f>
        <v/>
      </c>
      <c r="BT27" s="40" t="str">
        <f>IFERROR(VLOOKUP($A$26&amp;$D$5&amp;$B27&amp;$BS$4,TKB_LOP_CHECK!$A$65:$J$860,10,0),"")</f>
        <v/>
      </c>
      <c r="BU27" s="40" t="str">
        <f>IFERROR(VLOOKUP($A$26&amp;$C$5&amp;$B27&amp;$BU$4,TKB_LOP_CHECK!$A$65:$J$860,10,0),"")</f>
        <v/>
      </c>
      <c r="BV27" s="40" t="str">
        <f>IFERROR(VLOOKUP($A$26&amp;$D$5&amp;$B27&amp;$BU$4,TKB_LOP_CHECK!$A$65:$J$860,10,0),"")</f>
        <v/>
      </c>
    </row>
    <row r="28" spans="1:74" ht="16.7" customHeight="1" x14ac:dyDescent="0.25">
      <c r="A28" s="95"/>
      <c r="B28" s="41">
        <v>3</v>
      </c>
      <c r="C28" s="40" t="str">
        <f>IFERROR(VLOOKUP($A$26&amp;$C$5&amp;$B28&amp;$C$4,TKB_LOP_CHECK!$B$65:$J$860,9,0),"")</f>
        <v/>
      </c>
      <c r="D28" s="40" t="str">
        <f>IFERROR(VLOOKUP($A$26&amp;$D$5&amp;$B28&amp;$C$4,TKB_LOP_CHECK!$B$65:$J$860,9,0),"")</f>
        <v/>
      </c>
      <c r="E28" s="40" t="str">
        <f>IFERROR(VLOOKUP($A$26&amp;$C$5&amp;$B28&amp;$E$4,TKB_LOP_CHECK!$B$65:$J$860,9,0),"")</f>
        <v/>
      </c>
      <c r="F28" s="40" t="str">
        <f>IFERROR(VLOOKUP($A$26&amp;$D$5&amp;$B28&amp;$E$4,TKB_LOP_CHECK!$B$65:$J$860,9,0),"")</f>
        <v/>
      </c>
      <c r="G28" s="40" t="str">
        <f>IFERROR(VLOOKUP($A$26&amp;$C$5&amp;$B28&amp;$G$4,TKB_LOP_CHECK!$B$65:$J$860,9,0),"")</f>
        <v>GVNN -8A1</v>
      </c>
      <c r="H28" s="40" t="str">
        <f>IFERROR(VLOOKUP($A$26&amp;$D$5&amp;$B28&amp;$G$4,TKB_LOP_CHECK!$B$65:$J$860,9,0),"")</f>
        <v/>
      </c>
      <c r="I28" s="40" t="str">
        <f>IFERROR(VLOOKUP($A$26&amp;$C$5&amp;$B28&amp;$I$4,TKB_LOP_CHECK!$B$65:$J$860,9,0),"")</f>
        <v/>
      </c>
      <c r="J28" s="40" t="str">
        <f>IFERROR(VLOOKUP($A$26&amp;$D$5&amp;$B28&amp;$I$4,TKB_LOP_CHECK!$B$65:$J$860,9,0),"")</f>
        <v/>
      </c>
      <c r="K28" s="40" t="str">
        <f>IFERROR(VLOOKUP($A$26&amp;$C$5&amp;$B28&amp;$K$4,TKB_LOP_CHECK!$B$65:$J$860,9,0),"")</f>
        <v/>
      </c>
      <c r="L28" s="40" t="str">
        <f>IFERROR(VLOOKUP($A$26&amp;$D$5&amp;$B28&amp;$K$4,TKB_LOP_CHECK!$B$65:$J$860,9,0),"")</f>
        <v/>
      </c>
      <c r="M28" s="40" t="str">
        <f>IFERROR(VLOOKUP($A$26&amp;$C$5&amp;$B28&amp;$M$4,TKB_LOP_CHECK!$B$65:$J$860,9,0),"")</f>
        <v>GVVN -1A1</v>
      </c>
      <c r="N28" s="40" t="str">
        <f>IFERROR(VLOOKUP($A$26&amp;$D$5&amp;$B28&amp;$M$4,TKB_LOP_CHECK!$B$65:$J$860,9,0),"")</f>
        <v/>
      </c>
      <c r="O28" s="40" t="str">
        <f>IFERROR(VLOOKUP($A$26&amp;$C$5&amp;$B28&amp;$O$4,TKB_LOP_CHECK!$B$65:$J$860,9,0),"")</f>
        <v/>
      </c>
      <c r="P28" s="40" t="str">
        <f>IFERROR(VLOOKUP($A$26&amp;$D$5&amp;$B28&amp;$O$4,TKB_LOP_CHECK!$B$65:$J$860,9,0),"")</f>
        <v/>
      </c>
      <c r="Q28" s="40" t="str">
        <f>IFERROR(VLOOKUP($A$26&amp;$C$5&amp;$B28&amp;$Q$4,TKB_LOP_CHECK!$B$65:$J$860,9,0),"")</f>
        <v/>
      </c>
      <c r="R28" s="40" t="str">
        <f>IFERROR(VLOOKUP($A$26&amp;$D$5&amp;$B28&amp;$Q$4,TKB_LOP_CHECK!$B$65:$J$860,9,0),"")</f>
        <v/>
      </c>
      <c r="S28" s="40" t="str">
        <f>IFERROR(VLOOKUP($A$26&amp;$C$5&amp;$B28&amp;$S$4,TKB_LOP_CHECK!$B$65:$J$860,9,0),"")</f>
        <v>GVNN -8A1</v>
      </c>
      <c r="T28" s="40" t="str">
        <f>IFERROR(VLOOKUP($A$26&amp;$D$5&amp;$B28&amp;$S$4,TKB_LOP_CHECK!$B$65:$J$860,9,0),"")</f>
        <v/>
      </c>
      <c r="U28" s="40" t="str">
        <f>IFERROR(VLOOKUP($A$26&amp;$C$5&amp;$B28&amp;$U$4,TKB_LOP_CHECK!$B$65:$J$860,9,0),"")</f>
        <v/>
      </c>
      <c r="V28" s="40" t="str">
        <f>IFERROR(VLOOKUP($A$26&amp;$D$5&amp;$B28&amp;$U$4,TKB_LOP_CHECK!$B$65:$J$860,9,0),"")</f>
        <v>Văn -7A1</v>
      </c>
      <c r="W28" s="40" t="str">
        <f>IFERROR(VLOOKUP($A$26&amp;$C$5&amp;$B28&amp;$W$4,TKB_LOP_CHECK!$B$65:$J$860,9,0),"")</f>
        <v/>
      </c>
      <c r="X28" s="40" t="str">
        <f>IFERROR(VLOOKUP($A$26&amp;$D$5&amp;$B28&amp;$W$4,TKB_LOP_CHECK!$B$65:$J$860,9,0),"")</f>
        <v/>
      </c>
      <c r="Y28" s="40" t="str">
        <f>IFERROR(VLOOKUP($A$26&amp;$C$5&amp;$B28&amp;$Y$4,TKB_LOP_CHECK!$B$65:$J$860,9,0),"")</f>
        <v>TViệt -5C1</v>
      </c>
      <c r="Z28" s="40" t="str">
        <f>IFERROR(VLOOKUP($A$26&amp;$D$5&amp;$B28&amp;$Y$4,TKB_LOP_CHECK!$B$65:$J$860,9,0),"")</f>
        <v/>
      </c>
      <c r="AA28" s="40" t="str">
        <f>IFERROR(VLOOKUP($A$26&amp;$C$5&amp;$B28&amp;$AA$4,TKB_LOP_CHECK!$B$65:$J$860,9,0),"")</f>
        <v>GVVN -1A1</v>
      </c>
      <c r="AB28" s="40" t="str">
        <f>IFERROR(VLOOKUP($A$26&amp;$D$5&amp;$B28&amp;$AA$4,TKB_LOP_CHECK!$B$65:$J$860,9,0),"")</f>
        <v/>
      </c>
      <c r="AC28" s="40" t="str">
        <f>IFERROR(VLOOKUP($A$26&amp;$C$5&amp;$B28&amp;$AC$4,TKB_LOP_CHECK!$B$65:$J$860,9,0),"")</f>
        <v/>
      </c>
      <c r="AD28" s="40" t="str">
        <f>IFERROR(VLOOKUP($A$26&amp;$D$5&amp;$B28&amp;$AC$4,TKB_LOP_CHECK!$B$65:$J$860,9,0),"")</f>
        <v/>
      </c>
      <c r="AE28" s="40" t="str">
        <f>IFERROR(VLOOKUP($A$26&amp;$C$5&amp;$B28&amp;$AE$4,TKB_LOP_CHECK!$B$65:$J$860,9,0),"")</f>
        <v/>
      </c>
      <c r="AF28" s="40" t="str">
        <f>IFERROR(VLOOKUP($A$26&amp;$D$5&amp;$B28&amp;$AE$4,TKB_LOP_CHECK!$B$65:$J$860,9,0),"")</f>
        <v>GVVN -3C1</v>
      </c>
      <c r="AG28" s="40" t="str">
        <f>IFERROR(VLOOKUP($A$26&amp;$C$5&amp;$B28&amp;$AG$4,TKB_LOP_CHECK!$B$65:$J$860,9,0),"")</f>
        <v>GVVN -1A1</v>
      </c>
      <c r="AH28" s="40" t="str">
        <f>IFERROR(VLOOKUP($A$26&amp;$D$5&amp;$B28&amp;$AG$4,TKB_LOP_CHECK!$B$65:$J$860,9,0),"")</f>
        <v/>
      </c>
      <c r="AI28" s="40" t="str">
        <f>IFERROR(VLOOKUP($A$26&amp;$C$5&amp;$B28&amp;$AI$4,TKB_LOP_CHECK!$B$65:$J$860,9,0),"")</f>
        <v/>
      </c>
      <c r="AJ28" s="40" t="str">
        <f>IFERROR(VLOOKUP($A$26&amp;$D$5&amp;$B28&amp;$AI$4,TKB_LOP_CHECK!$B$65:$J$860,9,0),"")</f>
        <v/>
      </c>
      <c r="AK28" s="40" t="str">
        <f>IFERROR(VLOOKUP($A$26&amp;$C$5&amp;$B28&amp;$AK$4,TKB_LOP_CHECK!$B$65:$J$860,9,0),"")</f>
        <v>Mĩ thuật -1C1</v>
      </c>
      <c r="AL28" s="40" t="str">
        <f>IFERROR(VLOOKUP($A$26&amp;$D$5&amp;$B28&amp;$AK$4,TKB_LOP_CHECK!$B$65:$J$860,9,0),"")</f>
        <v>Mĩ thuật -2A1</v>
      </c>
      <c r="AM28" s="40" t="str">
        <f>IFERROR(VLOOKUP($A$26&amp;$C$5&amp;$B28&amp;$AM$4,TKB_LOP_CHECK!$B$65:$J$860,9,0),"")</f>
        <v>TViệt -4C1</v>
      </c>
      <c r="AN28" s="40" t="str">
        <f>IFERROR(VLOOKUP($A$26&amp;$D$5&amp;$B28&amp;$AM$4,TKB_LOP_CHECK!$B$65:$J$860,9,0),"")</f>
        <v>LS&amp;ĐL -5C1</v>
      </c>
      <c r="AO28" s="40" t="str">
        <f>IFERROR(VLOOKUP($A$26&amp;$C$5&amp;$B28&amp;$AO$4,TKB_LOP_CHECK!$B$65:$J$860,9,0),"")</f>
        <v>TViệt -2C1</v>
      </c>
      <c r="AP28" s="40" t="str">
        <f>IFERROR(VLOOKUP($A$26&amp;$D$5&amp;$B28&amp;$AO$4,TKB_LOP_CHECK!$B$65:$J$860,9,0),"")</f>
        <v>Viết sáng tạo -2C1</v>
      </c>
      <c r="AQ28" s="40" t="str">
        <f>IFERROR(VLOOKUP($A$26&amp;$C$5&amp;$B28&amp;$AQ$4,TKB_LOP_CHECK!$B$65:$J$860,9,0),"")</f>
        <v/>
      </c>
      <c r="AR28" s="40" t="str">
        <f>IFERROR(VLOOKUP($A$26&amp;$D$5&amp;$B28&amp;$AQ$4,TKB_LOP_CHECK!$B$65:$J$860,9,0),"")</f>
        <v/>
      </c>
      <c r="AS28" s="40" t="str">
        <f>IFERROR(VLOOKUP($A$26&amp;$C$5&amp;$B28&amp;$AS$4,TKB_LOP_CHECK!$B$65:$J$860,9,0),"")</f>
        <v/>
      </c>
      <c r="AT28" s="40" t="str">
        <f>IFERROR(VLOOKUP($A$26&amp;$D$5&amp;$B28&amp;$AS$4,TKB_LOP_CHECK!$B$65:$J$860,9,0),"")</f>
        <v/>
      </c>
      <c r="AU28" s="40" t="str">
        <f>IFERROR(VLOOKUP($A$26&amp;$C$5&amp;$B28&amp;$AU$4,TKB_LOP_CHECK!$B$65:$J$860,9,0),"")</f>
        <v/>
      </c>
      <c r="AV28" s="40" t="str">
        <f>IFERROR(VLOOKUP($A$26&amp;$D$5&amp;$B28&amp;$AU$4,TKB_LOP_CHECK!$B$65:$J$860,9,0),"")</f>
        <v/>
      </c>
      <c r="AW28" s="40" t="str">
        <f>IFERROR(VLOOKUP($A$26&amp;$C$5&amp;$B28&amp;$AW$4,TKB_LOP_CHECK!$B$65:$J$860,9,0),"")</f>
        <v/>
      </c>
      <c r="AX28" s="40" t="str">
        <f>IFERROR(VLOOKUP($A$26&amp;$D$5&amp;$B28&amp;$AW$4,TKB_LOP_CHECK!$B$65:$J$860,9,0),"")</f>
        <v/>
      </c>
      <c r="AY28" s="40" t="str">
        <f>IFERROR(VLOOKUP($A$26&amp;$C$5&amp;$B28&amp;$AY$4,TKB_LOP_CHECK!$B$65:$J$860,9,0),"")</f>
        <v/>
      </c>
      <c r="AZ28" s="40" t="str">
        <f>IFERROR(VLOOKUP($A$26&amp;$D$5&amp;$B28&amp;$AY$4,TKB_LOP_CHECK!$B$65:$J$860,9,0),"")</f>
        <v/>
      </c>
      <c r="BA28" s="40" t="str">
        <f>IFERROR(VLOOKUP($A$26&amp;$C$5&amp;$B28&amp;$BA$4,TKB_LOP_CHECK!$B$65:$J$860,9,0),"")</f>
        <v/>
      </c>
      <c r="BB28" s="40" t="str">
        <f>IFERROR(VLOOKUP($A$26&amp;$D$5&amp;$B28&amp;$BA$4,TKB_LOP_CHECK!$B$65:$J$860,9,0),"")</f>
        <v/>
      </c>
      <c r="BC28" s="40" t="str">
        <f>IFERROR(VLOOKUP($A$26&amp;$C$5&amp;$B28&amp;$BC$4,TKB_LOP_CHECK!$B$65:$J$860,9,0),"")</f>
        <v/>
      </c>
      <c r="BD28" s="40" t="str">
        <f>IFERROR(VLOOKUP($A$26&amp;$D$5&amp;$B28&amp;$BC$4,TKB_LOP_CHECK!$B$65:$J$860,9,0),"")</f>
        <v/>
      </c>
      <c r="BE28" s="40" t="str">
        <f>IFERROR(VLOOKUP($A$26&amp;$C$5&amp;$B28&amp;$BE$4,TKB_LOP_CHECK!$B$65:$J$860,9,0),"")</f>
        <v/>
      </c>
      <c r="BF28" s="40" t="str">
        <f>IFERROR(VLOOKUP($A$26&amp;$D$5&amp;$B28&amp;$BE$4,TKB_LOP_CHECK!$B$65:$J$860,9,0),"")</f>
        <v/>
      </c>
      <c r="BG28" s="40" t="str">
        <f>IFERROR(VLOOKUP($A$26&amp;$C$5&amp;$B28&amp;$BG$4,TKB_LOP_CHECK!$B$65:$J$860,9,0),"")</f>
        <v/>
      </c>
      <c r="BH28" s="40" t="str">
        <f>IFERROR(VLOOKUP($A$26&amp;$D$5&amp;$B28&amp;$BG$4,TKB_LOP_CHECK!$B$65:$J$860,9,0),"")</f>
        <v/>
      </c>
      <c r="BI28" s="40" t="str">
        <f>IFERROR(VLOOKUP($A$26&amp;$C$5&amp;$B28&amp;$BI$4,TKB_LOP_CHECK!$B$65:$J$860,9,0),"")</f>
        <v/>
      </c>
      <c r="BJ28" s="40" t="str">
        <f>IFERROR(VLOOKUP($A$26&amp;$D$5&amp;$B28&amp;$BI$4,TKB_LOP_CHECK!$B$65:$J$860,9,0),"")</f>
        <v/>
      </c>
      <c r="BK28" s="40" t="str">
        <f>IFERROR(VLOOKUP($A$26&amp;$C$5&amp;$B28&amp;$BK$4,TKB_LOP_CHECK!$B$65:$J$860,9,0),"")</f>
        <v/>
      </c>
      <c r="BL28" s="40" t="str">
        <f>IFERROR(VLOOKUP($A$26&amp;$D$5&amp;$B28&amp;$BK$4,TKB_LOP_CHECK!$B$65:$J$860,9,0),"")</f>
        <v/>
      </c>
      <c r="BM28" s="40" t="str">
        <f>IFERROR(VLOOKUP($A$26&amp;$C$5&amp;$B28&amp;$BM$4,TKB_LOP_CHECK!$B$65:$J$860,9,0),"")</f>
        <v/>
      </c>
      <c r="BN28" s="40" t="str">
        <f>IFERROR(VLOOKUP($A$26&amp;$D$5&amp;$B28&amp;$BM$4,TKB_LOP_CHECK!$B$65:$J$860,9,0),"")</f>
        <v/>
      </c>
      <c r="BO28" s="40" t="str">
        <f>IFERROR(VLOOKUP($A$26&amp;$C$5&amp;$B28&amp;$BO$4,TKB_LOP_CHECK!$A$65:$J$860,10,0),"")</f>
        <v/>
      </c>
      <c r="BP28" s="40" t="str">
        <f>IFERROR(VLOOKUP($A$26&amp;$D$5&amp;$B28&amp;$BO$4,TKB_LOP_CHECK!$A$65:$J$860,10,0),"")</f>
        <v/>
      </c>
      <c r="BQ28" s="40" t="str">
        <f>IFERROR(VLOOKUP($A$26&amp;$C$5&amp;$B28&amp;$BQ$4,TKB_LOP_CHECK!$A$65:$J$860,10,0),"")</f>
        <v>GVNN -8A1</v>
      </c>
      <c r="BR28" s="40" t="str">
        <f>IFERROR(VLOOKUP($A$26&amp;$D$5&amp;$B28&amp;$BQ$4,TKB_LOP_CHECK!$A$65:$J$860,10,0),"")</f>
        <v/>
      </c>
      <c r="BS28" s="40" t="str">
        <f>IFERROR(VLOOKUP($A$26&amp;$C$5&amp;$B28&amp;$BS$4,TKB_LOP_CHECK!$A$65:$J$860,10,0),"")</f>
        <v/>
      </c>
      <c r="BT28" s="40" t="str">
        <f>IFERROR(VLOOKUP($A$26&amp;$D$5&amp;$B28&amp;$BS$4,TKB_LOP_CHECK!$A$65:$J$860,10,0),"")</f>
        <v/>
      </c>
      <c r="BU28" s="40" t="str">
        <f>IFERROR(VLOOKUP($A$26&amp;$C$5&amp;$B28&amp;$BU$4,TKB_LOP_CHECK!$A$65:$J$860,10,0),"")</f>
        <v/>
      </c>
      <c r="BV28" s="40" t="str">
        <f>IFERROR(VLOOKUP($A$26&amp;$D$5&amp;$B28&amp;$BU$4,TKB_LOP_CHECK!$A$65:$J$860,10,0),"")</f>
        <v/>
      </c>
    </row>
    <row r="29" spans="1:74" ht="16.7" customHeight="1" x14ac:dyDescent="0.25">
      <c r="A29" s="95"/>
      <c r="B29" s="41">
        <v>4</v>
      </c>
      <c r="C29" s="40" t="str">
        <f>IFERROR(VLOOKUP($A$26&amp;$C$5&amp;$B29&amp;$C$4,TKB_LOP_CHECK!$B$65:$J$860,9,0),"")</f>
        <v/>
      </c>
      <c r="D29" s="40" t="str">
        <f>IFERROR(VLOOKUP($A$26&amp;$D$5&amp;$B29&amp;$C$4,TKB_LOP_CHECK!$B$65:$J$860,9,0),"")</f>
        <v/>
      </c>
      <c r="E29" s="40" t="str">
        <f>IFERROR(VLOOKUP($A$26&amp;$C$5&amp;$B29&amp;$E$4,TKB_LOP_CHECK!$B$65:$J$860,9,0),"")</f>
        <v/>
      </c>
      <c r="F29" s="40" t="str">
        <f>IFERROR(VLOOKUP($A$26&amp;$D$5&amp;$B29&amp;$E$4,TKB_LOP_CHECK!$B$65:$J$860,9,0),"")</f>
        <v/>
      </c>
      <c r="G29" s="40" t="str">
        <f>IFERROR(VLOOKUP($A$26&amp;$C$5&amp;$B29&amp;$G$4,TKB_LOP_CHECK!$B$65:$J$860,9,0),"")</f>
        <v>GVVN -8A1</v>
      </c>
      <c r="H29" s="40" t="str">
        <f>IFERROR(VLOOKUP($A$26&amp;$D$5&amp;$B29&amp;$G$4,TKB_LOP_CHECK!$B$65:$J$860,9,0),"")</f>
        <v>GVVN -4C1</v>
      </c>
      <c r="I29" s="40" t="str">
        <f>IFERROR(VLOOKUP($A$26&amp;$C$5&amp;$B29&amp;$I$4,TKB_LOP_CHECK!$B$65:$J$860,9,0),"")</f>
        <v/>
      </c>
      <c r="J29" s="40" t="str">
        <f>IFERROR(VLOOKUP($A$26&amp;$D$5&amp;$B29&amp;$I$4,TKB_LOP_CHECK!$B$65:$J$860,9,0),"")</f>
        <v>Toán -5C1</v>
      </c>
      <c r="K29" s="40" t="str">
        <f>IFERROR(VLOOKUP($A$26&amp;$C$5&amp;$B29&amp;$K$4,TKB_LOP_CHECK!$B$65:$J$860,9,0),"")</f>
        <v/>
      </c>
      <c r="L29" s="40" t="str">
        <f>IFERROR(VLOOKUP($A$26&amp;$D$5&amp;$B29&amp;$K$4,TKB_LOP_CHECK!$B$65:$J$860,9,0),"")</f>
        <v>Toán -5C1</v>
      </c>
      <c r="M29" s="40" t="str">
        <f>IFERROR(VLOOKUP($A$26&amp;$C$5&amp;$B29&amp;$M$4,TKB_LOP_CHECK!$B$65:$J$860,9,0),"")</f>
        <v/>
      </c>
      <c r="N29" s="40" t="str">
        <f>IFERROR(VLOOKUP($A$26&amp;$D$5&amp;$B29&amp;$M$4,TKB_LOP_CHECK!$B$65:$J$860,9,0),"")</f>
        <v/>
      </c>
      <c r="O29" s="40" t="str">
        <f>IFERROR(VLOOKUP($A$26&amp;$C$5&amp;$B29&amp;$O$4,TKB_LOP_CHECK!$B$65:$J$860,9,0),"")</f>
        <v>TViệt -TTH1</v>
      </c>
      <c r="P29" s="40" t="str">
        <f>IFERROR(VLOOKUP($A$26&amp;$D$5&amp;$B29&amp;$O$4,TKB_LOP_CHECK!$B$65:$J$860,9,0),"")</f>
        <v>Toán -TTH1</v>
      </c>
      <c r="Q29" s="40" t="str">
        <f>IFERROR(VLOOKUP($A$26&amp;$C$5&amp;$B29&amp;$Q$4,TKB_LOP_CHECK!$B$65:$J$860,9,0),"")</f>
        <v>GDTC -7A1</v>
      </c>
      <c r="R29" s="40" t="str">
        <f>IFERROR(VLOOKUP($A$26&amp;$D$5&amp;$B29&amp;$Q$4,TKB_LOP_CHECK!$B$65:$J$860,9,0),"")</f>
        <v/>
      </c>
      <c r="S29" s="40" t="str">
        <f>IFERROR(VLOOKUP($A$26&amp;$C$5&amp;$B29&amp;$S$4,TKB_LOP_CHECK!$B$65:$J$860,9,0),"")</f>
        <v>GVVN -8A1</v>
      </c>
      <c r="T29" s="40" t="str">
        <f>IFERROR(VLOOKUP($A$26&amp;$D$5&amp;$B29&amp;$S$4,TKB_LOP_CHECK!$B$65:$J$860,9,0),"")</f>
        <v>GVVN -4C1</v>
      </c>
      <c r="U29" s="40" t="str">
        <f>IFERROR(VLOOKUP($A$26&amp;$C$5&amp;$B29&amp;$U$4,TKB_LOP_CHECK!$B$65:$J$860,9,0),"")</f>
        <v/>
      </c>
      <c r="V29" s="40" t="str">
        <f>IFERROR(VLOOKUP($A$26&amp;$D$5&amp;$B29&amp;$U$4,TKB_LOP_CHECK!$B$65:$J$860,9,0),"")</f>
        <v>Văn -7A1</v>
      </c>
      <c r="W29" s="40" t="str">
        <f>IFERROR(VLOOKUP($A$26&amp;$C$5&amp;$B29&amp;$W$4,TKB_LOP_CHECK!$B$65:$J$860,9,0),"")</f>
        <v/>
      </c>
      <c r="X29" s="40" t="str">
        <f>IFERROR(VLOOKUP($A$26&amp;$D$5&amp;$B29&amp;$W$4,TKB_LOP_CHECK!$B$65:$J$860,9,0),"")</f>
        <v/>
      </c>
      <c r="Y29" s="40" t="str">
        <f>IFERROR(VLOOKUP($A$26&amp;$C$5&amp;$B29&amp;$Y$4,TKB_LOP_CHECK!$B$65:$J$860,9,0),"")</f>
        <v>TViệt -5C1</v>
      </c>
      <c r="Z29" s="40" t="str">
        <f>IFERROR(VLOOKUP($A$26&amp;$D$5&amp;$B29&amp;$Y$4,TKB_LOP_CHECK!$B$65:$J$860,9,0),"")</f>
        <v>Toán -3A1</v>
      </c>
      <c r="AA29" s="40" t="str">
        <f>IFERROR(VLOOKUP($A$26&amp;$C$5&amp;$B29&amp;$AA$4,TKB_LOP_CHECK!$B$65:$J$860,9,0),"")</f>
        <v/>
      </c>
      <c r="AB29" s="40" t="str">
        <f>IFERROR(VLOOKUP($A$26&amp;$D$5&amp;$B29&amp;$AA$4,TKB_LOP_CHECK!$B$65:$J$860,9,0),"")</f>
        <v/>
      </c>
      <c r="AC29" s="40" t="str">
        <f>IFERROR(VLOOKUP($A$26&amp;$C$5&amp;$B29&amp;$AC$4,TKB_LOP_CHECK!$B$65:$J$860,9,0),"")</f>
        <v/>
      </c>
      <c r="AD29" s="40" t="str">
        <f>IFERROR(VLOOKUP($A$26&amp;$D$5&amp;$B29&amp;$AC$4,TKB_LOP_CHECK!$B$65:$J$860,9,0),"")</f>
        <v/>
      </c>
      <c r="AE29" s="40" t="str">
        <f>IFERROR(VLOOKUP($A$26&amp;$C$5&amp;$B29&amp;$AE$4,TKB_LOP_CHECK!$B$65:$J$860,9,0),"")</f>
        <v>GVVN -3C1</v>
      </c>
      <c r="AF29" s="40" t="str">
        <f>IFERROR(VLOOKUP($A$26&amp;$D$5&amp;$B29&amp;$AE$4,TKB_LOP_CHECK!$B$65:$J$860,9,0),"")</f>
        <v/>
      </c>
      <c r="AG29" s="40" t="str">
        <f>IFERROR(VLOOKUP($A$26&amp;$C$5&amp;$B29&amp;$AG$4,TKB_LOP_CHECK!$B$65:$J$860,9,0),"")</f>
        <v/>
      </c>
      <c r="AH29" s="40" t="str">
        <f>IFERROR(VLOOKUP($A$26&amp;$D$5&amp;$B29&amp;$AG$4,TKB_LOP_CHECK!$B$65:$J$860,9,0),"")</f>
        <v/>
      </c>
      <c r="AI29" s="40" t="str">
        <f>IFERROR(VLOOKUP($A$26&amp;$C$5&amp;$B29&amp;$AI$4,TKB_LOP_CHECK!$B$65:$J$860,9,0),"")</f>
        <v/>
      </c>
      <c r="AJ29" s="40" t="str">
        <f>IFERROR(VLOOKUP($A$26&amp;$D$5&amp;$B29&amp;$AI$4,TKB_LOP_CHECK!$B$65:$J$860,9,0),"")</f>
        <v/>
      </c>
      <c r="AK29" s="40" t="str">
        <f>IFERROR(VLOOKUP($A$26&amp;$C$5&amp;$B29&amp;$AK$4,TKB_LOP_CHECK!$B$65:$J$860,9,0),"")</f>
        <v>Mĩ thuật -3A1</v>
      </c>
      <c r="AL29" s="40" t="str">
        <f>IFERROR(VLOOKUP($A$26&amp;$D$5&amp;$B29&amp;$AK$4,TKB_LOP_CHECK!$B$65:$J$860,9,0),"")</f>
        <v/>
      </c>
      <c r="AM29" s="40" t="str">
        <f>IFERROR(VLOOKUP($A$26&amp;$C$5&amp;$B29&amp;$AM$4,TKB_LOP_CHECK!$B$65:$J$860,9,0),"")</f>
        <v>LS&amp;ĐL -4C1</v>
      </c>
      <c r="AN29" s="40" t="str">
        <f>IFERROR(VLOOKUP($A$26&amp;$D$5&amp;$B29&amp;$AM$4,TKB_LOP_CHECK!$B$65:$J$860,9,0),"")</f>
        <v>HĐTN -3C1</v>
      </c>
      <c r="AO29" s="40" t="str">
        <f>IFERROR(VLOOKUP($A$26&amp;$C$5&amp;$B29&amp;$AO$4,TKB_LOP_CHECK!$B$65:$J$860,9,0),"")</f>
        <v>TViệt -2C1</v>
      </c>
      <c r="AP29" s="40" t="str">
        <f>IFERROR(VLOOKUP($A$26&amp;$D$5&amp;$B29&amp;$AO$4,TKB_LOP_CHECK!$B$65:$J$860,9,0),"")</f>
        <v>HĐTN -2C1</v>
      </c>
      <c r="AQ29" s="40" t="str">
        <f>IFERROR(VLOOKUP($A$26&amp;$C$5&amp;$B29&amp;$AQ$4,TKB_LOP_CHECK!$B$65:$J$860,9,0),"")</f>
        <v/>
      </c>
      <c r="AR29" s="40" t="str">
        <f>IFERROR(VLOOKUP($A$26&amp;$D$5&amp;$B29&amp;$AQ$4,TKB_LOP_CHECK!$B$65:$J$860,9,0),"")</f>
        <v/>
      </c>
      <c r="AS29" s="40" t="str">
        <f>IFERROR(VLOOKUP($A$26&amp;$C$5&amp;$B29&amp;$AS$4,TKB_LOP_CHECK!$B$65:$J$860,9,0),"")</f>
        <v/>
      </c>
      <c r="AT29" s="40" t="str">
        <f>IFERROR(VLOOKUP($A$26&amp;$D$5&amp;$B29&amp;$AS$4,TKB_LOP_CHECK!$B$65:$J$860,9,0),"")</f>
        <v>Toán -5C1</v>
      </c>
      <c r="AU29" s="40" t="str">
        <f>IFERROR(VLOOKUP($A$26&amp;$C$5&amp;$B29&amp;$AU$4,TKB_LOP_CHECK!$B$65:$J$860,9,0),"")</f>
        <v/>
      </c>
      <c r="AV29" s="40" t="str">
        <f>IFERROR(VLOOKUP($A$26&amp;$D$5&amp;$B29&amp;$AU$4,TKB_LOP_CHECK!$B$65:$J$860,9,0),"")</f>
        <v/>
      </c>
      <c r="AW29" s="40" t="str">
        <f>IFERROR(VLOOKUP($A$26&amp;$C$5&amp;$B29&amp;$AW$4,TKB_LOP_CHECK!$B$65:$J$860,9,0),"")</f>
        <v/>
      </c>
      <c r="AX29" s="40" t="str">
        <f>IFERROR(VLOOKUP($A$26&amp;$D$5&amp;$B29&amp;$AW$4,TKB_LOP_CHECK!$B$65:$J$860,9,0),"")</f>
        <v/>
      </c>
      <c r="AY29" s="40" t="str">
        <f>IFERROR(VLOOKUP($A$26&amp;$C$5&amp;$B29&amp;$AY$4,TKB_LOP_CHECK!$B$65:$J$860,9,0),"")</f>
        <v/>
      </c>
      <c r="AZ29" s="40" t="str">
        <f>IFERROR(VLOOKUP($A$26&amp;$D$5&amp;$B29&amp;$AY$4,TKB_LOP_CHECK!$B$65:$J$860,9,0),"")</f>
        <v/>
      </c>
      <c r="BA29" s="40" t="str">
        <f>IFERROR(VLOOKUP($A$26&amp;$C$5&amp;$B29&amp;$BA$4,TKB_LOP_CHECK!$B$65:$J$860,9,0),"")</f>
        <v/>
      </c>
      <c r="BB29" s="40" t="str">
        <f>IFERROR(VLOOKUP($A$26&amp;$D$5&amp;$B29&amp;$BA$4,TKB_LOP_CHECK!$B$65:$J$860,9,0),"")</f>
        <v/>
      </c>
      <c r="BC29" s="40" t="str">
        <f>IFERROR(VLOOKUP($A$26&amp;$C$5&amp;$B29&amp;$BC$4,TKB_LOP_CHECK!$B$65:$J$860,9,0),"")</f>
        <v/>
      </c>
      <c r="BD29" s="40" t="str">
        <f>IFERROR(VLOOKUP($A$26&amp;$D$5&amp;$B29&amp;$BC$4,TKB_LOP_CHECK!$B$65:$J$860,9,0),"")</f>
        <v/>
      </c>
      <c r="BE29" s="40" t="str">
        <f>IFERROR(VLOOKUP($A$26&amp;$C$5&amp;$B29&amp;$BE$4,TKB_LOP_CHECK!$B$65:$J$860,9,0),"")</f>
        <v/>
      </c>
      <c r="BF29" s="40" t="str">
        <f>IFERROR(VLOOKUP($A$26&amp;$D$5&amp;$B29&amp;$BE$4,TKB_LOP_CHECK!$B$65:$J$860,9,0),"")</f>
        <v/>
      </c>
      <c r="BG29" s="40" t="str">
        <f>IFERROR(VLOOKUP($A$26&amp;$C$5&amp;$B29&amp;$BG$4,TKB_LOP_CHECK!$B$65:$J$860,9,0),"")</f>
        <v/>
      </c>
      <c r="BH29" s="40" t="str">
        <f>IFERROR(VLOOKUP($A$26&amp;$D$5&amp;$B29&amp;$BG$4,TKB_LOP_CHECK!$B$65:$J$860,9,0),"")</f>
        <v/>
      </c>
      <c r="BI29" s="40" t="str">
        <f>IFERROR(VLOOKUP($A$26&amp;$C$5&amp;$B29&amp;$BI$4,TKB_LOP_CHECK!$B$65:$J$860,9,0),"")</f>
        <v/>
      </c>
      <c r="BJ29" s="40" t="str">
        <f>IFERROR(VLOOKUP($A$26&amp;$D$5&amp;$B29&amp;$BI$4,TKB_LOP_CHECK!$B$65:$J$860,9,0),"")</f>
        <v/>
      </c>
      <c r="BK29" s="40" t="str">
        <f>IFERROR(VLOOKUP($A$26&amp;$C$5&amp;$B29&amp;$BK$4,TKB_LOP_CHECK!$B$65:$J$860,9,0),"")</f>
        <v/>
      </c>
      <c r="BL29" s="40" t="str">
        <f>IFERROR(VLOOKUP($A$26&amp;$D$5&amp;$B29&amp;$BK$4,TKB_LOP_CHECK!$B$65:$J$860,9,0),"")</f>
        <v/>
      </c>
      <c r="BM29" s="40" t="str">
        <f>IFERROR(VLOOKUP($A$26&amp;$C$5&amp;$B29&amp;$BM$4,TKB_LOP_CHECK!$B$65:$J$860,9,0),"")</f>
        <v/>
      </c>
      <c r="BN29" s="40" t="str">
        <f>IFERROR(VLOOKUP($A$26&amp;$D$5&amp;$B29&amp;$BM$4,TKB_LOP_CHECK!$B$65:$J$860,9,0),"")</f>
        <v/>
      </c>
      <c r="BO29" s="40" t="str">
        <f>IFERROR(VLOOKUP($A$26&amp;$C$5&amp;$B29&amp;$BO$4,TKB_LOP_CHECK!$A$65:$J$860,10,0),"")</f>
        <v/>
      </c>
      <c r="BP29" s="40" t="str">
        <f>IFERROR(VLOOKUP($A$26&amp;$D$5&amp;$B29&amp;$BO$4,TKB_LOP_CHECK!$A$65:$J$860,10,0),"")</f>
        <v/>
      </c>
      <c r="BQ29" s="40" t="str">
        <f>IFERROR(VLOOKUP($A$26&amp;$C$5&amp;$B29&amp;$BQ$4,TKB_LOP_CHECK!$A$65:$J$860,10,0),"")</f>
        <v/>
      </c>
      <c r="BR29" s="40" t="str">
        <f>IFERROR(VLOOKUP($A$26&amp;$D$5&amp;$B29&amp;$BQ$4,TKB_LOP_CHECK!$A$65:$J$860,10,0),"")</f>
        <v/>
      </c>
      <c r="BS29" s="40" t="str">
        <f>IFERROR(VLOOKUP($A$26&amp;$C$5&amp;$B29&amp;$BS$4,TKB_LOP_CHECK!$A$65:$J$860,10,0),"")</f>
        <v/>
      </c>
      <c r="BT29" s="40" t="str">
        <f>IFERROR(VLOOKUP($A$26&amp;$D$5&amp;$B29&amp;$BS$4,TKB_LOP_CHECK!$A$65:$J$860,10,0),"")</f>
        <v/>
      </c>
      <c r="BU29" s="40" t="str">
        <f>IFERROR(VLOOKUP($A$26&amp;$C$5&amp;$B29&amp;$BU$4,TKB_LOP_CHECK!$A$65:$J$860,10,0),"")</f>
        <v/>
      </c>
      <c r="BV29" s="40" t="str">
        <f>IFERROR(VLOOKUP($A$26&amp;$D$5&amp;$B29&amp;$BU$4,TKB_LOP_CHECK!$A$65:$J$860,10,0),"")</f>
        <v/>
      </c>
    </row>
    <row r="30" spans="1:74" ht="16.7" customHeight="1" x14ac:dyDescent="0.25">
      <c r="A30" s="96"/>
      <c r="B30" s="42">
        <v>5</v>
      </c>
      <c r="C30" s="40" t="str">
        <f>IFERROR(VLOOKUP($A$26&amp;$C$5&amp;$B30&amp;$C$4,TKB_LOP_CHECK!$B$65:$J$860,9,0),"")</f>
        <v/>
      </c>
      <c r="D30" s="40" t="str">
        <f>IFERROR(VLOOKUP($A$26&amp;$D$5&amp;$B30&amp;$C$4,TKB_LOP_CHECK!$B$65:$J$860,9,0),"")</f>
        <v/>
      </c>
      <c r="E30" s="40" t="str">
        <f>IFERROR(VLOOKUP($A$26&amp;$C$5&amp;$B30&amp;$E$4,TKB_LOP_CHECK!$B$65:$J$860,9,0),"")</f>
        <v/>
      </c>
      <c r="F30" s="40" t="str">
        <f>IFERROR(VLOOKUP($A$26&amp;$D$5&amp;$B30&amp;$E$4,TKB_LOP_CHECK!$B$65:$J$860,9,0),"")</f>
        <v/>
      </c>
      <c r="G30" s="40" t="str">
        <f>IFERROR(VLOOKUP($A$26&amp;$C$5&amp;$B30&amp;$G$4,TKB_LOP_CHECK!$B$65:$J$860,9,0),"")</f>
        <v/>
      </c>
      <c r="H30" s="40" t="str">
        <f>IFERROR(VLOOKUP($A$26&amp;$D$5&amp;$B30&amp;$G$4,TKB_LOP_CHECK!$B$65:$J$860,9,0),"")</f>
        <v/>
      </c>
      <c r="I30" s="40" t="str">
        <f>IFERROR(VLOOKUP($A$26&amp;$C$5&amp;$B30&amp;$I$4,TKB_LOP_CHECK!$B$65:$J$860,9,0),"")</f>
        <v/>
      </c>
      <c r="J30" s="40" t="str">
        <f>IFERROR(VLOOKUP($A$26&amp;$D$5&amp;$B30&amp;$I$4,TKB_LOP_CHECK!$B$65:$J$860,9,0),"")</f>
        <v/>
      </c>
      <c r="K30" s="40" t="str">
        <f>IFERROR(VLOOKUP($A$26&amp;$C$5&amp;$B30&amp;$K$4,TKB_LOP_CHECK!$B$65:$J$860,9,0),"")</f>
        <v/>
      </c>
      <c r="L30" s="40" t="str">
        <f>IFERROR(VLOOKUP($A$26&amp;$D$5&amp;$B30&amp;$K$4,TKB_LOP_CHECK!$B$65:$J$860,9,0),"")</f>
        <v/>
      </c>
      <c r="M30" s="40" t="str">
        <f>IFERROR(VLOOKUP($A$26&amp;$C$5&amp;$B30&amp;$M$4,TKB_LOP_CHECK!$B$65:$J$860,9,0),"")</f>
        <v/>
      </c>
      <c r="N30" s="40" t="str">
        <f>IFERROR(VLOOKUP($A$26&amp;$D$5&amp;$B30&amp;$M$4,TKB_LOP_CHECK!$B$65:$J$860,9,0),"")</f>
        <v/>
      </c>
      <c r="O30" s="40" t="str">
        <f>IFERROR(VLOOKUP($A$26&amp;$C$5&amp;$B30&amp;$O$4,TKB_LOP_CHECK!$B$65:$J$860,9,0),"")</f>
        <v/>
      </c>
      <c r="P30" s="40" t="str">
        <f>IFERROR(VLOOKUP($A$26&amp;$D$5&amp;$B30&amp;$O$4,TKB_LOP_CHECK!$B$65:$J$860,9,0),"")</f>
        <v/>
      </c>
      <c r="Q30" s="40" t="str">
        <f>IFERROR(VLOOKUP($A$26&amp;$C$5&amp;$B30&amp;$Q$4,TKB_LOP_CHECK!$B$65:$J$860,9,0),"")</f>
        <v/>
      </c>
      <c r="R30" s="40" t="str">
        <f>IFERROR(VLOOKUP($A$26&amp;$D$5&amp;$B30&amp;$Q$4,TKB_LOP_CHECK!$B$65:$J$860,9,0),"")</f>
        <v/>
      </c>
      <c r="S30" s="40" t="str">
        <f>IFERROR(VLOOKUP($A$26&amp;$C$5&amp;$B30&amp;$S$4,TKB_LOP_CHECK!$B$65:$J$860,9,0),"")</f>
        <v/>
      </c>
      <c r="T30" s="40" t="str">
        <f>IFERROR(VLOOKUP($A$26&amp;$D$5&amp;$B30&amp;$S$4,TKB_LOP_CHECK!$B$65:$J$860,9,0),"")</f>
        <v/>
      </c>
      <c r="U30" s="40" t="str">
        <f>IFERROR(VLOOKUP($A$26&amp;$C$5&amp;$B30&amp;$U$4,TKB_LOP_CHECK!$B$65:$J$860,9,0),"")</f>
        <v/>
      </c>
      <c r="V30" s="40" t="str">
        <f>IFERROR(VLOOKUP($A$26&amp;$D$5&amp;$B30&amp;$U$4,TKB_LOP_CHECK!$B$65:$J$860,9,0),"")</f>
        <v/>
      </c>
      <c r="W30" s="40" t="str">
        <f>IFERROR(VLOOKUP($A$26&amp;$C$5&amp;$B30&amp;$W$4,TKB_LOP_CHECK!$B$65:$J$860,9,0),"")</f>
        <v/>
      </c>
      <c r="X30" s="40" t="str">
        <f>IFERROR(VLOOKUP($A$26&amp;$D$5&amp;$B30&amp;$W$4,TKB_LOP_CHECK!$B$65:$J$860,9,0),"")</f>
        <v/>
      </c>
      <c r="Y30" s="40" t="str">
        <f>IFERROR(VLOOKUP($A$26&amp;$C$5&amp;$B30&amp;$Y$4,TKB_LOP_CHECK!$B$65:$J$860,9,0),"")</f>
        <v/>
      </c>
      <c r="Z30" s="40" t="str">
        <f>IFERROR(VLOOKUP($A$26&amp;$D$5&amp;$B30&amp;$Y$4,TKB_LOP_CHECK!$B$65:$J$860,9,0),"")</f>
        <v/>
      </c>
      <c r="AA30" s="40" t="str">
        <f>IFERROR(VLOOKUP($A$26&amp;$C$5&amp;$B30&amp;$AA$4,TKB_LOP_CHECK!$B$65:$J$860,9,0),"")</f>
        <v/>
      </c>
      <c r="AB30" s="40" t="str">
        <f>IFERROR(VLOOKUP($A$26&amp;$D$5&amp;$B30&amp;$AA$4,TKB_LOP_CHECK!$B$65:$J$860,9,0),"")</f>
        <v/>
      </c>
      <c r="AC30" s="40" t="str">
        <f>IFERROR(VLOOKUP($A$26&amp;$C$5&amp;$B30&amp;$AC$4,TKB_LOP_CHECK!$B$65:$J$860,9,0),"")</f>
        <v/>
      </c>
      <c r="AD30" s="40" t="str">
        <f>IFERROR(VLOOKUP($A$26&amp;$D$5&amp;$B30&amp;$AC$4,TKB_LOP_CHECK!$B$65:$J$860,9,0),"")</f>
        <v/>
      </c>
      <c r="AE30" s="40" t="str">
        <f>IFERROR(VLOOKUP($A$26&amp;$C$5&amp;$B30&amp;$AE$4,TKB_LOP_CHECK!$B$65:$J$860,9,0),"")</f>
        <v/>
      </c>
      <c r="AF30" s="40" t="str">
        <f>IFERROR(VLOOKUP($A$26&amp;$D$5&amp;$B30&amp;$AE$4,TKB_LOP_CHECK!$B$65:$J$860,9,0),"")</f>
        <v/>
      </c>
      <c r="AG30" s="40" t="str">
        <f>IFERROR(VLOOKUP($A$26&amp;$C$5&amp;$B30&amp;$AG$4,TKB_LOP_CHECK!$B$65:$J$860,9,0),"")</f>
        <v/>
      </c>
      <c r="AH30" s="40" t="str">
        <f>IFERROR(VLOOKUP($A$26&amp;$D$5&amp;$B30&amp;$AG$4,TKB_LOP_CHECK!$B$65:$J$860,9,0),"")</f>
        <v/>
      </c>
      <c r="AI30" s="40" t="str">
        <f>IFERROR(VLOOKUP($A$26&amp;$C$5&amp;$B30&amp;$AI$4,TKB_LOP_CHECK!$B$65:$J$860,9,0),"")</f>
        <v/>
      </c>
      <c r="AJ30" s="40" t="str">
        <f>IFERROR(VLOOKUP($A$26&amp;$D$5&amp;$B30&amp;$AI$4,TKB_LOP_CHECK!$B$65:$J$860,9,0),"")</f>
        <v/>
      </c>
      <c r="AK30" s="40" t="str">
        <f>IFERROR(VLOOKUP($A$26&amp;$C$5&amp;$B30&amp;$AK$4,TKB_LOP_CHECK!$B$65:$J$860,9,0),"")</f>
        <v/>
      </c>
      <c r="AL30" s="40" t="str">
        <f>IFERROR(VLOOKUP($A$26&amp;$D$5&amp;$B30&amp;$AK$4,TKB_LOP_CHECK!$B$65:$J$860,9,0),"")</f>
        <v/>
      </c>
      <c r="AM30" s="40" t="str">
        <f>IFERROR(VLOOKUP($A$26&amp;$C$5&amp;$B30&amp;$AM$4,TKB_LOP_CHECK!$B$65:$J$860,9,0),"")</f>
        <v/>
      </c>
      <c r="AN30" s="40" t="str">
        <f>IFERROR(VLOOKUP($A$26&amp;$D$5&amp;$B30&amp;$AM$4,TKB_LOP_CHECK!$B$65:$J$860,9,0),"")</f>
        <v/>
      </c>
      <c r="AO30" s="40" t="str">
        <f>IFERROR(VLOOKUP($A$26&amp;$C$5&amp;$B30&amp;$AO$4,TKB_LOP_CHECK!$B$65:$J$860,9,0),"")</f>
        <v/>
      </c>
      <c r="AP30" s="40" t="str">
        <f>IFERROR(VLOOKUP($A$26&amp;$D$5&amp;$B30&amp;$AO$4,TKB_LOP_CHECK!$B$65:$J$860,9,0),"")</f>
        <v/>
      </c>
      <c r="AQ30" s="40" t="str">
        <f>IFERROR(VLOOKUP($A$26&amp;$C$5&amp;$B30&amp;$AQ$4,TKB_LOP_CHECK!$B$65:$J$860,9,0),"")</f>
        <v/>
      </c>
      <c r="AR30" s="40" t="str">
        <f>IFERROR(VLOOKUP($A$26&amp;$D$5&amp;$B30&amp;$AQ$4,TKB_LOP_CHECK!$B$65:$J$860,9,0),"")</f>
        <v/>
      </c>
      <c r="AS30" s="40" t="str">
        <f>IFERROR(VLOOKUP($A$26&amp;$C$5&amp;$B30&amp;$AS$4,TKB_LOP_CHECK!$B$65:$J$860,9,0),"")</f>
        <v/>
      </c>
      <c r="AT30" s="40" t="str">
        <f>IFERROR(VLOOKUP($A$26&amp;$D$5&amp;$B30&amp;$AS$4,TKB_LOP_CHECK!$B$65:$J$860,9,0),"")</f>
        <v/>
      </c>
      <c r="AU30" s="40" t="str">
        <f>IFERROR(VLOOKUP($A$26&amp;$C$5&amp;$B30&amp;$AU$4,TKB_LOP_CHECK!$B$65:$J$860,9,0),"")</f>
        <v/>
      </c>
      <c r="AV30" s="40" t="str">
        <f>IFERROR(VLOOKUP($A$26&amp;$D$5&amp;$B30&amp;$AU$4,TKB_LOP_CHECK!$B$65:$J$860,9,0),"")</f>
        <v/>
      </c>
      <c r="AW30" s="40" t="str">
        <f>IFERROR(VLOOKUP($A$26&amp;$C$5&amp;$B30&amp;$AW$4,TKB_LOP_CHECK!$B$65:$J$860,9,0),"")</f>
        <v/>
      </c>
      <c r="AX30" s="40" t="str">
        <f>IFERROR(VLOOKUP($A$26&amp;$D$5&amp;$B30&amp;$AW$4,TKB_LOP_CHECK!$B$65:$J$860,9,0),"")</f>
        <v/>
      </c>
      <c r="AY30" s="40" t="str">
        <f>IFERROR(VLOOKUP($A$26&amp;$C$5&amp;$B30&amp;$AY$4,TKB_LOP_CHECK!$B$65:$J$860,9,0),"")</f>
        <v/>
      </c>
      <c r="AZ30" s="40" t="str">
        <f>IFERROR(VLOOKUP($A$26&amp;$D$5&amp;$B30&amp;$AY$4,TKB_LOP_CHECK!$B$65:$J$860,9,0),"")</f>
        <v/>
      </c>
      <c r="BA30" s="40" t="str">
        <f>IFERROR(VLOOKUP($A$26&amp;$C$5&amp;$B30&amp;$BA$4,TKB_LOP_CHECK!$B$65:$J$860,9,0),"")</f>
        <v/>
      </c>
      <c r="BB30" s="40" t="str">
        <f>IFERROR(VLOOKUP($A$26&amp;$D$5&amp;$B30&amp;$BA$4,TKB_LOP_CHECK!$B$65:$J$860,9,0),"")</f>
        <v/>
      </c>
      <c r="BC30" s="40" t="str">
        <f>IFERROR(VLOOKUP($A$26&amp;$C$5&amp;$B30&amp;$BC$4,TKB_LOP_CHECK!$B$65:$J$860,9,0),"")</f>
        <v/>
      </c>
      <c r="BD30" s="40" t="str">
        <f>IFERROR(VLOOKUP($A$26&amp;$D$5&amp;$B30&amp;$BC$4,TKB_LOP_CHECK!$B$65:$J$860,9,0),"")</f>
        <v/>
      </c>
      <c r="BE30" s="40" t="str">
        <f>IFERROR(VLOOKUP($A$26&amp;$C$5&amp;$B30&amp;$BE$4,TKB_LOP_CHECK!$B$65:$J$860,9,0),"")</f>
        <v/>
      </c>
      <c r="BF30" s="40" t="str">
        <f>IFERROR(VLOOKUP($A$26&amp;$D$5&amp;$B30&amp;$BE$4,TKB_LOP_CHECK!$B$65:$J$860,9,0),"")</f>
        <v/>
      </c>
      <c r="BG30" s="40" t="str">
        <f>IFERROR(VLOOKUP($A$26&amp;$C$5&amp;$B30&amp;$BG$4,TKB_LOP_CHECK!$B$65:$J$860,9,0),"")</f>
        <v/>
      </c>
      <c r="BH30" s="40" t="str">
        <f>IFERROR(VLOOKUP($A$26&amp;$D$5&amp;$B30&amp;$BG$4,TKB_LOP_CHECK!$B$65:$J$860,9,0),"")</f>
        <v/>
      </c>
      <c r="BI30" s="40" t="str">
        <f>IFERROR(VLOOKUP($A$26&amp;$C$5&amp;$B30&amp;$BI$4,TKB_LOP_CHECK!$B$65:$J$860,9,0),"")</f>
        <v/>
      </c>
      <c r="BJ30" s="40" t="str">
        <f>IFERROR(VLOOKUP($A$26&amp;$D$5&amp;$B30&amp;$BI$4,TKB_LOP_CHECK!$B$65:$J$860,9,0),"")</f>
        <v/>
      </c>
      <c r="BK30" s="40" t="str">
        <f>IFERROR(VLOOKUP($A$26&amp;$C$5&amp;$B30&amp;$BK$4,TKB_LOP_CHECK!$B$65:$J$860,9,0),"")</f>
        <v/>
      </c>
      <c r="BL30" s="40" t="str">
        <f>IFERROR(VLOOKUP($A$26&amp;$D$5&amp;$B30&amp;$BK$4,TKB_LOP_CHECK!$B$65:$J$860,9,0),"")</f>
        <v/>
      </c>
      <c r="BM30" s="40" t="str">
        <f>IFERROR(VLOOKUP($A$26&amp;$C$5&amp;$B30&amp;$BM$4,TKB_LOP_CHECK!$B$65:$J$860,9,0),"")</f>
        <v/>
      </c>
      <c r="BN30" s="40" t="str">
        <f>IFERROR(VLOOKUP($A$26&amp;$D$5&amp;$B30&amp;$BM$4,TKB_LOP_CHECK!$B$65:$J$860,9,0),"")</f>
        <v/>
      </c>
      <c r="BO30" s="40" t="str">
        <f>IFERROR(VLOOKUP($A$26&amp;$C$5&amp;$B30&amp;$BO$4,TKB_LOP_CHECK!$A$65:$J$860,10,0),"")</f>
        <v/>
      </c>
      <c r="BP30" s="40" t="str">
        <f>IFERROR(VLOOKUP($A$26&amp;$D$5&amp;$B30&amp;$BO$4,TKB_LOP_CHECK!$A$65:$J$860,10,0),"")</f>
        <v/>
      </c>
      <c r="BQ30" s="40" t="str">
        <f>IFERROR(VLOOKUP($A$26&amp;$C$5&amp;$B30&amp;$BQ$4,TKB_LOP_CHECK!$A$65:$J$860,10,0),"")</f>
        <v/>
      </c>
      <c r="BR30" s="40" t="str">
        <f>IFERROR(VLOOKUP($A$26&amp;$D$5&amp;$B30&amp;$BQ$4,TKB_LOP_CHECK!$A$65:$J$860,10,0),"")</f>
        <v/>
      </c>
      <c r="BS30" s="40" t="str">
        <f>IFERROR(VLOOKUP($A$26&amp;$C$5&amp;$B30&amp;$BS$4,TKB_LOP_CHECK!$A$65:$J$860,10,0),"")</f>
        <v/>
      </c>
      <c r="BT30" s="40" t="str">
        <f>IFERROR(VLOOKUP($A$26&amp;$D$5&amp;$B30&amp;$BS$4,TKB_LOP_CHECK!$A$65:$J$860,10,0),"")</f>
        <v/>
      </c>
      <c r="BU30" s="40" t="str">
        <f>IFERROR(VLOOKUP($A$26&amp;$C$5&amp;$B30&amp;$BU$4,TKB_LOP_CHECK!$A$65:$J$860,10,0),"")</f>
        <v/>
      </c>
      <c r="BV30" s="40" t="str">
        <f>IFERROR(VLOOKUP($A$26&amp;$D$5&amp;$B30&amp;$BU$4,TKB_LOP_CHECK!$A$65:$J$860,10,0),"")</f>
        <v/>
      </c>
    </row>
    <row r="31" spans="1:74" ht="16.7" customHeight="1" x14ac:dyDescent="0.25">
      <c r="A31" s="94">
        <v>7</v>
      </c>
      <c r="B31" s="39">
        <v>1</v>
      </c>
      <c r="C31" s="43"/>
      <c r="D31" s="44"/>
      <c r="E31" s="43"/>
      <c r="F31" s="44"/>
      <c r="G31" s="43"/>
      <c r="H31" s="44"/>
      <c r="I31" s="43"/>
      <c r="J31" s="44"/>
      <c r="K31" s="43"/>
      <c r="L31" s="44"/>
      <c r="M31" s="43"/>
      <c r="N31" s="44"/>
      <c r="O31" s="43"/>
      <c r="P31" s="44"/>
      <c r="Q31" s="43"/>
      <c r="R31" s="44"/>
      <c r="S31" s="43"/>
      <c r="T31" s="44"/>
      <c r="U31" s="43"/>
      <c r="V31" s="44"/>
      <c r="W31" s="43"/>
      <c r="X31" s="44"/>
      <c r="Y31" s="43"/>
      <c r="Z31" s="44"/>
      <c r="AA31" s="43"/>
      <c r="AB31" s="44"/>
      <c r="AC31" s="43"/>
      <c r="AD31" s="44"/>
      <c r="AE31" s="43"/>
      <c r="AF31" s="44"/>
      <c r="AG31" s="43"/>
      <c r="AH31" s="44"/>
      <c r="AI31" s="43"/>
      <c r="AJ31" s="44"/>
      <c r="AK31" s="43"/>
      <c r="AL31" s="44"/>
      <c r="AM31" s="45"/>
      <c r="AN31" s="45"/>
      <c r="AO31" s="45"/>
      <c r="AP31" s="45"/>
      <c r="AQ31" s="45"/>
      <c r="AR31" s="45"/>
      <c r="AS31" s="45"/>
      <c r="AT31" s="45"/>
      <c r="AU31" s="43"/>
      <c r="AV31" s="44"/>
      <c r="AW31" s="43"/>
      <c r="AX31" s="44"/>
      <c r="AY31" s="43"/>
      <c r="AZ31" s="44"/>
      <c r="BA31" s="43"/>
      <c r="BB31" s="44"/>
      <c r="BC31" s="43"/>
      <c r="BD31" s="44"/>
      <c r="BE31" s="43"/>
      <c r="BF31" s="44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</row>
    <row r="32" spans="1:74" ht="16.7" customHeight="1" x14ac:dyDescent="0.25">
      <c r="A32" s="95"/>
      <c r="B32" s="41">
        <v>2</v>
      </c>
      <c r="C32" s="46"/>
      <c r="D32" s="47"/>
      <c r="E32" s="46"/>
      <c r="F32" s="47"/>
      <c r="G32" s="46"/>
      <c r="H32" s="47"/>
      <c r="I32" s="46"/>
      <c r="J32" s="47"/>
      <c r="K32" s="46"/>
      <c r="L32" s="47"/>
      <c r="M32" s="46"/>
      <c r="N32" s="47"/>
      <c r="O32" s="46"/>
      <c r="P32" s="47"/>
      <c r="Q32" s="46"/>
      <c r="R32" s="47"/>
      <c r="S32" s="46"/>
      <c r="T32" s="47"/>
      <c r="U32" s="46"/>
      <c r="V32" s="47"/>
      <c r="W32" s="46"/>
      <c r="X32" s="47"/>
      <c r="Y32" s="46"/>
      <c r="Z32" s="47"/>
      <c r="AA32" s="46"/>
      <c r="AB32" s="47"/>
      <c r="AC32" s="46"/>
      <c r="AD32" s="47"/>
      <c r="AE32" s="46"/>
      <c r="AF32" s="47"/>
      <c r="AG32" s="46"/>
      <c r="AH32" s="47"/>
      <c r="AI32" s="46"/>
      <c r="AJ32" s="47"/>
      <c r="AK32" s="46"/>
      <c r="AL32" s="47"/>
      <c r="AM32" s="45"/>
      <c r="AN32" s="45"/>
      <c r="AO32" s="45"/>
      <c r="AP32" s="45"/>
      <c r="AQ32" s="45"/>
      <c r="AR32" s="45"/>
      <c r="AS32" s="45"/>
      <c r="AT32" s="45"/>
      <c r="AU32" s="46"/>
      <c r="AV32" s="47"/>
      <c r="AW32" s="46"/>
      <c r="AX32" s="47"/>
      <c r="AY32" s="46"/>
      <c r="AZ32" s="47"/>
      <c r="BA32" s="46"/>
      <c r="BB32" s="47"/>
      <c r="BC32" s="46"/>
      <c r="BD32" s="47"/>
      <c r="BE32" s="46"/>
      <c r="BF32" s="47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</row>
    <row r="33" spans="1:74" ht="16.7" customHeight="1" x14ac:dyDescent="0.25">
      <c r="A33" s="95"/>
      <c r="B33" s="41">
        <v>3</v>
      </c>
      <c r="C33" s="46"/>
      <c r="D33" s="47"/>
      <c r="E33" s="46"/>
      <c r="F33" s="47"/>
      <c r="G33" s="46"/>
      <c r="H33" s="47"/>
      <c r="I33" s="46"/>
      <c r="J33" s="47"/>
      <c r="K33" s="46"/>
      <c r="L33" s="47"/>
      <c r="M33" s="46"/>
      <c r="N33" s="47"/>
      <c r="O33" s="46"/>
      <c r="P33" s="47"/>
      <c r="Q33" s="46"/>
      <c r="R33" s="47"/>
      <c r="S33" s="46"/>
      <c r="T33" s="47"/>
      <c r="U33" s="46"/>
      <c r="V33" s="47"/>
      <c r="W33" s="46"/>
      <c r="X33" s="47"/>
      <c r="Y33" s="46"/>
      <c r="Z33" s="47"/>
      <c r="AA33" s="46"/>
      <c r="AB33" s="47"/>
      <c r="AC33" s="46"/>
      <c r="AD33" s="47"/>
      <c r="AE33" s="46"/>
      <c r="AF33" s="47"/>
      <c r="AG33" s="46"/>
      <c r="AH33" s="47"/>
      <c r="AI33" s="46"/>
      <c r="AJ33" s="47"/>
      <c r="AK33" s="46"/>
      <c r="AL33" s="47"/>
      <c r="AM33" s="45"/>
      <c r="AN33" s="45"/>
      <c r="AO33" s="45"/>
      <c r="AP33" s="45"/>
      <c r="AQ33" s="45"/>
      <c r="AR33" s="45"/>
      <c r="AS33" s="45"/>
      <c r="AT33" s="45"/>
      <c r="AU33" s="46"/>
      <c r="AV33" s="47"/>
      <c r="AW33" s="46"/>
      <c r="AX33" s="47"/>
      <c r="AY33" s="46"/>
      <c r="AZ33" s="47"/>
      <c r="BA33" s="46"/>
      <c r="BB33" s="47"/>
      <c r="BC33" s="46"/>
      <c r="BD33" s="47"/>
      <c r="BE33" s="46"/>
      <c r="BF33" s="47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</row>
    <row r="34" spans="1:74" ht="16.7" customHeight="1" x14ac:dyDescent="0.25">
      <c r="A34" s="95"/>
      <c r="B34" s="41">
        <v>4</v>
      </c>
      <c r="C34" s="46"/>
      <c r="D34" s="47"/>
      <c r="E34" s="46"/>
      <c r="F34" s="47"/>
      <c r="G34" s="46"/>
      <c r="H34" s="47"/>
      <c r="I34" s="46"/>
      <c r="J34" s="47"/>
      <c r="K34" s="46"/>
      <c r="L34" s="47"/>
      <c r="M34" s="46"/>
      <c r="N34" s="47"/>
      <c r="O34" s="46"/>
      <c r="P34" s="47"/>
      <c r="Q34" s="46"/>
      <c r="R34" s="47"/>
      <c r="S34" s="46"/>
      <c r="T34" s="47"/>
      <c r="U34" s="46"/>
      <c r="V34" s="47"/>
      <c r="W34" s="46"/>
      <c r="X34" s="47"/>
      <c r="Y34" s="46"/>
      <c r="Z34" s="47"/>
      <c r="AA34" s="46"/>
      <c r="AB34" s="47"/>
      <c r="AC34" s="46"/>
      <c r="AD34" s="47"/>
      <c r="AE34" s="46"/>
      <c r="AF34" s="47"/>
      <c r="AG34" s="46"/>
      <c r="AH34" s="47"/>
      <c r="AI34" s="46"/>
      <c r="AJ34" s="47"/>
      <c r="AK34" s="46"/>
      <c r="AL34" s="47"/>
      <c r="AM34" s="45"/>
      <c r="AN34" s="45"/>
      <c r="AO34" s="45"/>
      <c r="AP34" s="45"/>
      <c r="AQ34" s="45"/>
      <c r="AR34" s="45"/>
      <c r="AS34" s="45"/>
      <c r="AT34" s="45"/>
      <c r="AU34" s="46"/>
      <c r="AV34" s="47"/>
      <c r="AW34" s="46"/>
      <c r="AX34" s="47"/>
      <c r="AY34" s="46"/>
      <c r="AZ34" s="47"/>
      <c r="BA34" s="46"/>
      <c r="BB34" s="47"/>
      <c r="BC34" s="46"/>
      <c r="BD34" s="47"/>
      <c r="BE34" s="46"/>
      <c r="BF34" s="47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</row>
    <row r="35" spans="1:74" ht="16.7" customHeight="1" x14ac:dyDescent="0.25">
      <c r="A35" s="96"/>
      <c r="B35" s="42">
        <v>5</v>
      </c>
      <c r="C35" s="48"/>
      <c r="D35" s="49"/>
      <c r="E35" s="48"/>
      <c r="F35" s="49"/>
      <c r="G35" s="48"/>
      <c r="H35" s="49"/>
      <c r="I35" s="48"/>
      <c r="J35" s="49"/>
      <c r="K35" s="48"/>
      <c r="L35" s="49"/>
      <c r="M35" s="48"/>
      <c r="N35" s="49"/>
      <c r="O35" s="48"/>
      <c r="P35" s="49"/>
      <c r="Q35" s="48"/>
      <c r="R35" s="49"/>
      <c r="S35" s="48"/>
      <c r="T35" s="49"/>
      <c r="U35" s="48"/>
      <c r="V35" s="49"/>
      <c r="W35" s="48"/>
      <c r="X35" s="49"/>
      <c r="Y35" s="48"/>
      <c r="Z35" s="49"/>
      <c r="AA35" s="48"/>
      <c r="AB35" s="49"/>
      <c r="AC35" s="48"/>
      <c r="AD35" s="49"/>
      <c r="AE35" s="48"/>
      <c r="AF35" s="49"/>
      <c r="AG35" s="48"/>
      <c r="AH35" s="49"/>
      <c r="AI35" s="48"/>
      <c r="AJ35" s="49"/>
      <c r="AK35" s="48"/>
      <c r="AL35" s="49"/>
      <c r="AM35" s="45"/>
      <c r="AN35" s="45"/>
      <c r="AO35" s="45"/>
      <c r="AP35" s="45"/>
      <c r="AQ35" s="45"/>
      <c r="AR35" s="45"/>
      <c r="AS35" s="45"/>
      <c r="AT35" s="45"/>
      <c r="AU35" s="48"/>
      <c r="AV35" s="49"/>
      <c r="AW35" s="48"/>
      <c r="AX35" s="49"/>
      <c r="AY35" s="48"/>
      <c r="AZ35" s="49"/>
      <c r="BA35" s="48"/>
      <c r="BB35" s="49"/>
      <c r="BC35" s="48"/>
      <c r="BD35" s="49"/>
      <c r="BE35" s="48"/>
      <c r="BF35" s="49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</row>
  </sheetData>
  <sheetProtection selectLockedCells="1"/>
  <mergeCells count="37">
    <mergeCell ref="BQ4:BR4"/>
    <mergeCell ref="BS4:BT4"/>
    <mergeCell ref="BU4:BV4"/>
    <mergeCell ref="AM4:AN4"/>
    <mergeCell ref="AO4:AP4"/>
    <mergeCell ref="AQ4:AR4"/>
    <mergeCell ref="AS4:AT4"/>
    <mergeCell ref="BO4:BP4"/>
    <mergeCell ref="A31:A35"/>
    <mergeCell ref="A4:A5"/>
    <mergeCell ref="B4:B5"/>
    <mergeCell ref="S4:T4"/>
    <mergeCell ref="U4:V4"/>
    <mergeCell ref="AK4:AL4"/>
    <mergeCell ref="A16:A20"/>
    <mergeCell ref="A21:A25"/>
    <mergeCell ref="A26:A30"/>
    <mergeCell ref="W4:X4"/>
    <mergeCell ref="Y4:Z4"/>
    <mergeCell ref="AA4:AB4"/>
    <mergeCell ref="AC4:AD4"/>
    <mergeCell ref="AE4:AF4"/>
    <mergeCell ref="A1:C2"/>
    <mergeCell ref="D1:AI1"/>
    <mergeCell ref="D2:AI2"/>
    <mergeCell ref="A6:A10"/>
    <mergeCell ref="A11:A15"/>
    <mergeCell ref="C4:D4"/>
    <mergeCell ref="AI4:AJ4"/>
    <mergeCell ref="E4:F4"/>
    <mergeCell ref="G4:H4"/>
    <mergeCell ref="I4:J4"/>
    <mergeCell ref="K4:L4"/>
    <mergeCell ref="M4:N4"/>
    <mergeCell ref="O4:P4"/>
    <mergeCell ref="Q4:R4"/>
    <mergeCell ref="AG4:AH4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8559-F41B-E045-ACCD-7030A5CFA0F0}">
  <sheetPr codeName="Sheet3"/>
  <dimension ref="A1:EA845"/>
  <sheetViews>
    <sheetView zoomScale="93" zoomScaleNormal="108" zoomScaleSheetLayoutView="100" workbookViewId="0">
      <pane xSplit="7" ySplit="5" topLeftCell="CJ6" activePane="bottomRight" state="frozen"/>
      <selection activeCell="C7" sqref="C7"/>
      <selection pane="topRight" activeCell="C7" sqref="C7"/>
      <selection pane="bottomLeft" activeCell="C7" sqref="C7"/>
      <selection pane="bottomRight" activeCell="CN56" sqref="CN56"/>
    </sheetView>
  </sheetViews>
  <sheetFormatPr defaultColWidth="8.875" defaultRowHeight="15.75" x14ac:dyDescent="0.25"/>
  <cols>
    <col min="1" max="1" width="4.625" style="29" customWidth="1"/>
    <col min="2" max="2" width="5.875" style="29" customWidth="1"/>
    <col min="3" max="3" width="5.5" style="29" customWidth="1"/>
    <col min="4" max="4" width="8.375" style="29" customWidth="1"/>
    <col min="5" max="5" width="12.625" style="29" customWidth="1"/>
    <col min="6" max="7" width="4.625" style="29" customWidth="1"/>
    <col min="8" max="16" width="12.125" style="29" customWidth="1"/>
    <col min="17" max="17" width="11.875" style="29" customWidth="1"/>
    <col min="18" max="19" width="8.875" style="29" customWidth="1"/>
    <col min="20" max="25" width="12.375" style="29" customWidth="1"/>
    <col min="26" max="50" width="8.875" style="29" customWidth="1"/>
    <col min="51" max="51" width="14.125" style="29" customWidth="1"/>
    <col min="52" max="56" width="8.875" style="29" customWidth="1"/>
    <col min="57" max="57" width="7.625" style="29" customWidth="1"/>
    <col min="58" max="70" width="8.875" style="29" customWidth="1"/>
    <col min="71" max="71" width="9.625" style="29" customWidth="1"/>
    <col min="72" max="81" width="8.875" style="29" customWidth="1"/>
    <col min="82" max="82" width="5.875" style="29" customWidth="1"/>
    <col min="83" max="83" width="7.125" style="29" bestFit="1" customWidth="1"/>
    <col min="84" max="16384" width="8.875" style="29"/>
  </cols>
  <sheetData>
    <row r="1" spans="5:131" ht="30" x14ac:dyDescent="0.25">
      <c r="E1" s="104" t="s">
        <v>39</v>
      </c>
      <c r="F1" s="104"/>
      <c r="G1" s="104"/>
      <c r="H1" s="104"/>
      <c r="I1" s="104"/>
      <c r="J1" s="105"/>
      <c r="K1" s="105"/>
      <c r="L1" s="105"/>
      <c r="M1" s="105"/>
      <c r="N1" s="105"/>
      <c r="O1" s="105"/>
      <c r="P1" s="28"/>
    </row>
    <row r="2" spans="5:131" x14ac:dyDescent="0.25">
      <c r="E2" s="104"/>
      <c r="F2" s="104"/>
      <c r="G2" s="104"/>
      <c r="H2" s="104"/>
      <c r="I2" s="104"/>
      <c r="J2" s="106"/>
      <c r="K2" s="106"/>
      <c r="L2" s="106"/>
      <c r="M2" s="106"/>
      <c r="N2" s="106"/>
      <c r="O2" s="106"/>
      <c r="AB2" s="29" t="s">
        <v>79</v>
      </c>
      <c r="AU2" s="29" t="s">
        <v>80</v>
      </c>
      <c r="CG2" s="103" t="s">
        <v>82</v>
      </c>
      <c r="CH2" s="103"/>
      <c r="CI2" s="103"/>
      <c r="DG2" s="103" t="s">
        <v>81</v>
      </c>
      <c r="DH2" s="103"/>
      <c r="DI2" s="103"/>
    </row>
    <row r="3" spans="5:131" ht="3.95" customHeight="1" x14ac:dyDescent="0.25"/>
    <row r="4" spans="5:131" ht="16.7" customHeight="1" x14ac:dyDescent="0.25">
      <c r="E4" s="107" t="s">
        <v>0</v>
      </c>
      <c r="F4" s="23"/>
      <c r="G4" s="107" t="s">
        <v>1</v>
      </c>
      <c r="H4" s="25" t="s">
        <v>6</v>
      </c>
      <c r="I4" s="25" t="s">
        <v>8</v>
      </c>
      <c r="J4" s="25" t="s">
        <v>48</v>
      </c>
      <c r="K4" s="25" t="s">
        <v>12</v>
      </c>
      <c r="L4" s="25" t="s">
        <v>87</v>
      </c>
      <c r="M4" s="25" t="s">
        <v>13</v>
      </c>
      <c r="N4" s="25" t="s">
        <v>67</v>
      </c>
      <c r="O4" s="25" t="s">
        <v>88</v>
      </c>
      <c r="P4" s="25" t="s">
        <v>16</v>
      </c>
      <c r="Q4" s="25" t="s">
        <v>49</v>
      </c>
      <c r="R4" s="26" t="s">
        <v>89</v>
      </c>
      <c r="S4" s="27" t="s">
        <v>92</v>
      </c>
      <c r="T4" s="30" t="s">
        <v>91</v>
      </c>
      <c r="U4" s="25" t="s">
        <v>86</v>
      </c>
      <c r="V4" s="25" t="s">
        <v>86</v>
      </c>
      <c r="W4" s="26" t="s">
        <v>86</v>
      </c>
      <c r="X4" s="27" t="s">
        <v>86</v>
      </c>
      <c r="Y4" s="71" t="s">
        <v>86</v>
      </c>
      <c r="Z4" s="107" t="s">
        <v>0</v>
      </c>
      <c r="AA4" s="23"/>
      <c r="AB4" s="107" t="s">
        <v>1</v>
      </c>
      <c r="AC4" s="25" t="s">
        <v>6</v>
      </c>
      <c r="AD4" s="25" t="s">
        <v>8</v>
      </c>
      <c r="AE4" s="25" t="s">
        <v>48</v>
      </c>
      <c r="AF4" s="25" t="s">
        <v>12</v>
      </c>
      <c r="AG4" s="25" t="s">
        <v>87</v>
      </c>
      <c r="AH4" s="25" t="s">
        <v>13</v>
      </c>
      <c r="AI4" s="25" t="s">
        <v>67</v>
      </c>
      <c r="AJ4" s="25" t="s">
        <v>88</v>
      </c>
      <c r="AK4" s="25" t="s">
        <v>16</v>
      </c>
      <c r="AL4" s="25" t="s">
        <v>49</v>
      </c>
      <c r="AM4" s="26" t="s">
        <v>89</v>
      </c>
      <c r="AN4" s="27" t="s">
        <v>92</v>
      </c>
      <c r="AO4" s="30" t="s">
        <v>91</v>
      </c>
      <c r="AP4" s="56" t="s">
        <v>86</v>
      </c>
      <c r="AQ4" s="56" t="s">
        <v>86</v>
      </c>
      <c r="AR4" s="56" t="s">
        <v>86</v>
      </c>
      <c r="AS4" s="56" t="s">
        <v>86</v>
      </c>
      <c r="AT4" s="56" t="s">
        <v>86</v>
      </c>
      <c r="AU4" s="107" t="s">
        <v>0</v>
      </c>
      <c r="AV4" s="53"/>
      <c r="AW4" s="107" t="s">
        <v>1</v>
      </c>
      <c r="AX4" s="25" t="s">
        <v>6</v>
      </c>
      <c r="AY4" s="25" t="s">
        <v>8</v>
      </c>
      <c r="AZ4" s="25" t="s">
        <v>48</v>
      </c>
      <c r="BA4" s="25" t="s">
        <v>12</v>
      </c>
      <c r="BB4" s="25" t="s">
        <v>87</v>
      </c>
      <c r="BC4" s="25" t="s">
        <v>13</v>
      </c>
      <c r="BD4" s="25" t="s">
        <v>67</v>
      </c>
      <c r="BE4" s="25" t="s">
        <v>88</v>
      </c>
      <c r="BF4" s="25" t="s">
        <v>16</v>
      </c>
      <c r="BG4" s="25" t="s">
        <v>49</v>
      </c>
      <c r="BH4" s="26" t="s">
        <v>89</v>
      </c>
      <c r="BI4" s="27" t="s">
        <v>92</v>
      </c>
      <c r="BJ4" s="30" t="s">
        <v>91</v>
      </c>
      <c r="BK4" s="56" t="s">
        <v>86</v>
      </c>
      <c r="BL4" s="56" t="s">
        <v>86</v>
      </c>
      <c r="BM4" s="56" t="s">
        <v>86</v>
      </c>
      <c r="BN4" s="56" t="s">
        <v>86</v>
      </c>
      <c r="BO4" s="56" t="s">
        <v>86</v>
      </c>
      <c r="BP4" s="107" t="s">
        <v>0</v>
      </c>
      <c r="BQ4" s="53"/>
      <c r="BR4" s="107" t="s">
        <v>1</v>
      </c>
      <c r="BS4" s="25" t="s">
        <v>6</v>
      </c>
      <c r="BT4" s="25" t="s">
        <v>8</v>
      </c>
      <c r="BU4" s="25" t="s">
        <v>48</v>
      </c>
      <c r="BV4" s="25" t="s">
        <v>12</v>
      </c>
      <c r="BW4" s="25" t="s">
        <v>87</v>
      </c>
      <c r="BX4" s="25" t="s">
        <v>13</v>
      </c>
      <c r="BY4" s="25" t="s">
        <v>67</v>
      </c>
      <c r="BZ4" s="25" t="s">
        <v>88</v>
      </c>
      <c r="CA4" s="25" t="s">
        <v>16</v>
      </c>
      <c r="CB4" s="25" t="s">
        <v>49</v>
      </c>
      <c r="CC4" s="26" t="s">
        <v>89</v>
      </c>
      <c r="CD4" s="27" t="s">
        <v>92</v>
      </c>
      <c r="CE4" s="30" t="s">
        <v>91</v>
      </c>
      <c r="CG4" s="107" t="s">
        <v>0</v>
      </c>
      <c r="CH4" s="53"/>
      <c r="CI4" s="107" t="s">
        <v>1</v>
      </c>
      <c r="CJ4" s="25" t="s">
        <v>6</v>
      </c>
      <c r="CK4" s="25" t="s">
        <v>8</v>
      </c>
      <c r="CL4" s="25" t="s">
        <v>48</v>
      </c>
      <c r="CM4" s="25" t="s">
        <v>12</v>
      </c>
      <c r="CN4" s="25" t="s">
        <v>87</v>
      </c>
      <c r="CO4" s="25" t="s">
        <v>13</v>
      </c>
      <c r="CP4" s="25" t="s">
        <v>67</v>
      </c>
      <c r="CQ4" s="25" t="s">
        <v>88</v>
      </c>
      <c r="CR4" s="25" t="s">
        <v>16</v>
      </c>
      <c r="CS4" s="25" t="s">
        <v>49</v>
      </c>
      <c r="CT4" s="26" t="s">
        <v>89</v>
      </c>
      <c r="CU4" s="27" t="s">
        <v>92</v>
      </c>
      <c r="CV4" s="30" t="s">
        <v>91</v>
      </c>
      <c r="CW4" s="25" t="s">
        <v>86</v>
      </c>
      <c r="CX4" s="25" t="s">
        <v>86</v>
      </c>
      <c r="CY4" s="25" t="s">
        <v>86</v>
      </c>
      <c r="CZ4" s="25" t="s">
        <v>86</v>
      </c>
      <c r="DA4" s="25" t="s">
        <v>86</v>
      </c>
      <c r="DG4" s="107" t="s">
        <v>0</v>
      </c>
      <c r="DH4" s="64"/>
      <c r="DI4" s="107" t="s">
        <v>1</v>
      </c>
      <c r="DJ4" s="25" t="s">
        <v>6</v>
      </c>
      <c r="DK4" s="25" t="s">
        <v>8</v>
      </c>
      <c r="DL4" s="25" t="s">
        <v>48</v>
      </c>
      <c r="DM4" s="25" t="s">
        <v>12</v>
      </c>
      <c r="DN4" s="25" t="s">
        <v>87</v>
      </c>
      <c r="DO4" s="25" t="s">
        <v>13</v>
      </c>
      <c r="DP4" s="25" t="s">
        <v>67</v>
      </c>
      <c r="DQ4" s="25" t="s">
        <v>88</v>
      </c>
      <c r="DR4" s="25" t="s">
        <v>16</v>
      </c>
      <c r="DS4" s="25" t="s">
        <v>49</v>
      </c>
      <c r="DT4" s="26" t="s">
        <v>89</v>
      </c>
      <c r="DU4" s="27" t="s">
        <v>92</v>
      </c>
      <c r="DV4" s="30" t="s">
        <v>91</v>
      </c>
      <c r="DW4" s="25" t="s">
        <v>86</v>
      </c>
      <c r="DX4" s="25" t="s">
        <v>86</v>
      </c>
      <c r="DY4" s="25" t="s">
        <v>86</v>
      </c>
      <c r="DZ4" s="25" t="s">
        <v>86</v>
      </c>
      <c r="EA4" s="25" t="s">
        <v>86</v>
      </c>
    </row>
    <row r="5" spans="5:131" ht="16.7" customHeight="1" x14ac:dyDescent="0.25">
      <c r="E5" s="108"/>
      <c r="F5" s="24"/>
      <c r="G5" s="10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Z5" s="108"/>
      <c r="AA5" s="24"/>
      <c r="AB5" s="10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  <c r="AN5" s="9"/>
      <c r="AO5" s="57"/>
      <c r="AP5" s="57"/>
      <c r="AQ5" s="57"/>
      <c r="AR5" s="57"/>
      <c r="AS5" s="57"/>
      <c r="AT5" s="57"/>
      <c r="AU5" s="108"/>
      <c r="AV5" s="54"/>
      <c r="AW5" s="108"/>
      <c r="AX5" s="8"/>
      <c r="AY5" s="8"/>
      <c r="AZ5" s="8"/>
      <c r="BA5" s="8"/>
      <c r="BB5" s="8"/>
      <c r="BC5" s="8"/>
      <c r="BD5" s="8"/>
      <c r="BE5" s="8"/>
      <c r="BF5" s="8"/>
      <c r="BG5" s="8"/>
      <c r="BH5" s="9"/>
      <c r="BI5" s="9"/>
      <c r="BJ5" s="57"/>
      <c r="BP5" s="108"/>
      <c r="BQ5" s="54"/>
      <c r="BR5" s="108"/>
      <c r="BS5" s="8"/>
      <c r="BT5" s="8"/>
      <c r="BU5" s="8"/>
      <c r="BV5" s="8"/>
      <c r="BW5" s="8"/>
      <c r="BX5" s="8"/>
      <c r="BY5" s="8"/>
      <c r="BZ5" s="8"/>
      <c r="CA5" s="8"/>
      <c r="CB5" s="8"/>
      <c r="CC5" s="9"/>
      <c r="CD5" s="9"/>
      <c r="CE5" s="57"/>
      <c r="CG5" s="108"/>
      <c r="CH5" s="54"/>
      <c r="CI5" s="108"/>
      <c r="CJ5" s="8"/>
      <c r="CK5" s="8"/>
      <c r="CL5" s="8"/>
      <c r="CM5" s="8"/>
      <c r="CN5" s="8"/>
      <c r="CO5" s="8"/>
      <c r="CP5" s="8"/>
      <c r="CQ5" s="8"/>
      <c r="CR5" s="8"/>
      <c r="CS5" s="8"/>
      <c r="CT5" s="9"/>
      <c r="CU5" s="9"/>
      <c r="CV5" s="57"/>
      <c r="CW5" s="8"/>
      <c r="CX5" s="8"/>
      <c r="CY5" s="9"/>
      <c r="CZ5" s="9"/>
      <c r="DA5" s="57"/>
      <c r="DG5" s="108"/>
      <c r="DH5" s="65"/>
      <c r="DI5" s="108"/>
      <c r="DJ5" s="8"/>
      <c r="DK5" s="8"/>
      <c r="DL5" s="8"/>
      <c r="DM5" s="8"/>
      <c r="DN5" s="8"/>
      <c r="DO5" s="8"/>
      <c r="DP5" s="8"/>
      <c r="DQ5" s="8"/>
      <c r="DR5" s="8"/>
      <c r="DS5" s="8"/>
      <c r="DT5" s="9"/>
      <c r="DU5" s="9"/>
      <c r="DV5" s="57"/>
    </row>
    <row r="6" spans="5:131" ht="16.7" customHeight="1" x14ac:dyDescent="0.25">
      <c r="E6" s="115">
        <v>2</v>
      </c>
      <c r="F6" s="112" t="s">
        <v>3</v>
      </c>
      <c r="G6" s="10">
        <v>1</v>
      </c>
      <c r="H6" s="11" t="str">
        <f>TKB_LOP_SC!C6</f>
        <v>Đạo đức - Ngọc Ánh</v>
      </c>
      <c r="I6" s="11" t="str">
        <f>TKB_LOP_SC!E6</f>
        <v>Đạo đức - Nhi</v>
      </c>
      <c r="J6" s="5" t="str">
        <f>TKB_LOP_SC!G6</f>
        <v>Đạo đức - Linh TH</v>
      </c>
      <c r="K6" s="11" t="str">
        <f>TKB_LOP_SC!I6</f>
        <v>Đạo đức - Xuân</v>
      </c>
      <c r="L6" s="11" t="str">
        <f>TKB_LOP_SC!M6</f>
        <v>HĐTN - Ngọc</v>
      </c>
      <c r="M6" s="11" t="str">
        <f>TKB_LOP_SC!O6</f>
        <v>Đạo đức - Ly</v>
      </c>
      <c r="N6" s="11" t="str">
        <f>TKB_LOP_SC!Q6</f>
        <v>GVVN - Quỳnh</v>
      </c>
      <c r="O6" s="11" t="str">
        <f>TKB_LOP_SC!S6</f>
        <v>HĐTN - Chi</v>
      </c>
      <c r="P6" s="5" t="str">
        <f>TKB_LOP_SC!W6</f>
        <v>LS&amp;ĐL - Hà</v>
      </c>
      <c r="Q6" s="11" t="str">
        <f>TKB_LOP_SC!Y6</f>
        <v>GDĐP - Ánh NV</v>
      </c>
      <c r="R6" s="11" t="str">
        <f>TKB_LOP_SC!AA6</f>
        <v>Toán - Tân</v>
      </c>
      <c r="S6" s="11" t="str">
        <f>TKB_LOP_SC!AC6</f>
        <v>SH tập thể - Hiền</v>
      </c>
      <c r="T6" s="2" t="str">
        <f>TKB_LOP_SC!AE6</f>
        <v>SH tập thể - MN1</v>
      </c>
      <c r="U6" s="2" t="str">
        <f>TKB_LOP_SC!AI6</f>
        <v>SH tập thể - MN2</v>
      </c>
      <c r="V6" s="2">
        <f>TKB_LOP_SC!AK6</f>
        <v>0</v>
      </c>
      <c r="W6" s="2">
        <f>TKB_LOP_SC!AM6</f>
        <v>0</v>
      </c>
      <c r="X6" s="2" t="str">
        <f>TKB_LOP_SC!AO6</f>
        <v>GVNN - Aziz, Dung</v>
      </c>
      <c r="Y6" s="2">
        <f>TKB_LOP_SC!AQ6</f>
        <v>0</v>
      </c>
      <c r="Z6" s="115">
        <v>2</v>
      </c>
      <c r="AA6" s="112" t="s">
        <v>3</v>
      </c>
      <c r="AB6" s="10">
        <v>1</v>
      </c>
      <c r="AC6" s="11" t="str">
        <f t="shared" ref="AC6:AD60" si="0">IFERROR(LEFT(AX6,FIND(",",AX6)-1),"")</f>
        <v/>
      </c>
      <c r="AD6" s="11" t="str">
        <f t="shared" si="0"/>
        <v/>
      </c>
      <c r="AE6" s="11" t="str">
        <f t="shared" ref="AE6:AE60" si="1">IFERROR(LEFT(AZ6,FIND(",",AZ6)-1),"")</f>
        <v/>
      </c>
      <c r="AF6" s="11" t="str">
        <f t="shared" ref="AF6:AF60" si="2">IFERROR(LEFT(BA6,FIND(",",BA6)-1),"")</f>
        <v/>
      </c>
      <c r="AG6" s="11" t="str">
        <f t="shared" ref="AG6:AG60" si="3">IFERROR(LEFT(BB6,FIND(",",BB6)-1),"")</f>
        <v/>
      </c>
      <c r="AH6" s="11" t="str">
        <f t="shared" ref="AH6:AH60" si="4">IFERROR(LEFT(BC6,FIND(",",BC6)-1),"")</f>
        <v/>
      </c>
      <c r="AI6" s="11" t="str">
        <f t="shared" ref="AI6:AI60" si="5">IFERROR(LEFT(BD6,FIND(",",BD6)-1),"")</f>
        <v/>
      </c>
      <c r="AJ6" s="11" t="str">
        <f t="shared" ref="AJ6:AJ60" si="6">IFERROR(LEFT(BE6,FIND(",",BE6)-1),"")</f>
        <v/>
      </c>
      <c r="AK6" s="11" t="str">
        <f t="shared" ref="AK6:AK60" si="7">IFERROR(LEFT(BF6,FIND(",",BF6)-1),"")</f>
        <v/>
      </c>
      <c r="AL6" s="11" t="str">
        <f t="shared" ref="AL6:AL60" si="8">IFERROR(LEFT(BG6,FIND(",",BG6)-1),"")</f>
        <v/>
      </c>
      <c r="AM6" s="11" t="str">
        <f t="shared" ref="AM6:AM60" si="9">IFERROR(LEFT(BH6,FIND(",",BH6)-1),"")</f>
        <v/>
      </c>
      <c r="AN6" s="11" t="str">
        <f t="shared" ref="AN6:AN60" si="10">IFERROR(LEFT(BI6,FIND(",",BI6)-1),"")</f>
        <v/>
      </c>
      <c r="AO6" s="11" t="str">
        <f t="shared" ref="AO6:AP60" si="11">IFERROR(LEFT(BJ6,FIND(",",BJ6)-1),"")</f>
        <v/>
      </c>
      <c r="AP6" s="11" t="str">
        <f t="shared" si="11"/>
        <v/>
      </c>
      <c r="AQ6" s="11" t="str">
        <f t="shared" ref="AQ6:AQ40" si="12">IFERROR(LEFT(BP6,FIND(",",BP6)-1),"")</f>
        <v/>
      </c>
      <c r="AR6" s="11" t="str">
        <f t="shared" ref="AR6:AR40" si="13">IFERROR(LEFT(BQ6,FIND(",",BQ6)-1),"")</f>
        <v/>
      </c>
      <c r="AS6" s="11" t="str">
        <f t="shared" ref="AS6:AS40" si="14">IFERROR(LEFT(BR6,FIND(",",BR6)-1),"")</f>
        <v/>
      </c>
      <c r="AT6" s="11" t="str">
        <f t="shared" ref="AT6:AT60" si="15">IFERROR(LEFT(BS6,FIND(",",BS6)-1),"")</f>
        <v/>
      </c>
      <c r="AU6" s="115">
        <v>2</v>
      </c>
      <c r="AV6" s="112" t="s">
        <v>3</v>
      </c>
      <c r="AW6" s="10">
        <v>1</v>
      </c>
      <c r="AX6" s="29" t="str">
        <f>IFERROR(RIGHT(H6,LEN(H6)-FIND("-",H6)-1),"")</f>
        <v>Ngọc Ánh</v>
      </c>
      <c r="AY6" s="29" t="str">
        <f t="shared" ref="AY6:AY60" si="16">IFERROR(RIGHT(I6,LEN(I6)-FIND("-",I6)-1),"")</f>
        <v>Nhi</v>
      </c>
      <c r="AZ6" s="29" t="str">
        <f t="shared" ref="AZ6:AZ60" si="17">IFERROR(RIGHT(J6,LEN(J6)-FIND("-",J6)-1),"")</f>
        <v>Linh TH</v>
      </c>
      <c r="BA6" s="29" t="str">
        <f t="shared" ref="BA6:BA60" si="18">IFERROR(RIGHT(K6,LEN(K6)-FIND("-",K6)-1),"")</f>
        <v>Xuân</v>
      </c>
      <c r="BB6" s="29" t="str">
        <f t="shared" ref="BB6:BB60" si="19">IFERROR(RIGHT(L6,LEN(L6)-FIND("-",L6)-1),"")</f>
        <v>Ngọc</v>
      </c>
      <c r="BC6" s="29" t="str">
        <f t="shared" ref="BC6:BC60" si="20">IFERROR(RIGHT(M6,LEN(M6)-FIND("-",M6)-1),"")</f>
        <v>Ly</v>
      </c>
      <c r="BD6" s="29" t="str">
        <f t="shared" ref="BD6:BD60" si="21">IFERROR(RIGHT(N6,LEN(N6)-FIND("-",N6)-1),"")</f>
        <v>Quỳnh</v>
      </c>
      <c r="BE6" s="29" t="str">
        <f t="shared" ref="BE6:BE60" si="22">IFERROR(RIGHT(O6,LEN(O6)-FIND("-",O6)-1),"")</f>
        <v>Chi</v>
      </c>
      <c r="BF6" s="29" t="str">
        <f t="shared" ref="BF6:BF60" si="23">IFERROR(RIGHT(P6,LEN(P6)-FIND("-",P6)-1),"")</f>
        <v>Hà</v>
      </c>
      <c r="BG6" s="29" t="str">
        <f t="shared" ref="BG6:BG60" si="24">IFERROR(RIGHT(Q6,LEN(Q6)-FIND("-",Q6)-1),"")</f>
        <v>Ánh NV</v>
      </c>
      <c r="BH6" s="29" t="str">
        <f t="shared" ref="BH6:BH60" si="25">IFERROR(RIGHT(R6,LEN(R6)-FIND("-",R6)-1),"")</f>
        <v>Tân</v>
      </c>
      <c r="BI6" s="29" t="str">
        <f t="shared" ref="BI6:BI60" si="26">IFERROR(RIGHT(S6,LEN(S6)-FIND("-",S6)-1),"")</f>
        <v>Hiền</v>
      </c>
      <c r="BJ6" s="29" t="str">
        <f t="shared" ref="BJ6:BJ37" si="27">IFERROR(RIGHT(T6,LEN(T6)-FIND("-",T6)-1),"")</f>
        <v>MN1</v>
      </c>
      <c r="BK6" s="29" t="str">
        <f t="shared" ref="BK6:BK37" si="28">IFERROR(RIGHT(U6,LEN(U6)-FIND("-",U6)-1),"")</f>
        <v>MN2</v>
      </c>
      <c r="BL6" s="29" t="str">
        <f t="shared" ref="BL6:BL60" si="29">IFERROR(RIGHT(V6,LEN(V6)-FIND("-",V6)-1),"")</f>
        <v/>
      </c>
      <c r="BM6" s="29" t="str">
        <f t="shared" ref="BM6:BM60" si="30">IFERROR(RIGHT(W6,LEN(W6)-FIND("-",W6)-1),"")</f>
        <v/>
      </c>
      <c r="BN6" s="29" t="str">
        <f t="shared" ref="BN6:BN60" si="31">IFERROR(RIGHT(X6,LEN(X6)-FIND("-",X6)-1),"")</f>
        <v>Aziz, Dung</v>
      </c>
      <c r="BO6" s="29" t="str">
        <f t="shared" ref="BO6:BO60" si="32">IFERROR(RIGHT(Y6,LEN(Y6)-FIND("-",Y6)-1),"")</f>
        <v/>
      </c>
      <c r="BP6" s="115">
        <v>2</v>
      </c>
      <c r="BQ6" s="112" t="s">
        <v>3</v>
      </c>
      <c r="BR6" s="10">
        <v>1</v>
      </c>
      <c r="BS6" s="29" t="str">
        <f>IFERROR(RIGHT(AX6,LEN(AX6)-FIND(",",AX6)-1),AX6)</f>
        <v>Ngọc Ánh</v>
      </c>
      <c r="BT6" s="29" t="str">
        <f t="shared" ref="BT6:BT60" si="33">IFERROR(RIGHT(AY6,LEN(AY6)-FIND(",",AY6)-1),AY6)</f>
        <v>Nhi</v>
      </c>
      <c r="BU6" s="29" t="str">
        <f t="shared" ref="BU6:BU60" si="34">IFERROR(RIGHT(AZ6,LEN(AZ6)-FIND(",",AZ6)-1),AZ6)</f>
        <v>Linh TH</v>
      </c>
      <c r="BV6" s="29" t="str">
        <f t="shared" ref="BV6:BV60" si="35">IFERROR(RIGHT(BA6,LEN(BA6)-FIND(",",BA6)-1),BA6)</f>
        <v>Xuân</v>
      </c>
      <c r="BW6" s="29" t="str">
        <f t="shared" ref="BW6:BW60" si="36">IFERROR(RIGHT(BB6,LEN(BB6)-FIND(",",BB6)-1),BB6)</f>
        <v>Ngọc</v>
      </c>
      <c r="BX6" s="29" t="str">
        <f t="shared" ref="BX6:BX60" si="37">IFERROR(RIGHT(BC6,LEN(BC6)-FIND(",",BC6)-1),BC6)</f>
        <v>Ly</v>
      </c>
      <c r="BY6" s="29" t="str">
        <f t="shared" ref="BY6:BY60" si="38">IFERROR(RIGHT(BD6,LEN(BD6)-FIND(",",BD6)-1),BD6)</f>
        <v>Quỳnh</v>
      </c>
      <c r="BZ6" s="29" t="str">
        <f t="shared" ref="BZ6:BZ60" si="39">IFERROR(RIGHT(BE6,LEN(BE6)-FIND(",",BE6)-1),BE6)</f>
        <v>Chi</v>
      </c>
      <c r="CA6" s="29" t="str">
        <f t="shared" ref="CA6:CA60" si="40">IFERROR(RIGHT(BF6,LEN(BF6)-FIND(",",BF6)-1),BF6)</f>
        <v>Hà</v>
      </c>
      <c r="CB6" s="29" t="str">
        <f t="shared" ref="CB6:CB60" si="41">IFERROR(RIGHT(BG6,LEN(BG6)-FIND(",",BG6)-1),BG6)</f>
        <v>Ánh NV</v>
      </c>
      <c r="CC6" s="29" t="str">
        <f t="shared" ref="CC6:CC60" si="42">IFERROR(RIGHT(BH6,LEN(BH6)-FIND(",",BH6)-1),BH6)</f>
        <v>Tân</v>
      </c>
      <c r="CD6" s="29" t="str">
        <f t="shared" ref="CD6:CD60" si="43">IFERROR(RIGHT(BI6,LEN(BI6)-FIND(",",BI6)-1),BI6)</f>
        <v>Hiền</v>
      </c>
      <c r="CE6" s="29" t="str">
        <f t="shared" ref="CE6:CE60" si="44">IFERROR(RIGHT(BJ6,LEN(BJ6)-FIND(",",BJ6)-1),BJ6)</f>
        <v>MN1</v>
      </c>
      <c r="CG6" s="115">
        <v>2</v>
      </c>
      <c r="CH6" s="112" t="s">
        <v>3</v>
      </c>
      <c r="CI6" s="10">
        <v>1</v>
      </c>
      <c r="CJ6" s="29">
        <f>IF(BS6="","",COUNTIF($BS6:$CE6,BS6))</f>
        <v>1</v>
      </c>
      <c r="CK6" s="29">
        <f t="shared" ref="CK6:CK60" si="45">IF(BT6="","",COUNTIF($BS6:$CE6,BT6))</f>
        <v>1</v>
      </c>
      <c r="CL6" s="29">
        <f t="shared" ref="CL6:CL60" si="46">IF(BU6="","",COUNTIF($BS6:$CE6,BU6))</f>
        <v>1</v>
      </c>
      <c r="CM6" s="29">
        <f t="shared" ref="CM6:CM60" si="47">IF(BV6="","",COUNTIF($BS6:$CE6,BV6))</f>
        <v>1</v>
      </c>
      <c r="CN6" s="29">
        <f t="shared" ref="CN6:CN60" si="48">IF(BW6="","",COUNTIF($BS6:$CE6,BW6))</f>
        <v>1</v>
      </c>
      <c r="CO6" s="29">
        <f t="shared" ref="CO6:CO60" si="49">IF(BX6="","",COUNTIF($BS6:$CE6,BX6))</f>
        <v>1</v>
      </c>
      <c r="CP6" s="29">
        <f t="shared" ref="CP6:CP60" si="50">IF(BY6="","",COUNTIF($BS6:$CE6,BY6))</f>
        <v>1</v>
      </c>
      <c r="CQ6" s="29">
        <f t="shared" ref="CQ6:CQ60" si="51">IF(BZ6="","",COUNTIF($BS6:$CE6,BZ6))</f>
        <v>1</v>
      </c>
      <c r="CR6" s="29">
        <f t="shared" ref="CR6:CR60" si="52">IF(CA6="","",COUNTIF($BS6:$CE6,CA6))</f>
        <v>1</v>
      </c>
      <c r="CS6" s="29">
        <f t="shared" ref="CS6:CS60" si="53">IF(CB6="","",COUNTIF($BS6:$CE6,CB6))</f>
        <v>1</v>
      </c>
      <c r="CT6" s="29">
        <f t="shared" ref="CT6:CT60" si="54">IF(CC6="","",COUNTIF($BS6:$CE6,CC6))</f>
        <v>1</v>
      </c>
      <c r="CU6" s="29">
        <f t="shared" ref="CU6:CU60" si="55">IF(CD6="","",COUNTIF($BS6:$CE6,CD6))</f>
        <v>1</v>
      </c>
      <c r="CV6" s="29">
        <f t="shared" ref="CV6:CV60" si="56">IF(CE6="","",COUNTIF($BS6:$CE6,CE6))</f>
        <v>1</v>
      </c>
      <c r="CW6" s="29" t="str">
        <f t="shared" ref="CW6:CW60" si="57">IF(CF6="","",COUNTIF($BS6:$CE6,CF6))</f>
        <v/>
      </c>
      <c r="CX6" s="29">
        <f t="shared" ref="CX6:CX60" si="58">IF(CG6="","",COUNTIF($BS6:$CE6,CG6))</f>
        <v>0</v>
      </c>
      <c r="CY6" s="29">
        <f t="shared" ref="CY6:CY60" si="59">IF(CH6="","",COUNTIF($BS6:$CE6,CH6))</f>
        <v>0</v>
      </c>
      <c r="CZ6" s="29">
        <f t="shared" ref="CZ6:CZ60" si="60">IF(CI6="","",COUNTIF($BS6:$CE6,CI6))</f>
        <v>0</v>
      </c>
      <c r="DA6" s="29">
        <f t="shared" ref="DA6:DA60" si="61">IF(CJ6="","",COUNTIF($BS6:$CE6,CJ6))</f>
        <v>0</v>
      </c>
      <c r="DG6" s="115">
        <v>2</v>
      </c>
      <c r="DH6" s="112" t="s">
        <v>3</v>
      </c>
      <c r="DI6" s="10">
        <v>1</v>
      </c>
      <c r="DJ6" s="29" t="str">
        <f>IF(AC6="","",COUNTIF($AC6:$AO6,AC6))</f>
        <v/>
      </c>
      <c r="DK6" s="29" t="str">
        <f t="shared" ref="DK6:DK60" si="62">IF(AD6="","",COUNTIF($AC6:$AO6,AD6))</f>
        <v/>
      </c>
      <c r="DL6" s="29" t="str">
        <f t="shared" ref="DL6:DL60" si="63">IF(AE6="","",COUNTIF($AC6:$AO6,AE6))</f>
        <v/>
      </c>
      <c r="DM6" s="29" t="str">
        <f t="shared" ref="DM6:DM60" si="64">IF(AF6="","",COUNTIF($AC6:$AO6,AF6))</f>
        <v/>
      </c>
      <c r="DN6" s="29" t="str">
        <f t="shared" ref="DN6:DN60" si="65">IF(AG6="","",COUNTIF($AC6:$AO6,AG6))</f>
        <v/>
      </c>
      <c r="DO6" s="29" t="str">
        <f t="shared" ref="DO6:DO60" si="66">IF(AH6="","",COUNTIF($AC6:$AO6,AH6))</f>
        <v/>
      </c>
      <c r="DP6" s="29" t="str">
        <f t="shared" ref="DP6:DP60" si="67">IF(AI6="","",COUNTIF($AC6:$AO6,AI6))</f>
        <v/>
      </c>
      <c r="DQ6" s="29" t="str">
        <f t="shared" ref="DQ6:DQ60" si="68">IF(AJ6="","",COUNTIF($AC6:$AO6,AJ6))</f>
        <v/>
      </c>
      <c r="DR6" s="29" t="str">
        <f t="shared" ref="DR6:DR60" si="69">IF(AK6="","",COUNTIF($AC6:$AO6,AK6))</f>
        <v/>
      </c>
      <c r="DS6" s="29" t="str">
        <f t="shared" ref="DS6:DS60" si="70">IF(AL6="","",COUNTIF($AC6:$AO6,AL6))</f>
        <v/>
      </c>
      <c r="DT6" s="29" t="str">
        <f t="shared" ref="DT6:DT60" si="71">IF(AM6="","",COUNTIF($AC6:$AO6,AM6))</f>
        <v/>
      </c>
      <c r="DU6" s="29" t="str">
        <f t="shared" ref="DU6:DU60" si="72">IF(AN6="","",COUNTIF($AC6:$AO6,AN6))</f>
        <v/>
      </c>
      <c r="DV6" s="29" t="str">
        <f t="shared" ref="DV6:DV60" si="73">IF(AO6="","",COUNTIF($AC6:$AO6,AO6))</f>
        <v/>
      </c>
      <c r="DW6" s="29" t="str">
        <f t="shared" ref="DW6:DW60" si="74">IF(AP6="","",COUNTIF($AC6:$AO6,AP6))</f>
        <v/>
      </c>
      <c r="DX6" s="29" t="str">
        <f t="shared" ref="DX6:DX60" si="75">IF(AQ6="","",COUNTIF($AC6:$AO6,AQ6))</f>
        <v/>
      </c>
      <c r="DY6" s="29" t="str">
        <f t="shared" ref="DY6:DY60" si="76">IF(AR6="","",COUNTIF($AC6:$AO6,AR6))</f>
        <v/>
      </c>
      <c r="DZ6" s="29" t="str">
        <f t="shared" ref="DZ6:DZ60" si="77">IF(AS6="","",COUNTIF($AC6:$AO6,AS6))</f>
        <v/>
      </c>
      <c r="EA6" s="29" t="str">
        <f t="shared" ref="EA6:EA60" si="78">IF(AT6="","",COUNTIF($AC6:$AO6,AT6))</f>
        <v/>
      </c>
    </row>
    <row r="7" spans="5:131" ht="16.7" customHeight="1" x14ac:dyDescent="0.25">
      <c r="E7" s="116"/>
      <c r="F7" s="113"/>
      <c r="G7" s="15">
        <v>2</v>
      </c>
      <c r="H7" s="11" t="str">
        <f>TKB_LOP_SC!C7</f>
        <v>GVVN - Trang</v>
      </c>
      <c r="I7" s="11" t="str">
        <f>TKB_LOP_SC!E7</f>
        <v>GVNN - Tay, Huyền</v>
      </c>
      <c r="J7" s="5" t="str">
        <f>TKB_LOP_SC!G7</f>
        <v>TViệt - Linh TH</v>
      </c>
      <c r="K7" s="11" t="str">
        <f>TKB_LOP_SC!I7</f>
        <v>GVVN - Trà</v>
      </c>
      <c r="L7" s="11" t="str">
        <f>TKB_LOP_SC!M7</f>
        <v>Viết sáng tạo - Xuân</v>
      </c>
      <c r="M7" s="11" t="str">
        <f>TKB_LOP_SC!O7</f>
        <v>Toán - Chi</v>
      </c>
      <c r="N7" s="11" t="str">
        <f>TKB_LOP_SC!Q7</f>
        <v>TViệt - Ly</v>
      </c>
      <c r="O7" s="11" t="str">
        <f>TKB_LOP_SC!S7</f>
        <v>Science - Bích</v>
      </c>
      <c r="P7" s="5" t="str">
        <f>TKB_LOP_SC!W7</f>
        <v>GVVN - Chánh</v>
      </c>
      <c r="Q7" s="11" t="str">
        <f>TKB_LOP_SC!Y7</f>
        <v>Nhạc - Trang ÂN</v>
      </c>
      <c r="R7" s="11" t="str">
        <f>TKB_LOP_SC!AA7</f>
        <v>GVVN - Quỳnh</v>
      </c>
      <c r="S7" s="11" t="str">
        <f>TKB_LOP_SC!AC7</f>
        <v>Đọc sách - Hiền</v>
      </c>
      <c r="T7" s="2" t="str">
        <f>TKB_LOP_SC!AE7</f>
        <v>Đọc sách - MN1</v>
      </c>
      <c r="U7" s="2" t="str">
        <f>TKB_LOP_SC!AI7</f>
        <v>TViệt - MN2</v>
      </c>
      <c r="V7" s="2" t="str">
        <f>TKB_LOP_SC!AK7</f>
        <v>GVNN - Aziz Quỳnh</v>
      </c>
      <c r="W7" s="2">
        <f>TKB_LOP_SC!AM7</f>
        <v>0</v>
      </c>
      <c r="X7" s="2" t="str">
        <f>TKB_LOP_SC!AO7</f>
        <v>GVVN - Linh</v>
      </c>
      <c r="Y7" s="2">
        <f>TKB_LOP_SC!AQ7</f>
        <v>0</v>
      </c>
      <c r="Z7" s="116"/>
      <c r="AA7" s="113"/>
      <c r="AB7" s="15">
        <v>2</v>
      </c>
      <c r="AC7" s="11" t="str">
        <f t="shared" ref="AC7:AC60" si="79">IFERROR(LEFT(AX7,FIND(",",AX7)-1),"")</f>
        <v/>
      </c>
      <c r="AD7" s="11" t="str">
        <f t="shared" si="0"/>
        <v>Tay</v>
      </c>
      <c r="AE7" s="11" t="str">
        <f t="shared" si="1"/>
        <v/>
      </c>
      <c r="AF7" s="11" t="str">
        <f t="shared" si="2"/>
        <v/>
      </c>
      <c r="AG7" s="11" t="str">
        <f t="shared" si="3"/>
        <v/>
      </c>
      <c r="AH7" s="11" t="str">
        <f t="shared" si="4"/>
        <v/>
      </c>
      <c r="AI7" s="11" t="str">
        <f t="shared" si="5"/>
        <v/>
      </c>
      <c r="AJ7" s="11" t="str">
        <f t="shared" si="6"/>
        <v/>
      </c>
      <c r="AK7" s="11" t="str">
        <f t="shared" si="7"/>
        <v/>
      </c>
      <c r="AL7" s="11" t="str">
        <f t="shared" si="8"/>
        <v/>
      </c>
      <c r="AM7" s="11" t="str">
        <f t="shared" si="9"/>
        <v/>
      </c>
      <c r="AN7" s="11" t="str">
        <f t="shared" si="10"/>
        <v/>
      </c>
      <c r="AO7" s="11" t="str">
        <f t="shared" si="11"/>
        <v/>
      </c>
      <c r="AP7" s="11" t="str">
        <f t="shared" si="11"/>
        <v/>
      </c>
      <c r="AQ7" s="11" t="str">
        <f t="shared" si="12"/>
        <v/>
      </c>
      <c r="AR7" s="11" t="str">
        <f t="shared" si="13"/>
        <v/>
      </c>
      <c r="AS7" s="11" t="str">
        <f t="shared" si="14"/>
        <v/>
      </c>
      <c r="AT7" s="11" t="str">
        <f t="shared" si="15"/>
        <v/>
      </c>
      <c r="AU7" s="116"/>
      <c r="AV7" s="113"/>
      <c r="AW7" s="15">
        <v>2</v>
      </c>
      <c r="AX7" s="29" t="str">
        <f t="shared" ref="AX7:AX60" si="80">IFERROR(RIGHT(H7,LEN(H7)-FIND("-",H7)-1),"")</f>
        <v>Trang</v>
      </c>
      <c r="AY7" s="29" t="str">
        <f t="shared" si="16"/>
        <v>Tay, Huyền</v>
      </c>
      <c r="AZ7" s="29" t="str">
        <f t="shared" si="17"/>
        <v>Linh TH</v>
      </c>
      <c r="BA7" s="29" t="str">
        <f t="shared" si="18"/>
        <v>Trà</v>
      </c>
      <c r="BB7" s="29" t="str">
        <f t="shared" si="19"/>
        <v>Xuân</v>
      </c>
      <c r="BC7" s="29" t="str">
        <f t="shared" si="20"/>
        <v>Chi</v>
      </c>
      <c r="BD7" s="29" t="str">
        <f t="shared" si="21"/>
        <v>Ly</v>
      </c>
      <c r="BE7" s="29" t="str">
        <f t="shared" si="22"/>
        <v>Bích</v>
      </c>
      <c r="BF7" s="29" t="str">
        <f t="shared" si="23"/>
        <v>Chánh</v>
      </c>
      <c r="BG7" s="29" t="str">
        <f t="shared" si="24"/>
        <v>Trang ÂN</v>
      </c>
      <c r="BH7" s="29" t="str">
        <f t="shared" si="25"/>
        <v>Quỳnh</v>
      </c>
      <c r="BI7" s="29" t="str">
        <f t="shared" si="26"/>
        <v>Hiền</v>
      </c>
      <c r="BJ7" s="29" t="str">
        <f t="shared" si="27"/>
        <v>MN1</v>
      </c>
      <c r="BK7" s="29" t="str">
        <f t="shared" si="28"/>
        <v>MN2</v>
      </c>
      <c r="BL7" s="29" t="str">
        <f t="shared" si="29"/>
        <v>Aziz Quỳnh</v>
      </c>
      <c r="BM7" s="29" t="str">
        <f t="shared" si="30"/>
        <v/>
      </c>
      <c r="BN7" s="29" t="str">
        <f t="shared" si="31"/>
        <v>Linh</v>
      </c>
      <c r="BO7" s="29" t="str">
        <f t="shared" si="32"/>
        <v/>
      </c>
      <c r="BP7" s="116"/>
      <c r="BQ7" s="113"/>
      <c r="BR7" s="15">
        <v>2</v>
      </c>
      <c r="BS7" s="29" t="str">
        <f t="shared" ref="BS7:BS60" si="81">IFERROR(RIGHT(AX7,LEN(AX7)-FIND(",",AX7)-1),AX7)</f>
        <v>Trang</v>
      </c>
      <c r="BT7" s="29" t="str">
        <f t="shared" si="33"/>
        <v>Huyền</v>
      </c>
      <c r="BU7" s="29" t="str">
        <f t="shared" si="34"/>
        <v>Linh TH</v>
      </c>
      <c r="BV7" s="29" t="str">
        <f t="shared" si="35"/>
        <v>Trà</v>
      </c>
      <c r="BW7" s="29" t="str">
        <f t="shared" si="36"/>
        <v>Xuân</v>
      </c>
      <c r="BX7" s="29" t="str">
        <f t="shared" si="37"/>
        <v>Chi</v>
      </c>
      <c r="BY7" s="29" t="str">
        <f t="shared" si="38"/>
        <v>Ly</v>
      </c>
      <c r="BZ7" s="29" t="str">
        <f t="shared" si="39"/>
        <v>Bích</v>
      </c>
      <c r="CA7" s="29" t="str">
        <f t="shared" si="40"/>
        <v>Chánh</v>
      </c>
      <c r="CB7" s="29" t="str">
        <f t="shared" si="41"/>
        <v>Trang ÂN</v>
      </c>
      <c r="CC7" s="29" t="str">
        <f t="shared" si="42"/>
        <v>Quỳnh</v>
      </c>
      <c r="CD7" s="29" t="str">
        <f t="shared" si="43"/>
        <v>Hiền</v>
      </c>
      <c r="CE7" s="29" t="str">
        <f t="shared" si="44"/>
        <v>MN1</v>
      </c>
      <c r="CG7" s="116"/>
      <c r="CH7" s="113"/>
      <c r="CI7" s="15">
        <v>2</v>
      </c>
      <c r="CJ7" s="29">
        <f t="shared" ref="CJ7:CJ60" si="82">IF(BS7="","",COUNTIF($BS7:$CE7,BS7))</f>
        <v>1</v>
      </c>
      <c r="CK7" s="29">
        <f t="shared" si="45"/>
        <v>1</v>
      </c>
      <c r="CL7" s="29">
        <f t="shared" si="46"/>
        <v>1</v>
      </c>
      <c r="CM7" s="29">
        <f t="shared" si="47"/>
        <v>1</v>
      </c>
      <c r="CN7" s="29">
        <f t="shared" si="48"/>
        <v>1</v>
      </c>
      <c r="CO7" s="29">
        <f t="shared" si="49"/>
        <v>1</v>
      </c>
      <c r="CP7" s="29">
        <f t="shared" si="50"/>
        <v>1</v>
      </c>
      <c r="CQ7" s="29">
        <f t="shared" si="51"/>
        <v>1</v>
      </c>
      <c r="CR7" s="29">
        <f t="shared" si="52"/>
        <v>1</v>
      </c>
      <c r="CS7" s="29">
        <f t="shared" si="53"/>
        <v>1</v>
      </c>
      <c r="CT7" s="29">
        <f t="shared" si="54"/>
        <v>1</v>
      </c>
      <c r="CU7" s="29">
        <f t="shared" si="55"/>
        <v>1</v>
      </c>
      <c r="CV7" s="29">
        <f t="shared" si="56"/>
        <v>1</v>
      </c>
      <c r="CW7" s="29" t="str">
        <f t="shared" si="57"/>
        <v/>
      </c>
      <c r="CX7" s="29" t="str">
        <f t="shared" si="58"/>
        <v/>
      </c>
      <c r="CY7" s="29" t="str">
        <f t="shared" si="59"/>
        <v/>
      </c>
      <c r="CZ7" s="29">
        <f t="shared" si="60"/>
        <v>0</v>
      </c>
      <c r="DA7" s="29">
        <f t="shared" si="61"/>
        <v>0</v>
      </c>
      <c r="DG7" s="116"/>
      <c r="DH7" s="113"/>
      <c r="DI7" s="15">
        <v>2</v>
      </c>
      <c r="DJ7" s="29" t="str">
        <f t="shared" ref="DJ7:DJ60" si="83">IF(AC7="","",COUNTIF($AC7:$AO7,AC7))</f>
        <v/>
      </c>
      <c r="DK7" s="29">
        <f t="shared" si="62"/>
        <v>1</v>
      </c>
      <c r="DL7" s="29" t="str">
        <f t="shared" si="63"/>
        <v/>
      </c>
      <c r="DM7" s="29" t="str">
        <f t="shared" si="64"/>
        <v/>
      </c>
      <c r="DN7" s="29" t="str">
        <f t="shared" si="65"/>
        <v/>
      </c>
      <c r="DO7" s="29" t="str">
        <f t="shared" si="66"/>
        <v/>
      </c>
      <c r="DP7" s="29" t="str">
        <f t="shared" si="67"/>
        <v/>
      </c>
      <c r="DQ7" s="29" t="str">
        <f t="shared" si="68"/>
        <v/>
      </c>
      <c r="DR7" s="29" t="str">
        <f t="shared" si="69"/>
        <v/>
      </c>
      <c r="DS7" s="29" t="str">
        <f t="shared" si="70"/>
        <v/>
      </c>
      <c r="DT7" s="29" t="str">
        <f t="shared" si="71"/>
        <v/>
      </c>
      <c r="DU7" s="29" t="str">
        <f t="shared" si="72"/>
        <v/>
      </c>
      <c r="DV7" s="29" t="str">
        <f t="shared" si="73"/>
        <v/>
      </c>
      <c r="DW7" s="29" t="str">
        <f t="shared" si="74"/>
        <v/>
      </c>
      <c r="DX7" s="29" t="str">
        <f t="shared" si="75"/>
        <v/>
      </c>
      <c r="DY7" s="29" t="str">
        <f t="shared" si="76"/>
        <v/>
      </c>
      <c r="DZ7" s="29" t="str">
        <f t="shared" si="77"/>
        <v/>
      </c>
      <c r="EA7" s="29" t="str">
        <f t="shared" si="78"/>
        <v/>
      </c>
    </row>
    <row r="8" spans="5:131" ht="25.5" customHeight="1" x14ac:dyDescent="0.25">
      <c r="E8" s="116"/>
      <c r="F8" s="113"/>
      <c r="G8" s="15">
        <v>3</v>
      </c>
      <c r="H8" s="11" t="str">
        <f>TKB_LOP_SC!C8</f>
        <v>Toán - Ngọc Ánh</v>
      </c>
      <c r="I8" s="11" t="str">
        <f>TKB_LOP_SC!E8</f>
        <v>Nhạc - Trang ÂN</v>
      </c>
      <c r="J8" s="5" t="str">
        <f>TKB_LOP_SC!G8</f>
        <v>TViệt - Linh TH</v>
      </c>
      <c r="K8" s="11" t="str">
        <f>TKB_LOP_SC!I8</f>
        <v>TViệt - Xuân</v>
      </c>
      <c r="L8" s="11" t="str">
        <f>TKB_LOP_SC!M8</f>
        <v>TViệt - Ngọc</v>
      </c>
      <c r="M8" s="11" t="str">
        <f>TKB_LOP_SC!O8</f>
        <v>TViệt - Ly</v>
      </c>
      <c r="N8" s="11" t="str">
        <f>TKB_LOP_SC!Q8</f>
        <v>HĐTN - Phương Anh</v>
      </c>
      <c r="O8" s="11" t="str">
        <f>TKB_LOP_SC!S8</f>
        <v>Toán - Chi</v>
      </c>
      <c r="P8" s="5" t="str">
        <f>TKB_LOP_SC!W8</f>
        <v>GVNN - Tay, Chánh</v>
      </c>
      <c r="Q8" s="11" t="str">
        <f>TKB_LOP_SC!Y8</f>
        <v>Toán - Tân</v>
      </c>
      <c r="R8" s="11" t="str">
        <f>TKB_LOP_SC!AA8</f>
        <v>LS&amp;ĐL - Hà</v>
      </c>
      <c r="S8" s="11" t="str">
        <f>TKB_LOP_SC!AC8</f>
        <v>GVVN - Huyền</v>
      </c>
      <c r="T8" s="2" t="str">
        <f>TKB_LOP_SC!AE8</f>
        <v>GDTC - Hồng</v>
      </c>
      <c r="U8" s="2" t="str">
        <f>TKB_LOP_SC!AI8</f>
        <v>Toán - MN2</v>
      </c>
      <c r="V8" s="2">
        <f>TKB_LOP_SC!AK8</f>
        <v>0</v>
      </c>
      <c r="W8" s="2" t="str">
        <f>TKB_LOP_SC!AM8</f>
        <v>GVNN - Aziz, Ngân</v>
      </c>
      <c r="X8" s="2">
        <f>TKB_LOP_SC!AO8</f>
        <v>0</v>
      </c>
      <c r="Y8" s="2" t="str">
        <f>TKB_LOP_SC!AQ8</f>
        <v>GVVN - Linh</v>
      </c>
      <c r="Z8" s="116"/>
      <c r="AA8" s="113"/>
      <c r="AB8" s="15">
        <v>3</v>
      </c>
      <c r="AC8" s="11" t="str">
        <f t="shared" si="79"/>
        <v/>
      </c>
      <c r="AD8" s="11" t="str">
        <f t="shared" si="0"/>
        <v/>
      </c>
      <c r="AE8" s="11" t="str">
        <f t="shared" si="1"/>
        <v/>
      </c>
      <c r="AF8" s="11" t="str">
        <f t="shared" si="2"/>
        <v/>
      </c>
      <c r="AG8" s="11" t="str">
        <f t="shared" si="3"/>
        <v/>
      </c>
      <c r="AH8" s="11" t="str">
        <f t="shared" si="4"/>
        <v/>
      </c>
      <c r="AI8" s="11" t="str">
        <f t="shared" si="5"/>
        <v/>
      </c>
      <c r="AJ8" s="11" t="str">
        <f t="shared" si="6"/>
        <v/>
      </c>
      <c r="AK8" s="11" t="str">
        <f t="shared" si="7"/>
        <v>Tay</v>
      </c>
      <c r="AL8" s="11" t="str">
        <f t="shared" si="8"/>
        <v/>
      </c>
      <c r="AM8" s="11" t="str">
        <f t="shared" si="9"/>
        <v/>
      </c>
      <c r="AN8" s="11" t="str">
        <f t="shared" si="10"/>
        <v/>
      </c>
      <c r="AO8" s="11" t="str">
        <f t="shared" si="11"/>
        <v/>
      </c>
      <c r="AP8" s="11" t="str">
        <f t="shared" si="11"/>
        <v/>
      </c>
      <c r="AQ8" s="11" t="str">
        <f t="shared" si="12"/>
        <v/>
      </c>
      <c r="AR8" s="11" t="str">
        <f t="shared" si="13"/>
        <v/>
      </c>
      <c r="AS8" s="11" t="str">
        <f t="shared" si="14"/>
        <v/>
      </c>
      <c r="AT8" s="11" t="str">
        <f t="shared" si="15"/>
        <v/>
      </c>
      <c r="AU8" s="116"/>
      <c r="AV8" s="113"/>
      <c r="AW8" s="15">
        <v>3</v>
      </c>
      <c r="AX8" s="29" t="str">
        <f t="shared" si="80"/>
        <v>Ngọc Ánh</v>
      </c>
      <c r="AY8" s="29" t="str">
        <f t="shared" si="16"/>
        <v>Trang ÂN</v>
      </c>
      <c r="AZ8" s="29" t="str">
        <f t="shared" si="17"/>
        <v>Linh TH</v>
      </c>
      <c r="BA8" s="29" t="str">
        <f t="shared" si="18"/>
        <v>Xuân</v>
      </c>
      <c r="BB8" s="29" t="str">
        <f t="shared" si="19"/>
        <v>Ngọc</v>
      </c>
      <c r="BC8" s="29" t="str">
        <f t="shared" si="20"/>
        <v>Ly</v>
      </c>
      <c r="BD8" s="29" t="str">
        <f t="shared" si="21"/>
        <v>Phương Anh</v>
      </c>
      <c r="BE8" s="29" t="str">
        <f t="shared" si="22"/>
        <v>Chi</v>
      </c>
      <c r="BF8" s="29" t="str">
        <f t="shared" si="23"/>
        <v>Tay, Chánh</v>
      </c>
      <c r="BG8" s="29" t="str">
        <f t="shared" si="24"/>
        <v>Tân</v>
      </c>
      <c r="BH8" s="29" t="str">
        <f t="shared" si="25"/>
        <v>Hà</v>
      </c>
      <c r="BI8" s="29" t="str">
        <f t="shared" si="26"/>
        <v>Huyền</v>
      </c>
      <c r="BJ8" s="29" t="str">
        <f t="shared" si="27"/>
        <v>Hồng</v>
      </c>
      <c r="BK8" s="29" t="str">
        <f t="shared" si="28"/>
        <v>MN2</v>
      </c>
      <c r="BL8" s="29" t="str">
        <f t="shared" si="29"/>
        <v/>
      </c>
      <c r="BM8" s="29" t="str">
        <f t="shared" si="30"/>
        <v>Aziz, Ngân</v>
      </c>
      <c r="BN8" s="29" t="str">
        <f t="shared" si="31"/>
        <v/>
      </c>
      <c r="BO8" s="29" t="str">
        <f t="shared" si="32"/>
        <v>Linh</v>
      </c>
      <c r="BP8" s="116"/>
      <c r="BQ8" s="113"/>
      <c r="BR8" s="15">
        <v>3</v>
      </c>
      <c r="BS8" s="29" t="str">
        <f t="shared" si="81"/>
        <v>Ngọc Ánh</v>
      </c>
      <c r="BT8" s="29" t="str">
        <f t="shared" si="33"/>
        <v>Trang ÂN</v>
      </c>
      <c r="BU8" s="29" t="str">
        <f t="shared" si="34"/>
        <v>Linh TH</v>
      </c>
      <c r="BV8" s="29" t="str">
        <f t="shared" si="35"/>
        <v>Xuân</v>
      </c>
      <c r="BW8" s="29" t="str">
        <f t="shared" si="36"/>
        <v>Ngọc</v>
      </c>
      <c r="BX8" s="29" t="str">
        <f t="shared" si="37"/>
        <v>Ly</v>
      </c>
      <c r="BY8" s="29" t="str">
        <f t="shared" si="38"/>
        <v>Phương Anh</v>
      </c>
      <c r="BZ8" s="29" t="str">
        <f t="shared" si="39"/>
        <v>Chi</v>
      </c>
      <c r="CA8" s="29" t="str">
        <f t="shared" si="40"/>
        <v>Chánh</v>
      </c>
      <c r="CB8" s="29" t="str">
        <f t="shared" si="41"/>
        <v>Tân</v>
      </c>
      <c r="CC8" s="29" t="str">
        <f t="shared" si="42"/>
        <v>Hà</v>
      </c>
      <c r="CD8" s="29" t="str">
        <f t="shared" si="43"/>
        <v>Huyền</v>
      </c>
      <c r="CE8" s="29" t="str">
        <f t="shared" si="44"/>
        <v>Hồng</v>
      </c>
      <c r="CG8" s="116"/>
      <c r="CH8" s="113"/>
      <c r="CI8" s="15">
        <v>3</v>
      </c>
      <c r="CJ8" s="29">
        <f t="shared" si="82"/>
        <v>1</v>
      </c>
      <c r="CK8" s="29">
        <f t="shared" si="45"/>
        <v>1</v>
      </c>
      <c r="CL8" s="29">
        <f t="shared" si="46"/>
        <v>1</v>
      </c>
      <c r="CM8" s="29">
        <f t="shared" si="47"/>
        <v>1</v>
      </c>
      <c r="CN8" s="29">
        <f t="shared" si="48"/>
        <v>1</v>
      </c>
      <c r="CO8" s="29">
        <f t="shared" si="49"/>
        <v>1</v>
      </c>
      <c r="CP8" s="29">
        <f t="shared" si="50"/>
        <v>1</v>
      </c>
      <c r="CQ8" s="29">
        <f t="shared" si="51"/>
        <v>1</v>
      </c>
      <c r="CR8" s="29">
        <f t="shared" si="52"/>
        <v>1</v>
      </c>
      <c r="CS8" s="29">
        <f t="shared" si="53"/>
        <v>1</v>
      </c>
      <c r="CT8" s="29">
        <f t="shared" si="54"/>
        <v>1</v>
      </c>
      <c r="CU8" s="29">
        <f t="shared" si="55"/>
        <v>1</v>
      </c>
      <c r="CV8" s="29">
        <f t="shared" si="56"/>
        <v>1</v>
      </c>
      <c r="CW8" s="29" t="str">
        <f t="shared" si="57"/>
        <v/>
      </c>
      <c r="CX8" s="29" t="str">
        <f t="shared" si="58"/>
        <v/>
      </c>
      <c r="CY8" s="29" t="str">
        <f t="shared" si="59"/>
        <v/>
      </c>
      <c r="CZ8" s="29">
        <f t="shared" si="60"/>
        <v>0</v>
      </c>
      <c r="DA8" s="29">
        <f t="shared" si="61"/>
        <v>0</v>
      </c>
      <c r="DG8" s="116"/>
      <c r="DH8" s="113"/>
      <c r="DI8" s="15">
        <v>3</v>
      </c>
      <c r="DJ8" s="29" t="str">
        <f t="shared" si="83"/>
        <v/>
      </c>
      <c r="DK8" s="29" t="str">
        <f t="shared" si="62"/>
        <v/>
      </c>
      <c r="DL8" s="29" t="str">
        <f t="shared" si="63"/>
        <v/>
      </c>
      <c r="DM8" s="29" t="str">
        <f t="shared" si="64"/>
        <v/>
      </c>
      <c r="DN8" s="29" t="str">
        <f t="shared" si="65"/>
        <v/>
      </c>
      <c r="DO8" s="29" t="str">
        <f t="shared" si="66"/>
        <v/>
      </c>
      <c r="DP8" s="29" t="str">
        <f t="shared" si="67"/>
        <v/>
      </c>
      <c r="DQ8" s="29" t="str">
        <f t="shared" si="68"/>
        <v/>
      </c>
      <c r="DR8" s="29">
        <f t="shared" si="69"/>
        <v>1</v>
      </c>
      <c r="DS8" s="29" t="str">
        <f t="shared" si="70"/>
        <v/>
      </c>
      <c r="DT8" s="29" t="str">
        <f t="shared" si="71"/>
        <v/>
      </c>
      <c r="DU8" s="29" t="str">
        <f t="shared" si="72"/>
        <v/>
      </c>
      <c r="DV8" s="29" t="str">
        <f t="shared" si="73"/>
        <v/>
      </c>
      <c r="DW8" s="29" t="str">
        <f t="shared" si="74"/>
        <v/>
      </c>
      <c r="DX8" s="29" t="str">
        <f t="shared" si="75"/>
        <v/>
      </c>
      <c r="DY8" s="29" t="str">
        <f t="shared" si="76"/>
        <v/>
      </c>
      <c r="DZ8" s="29" t="str">
        <f t="shared" si="77"/>
        <v/>
      </c>
      <c r="EA8" s="29" t="str">
        <f t="shared" si="78"/>
        <v/>
      </c>
    </row>
    <row r="9" spans="5:131" ht="16.7" customHeight="1" x14ac:dyDescent="0.25">
      <c r="E9" s="116"/>
      <c r="F9" s="113"/>
      <c r="G9" s="15">
        <v>4</v>
      </c>
      <c r="H9" s="11" t="str">
        <f>TKB_LOP_SC!C9</f>
        <v>Tin - Nguyên</v>
      </c>
      <c r="I9" s="11" t="str">
        <f>TKB_LOP_SC!E9</f>
        <v>Science - Trà</v>
      </c>
      <c r="J9" s="5" t="str">
        <f>TKB_LOP_SC!G9</f>
        <v>GVVN - Trang</v>
      </c>
      <c r="K9" s="11" t="str">
        <f>TKB_LOP_SC!I9</f>
        <v>TViệt - Xuân</v>
      </c>
      <c r="L9" s="11" t="str">
        <f>TKB_LOP_SC!M9</f>
        <v>TNXH - Nhi</v>
      </c>
      <c r="M9" s="11" t="str">
        <f>TKB_LOP_SC!O9</f>
        <v>Toán - Chi</v>
      </c>
      <c r="N9" s="11" t="str">
        <f>TKB_LOP_SC!Q9</f>
        <v>GVNN - Tay, Quỳnh</v>
      </c>
      <c r="O9" s="11" t="str">
        <f>TKB_LOP_SC!S9</f>
        <v>TViệt - Ngọc</v>
      </c>
      <c r="P9" s="5" t="str">
        <f>TKB_LOP_SC!W9</f>
        <v>Nhạc - Trang ÂN</v>
      </c>
      <c r="Q9" s="11" t="str">
        <f>TKB_LOP_SC!Y9</f>
        <v>GVVN - Chánh</v>
      </c>
      <c r="R9" s="11" t="str">
        <f>TKB_LOP_SC!AA9</f>
        <v>Văn - Ánh NV</v>
      </c>
      <c r="S9" s="11" t="str">
        <f>TKB_LOP_SC!AC9</f>
        <v>GVNN - Aziz, Huyền</v>
      </c>
      <c r="T9" s="2" t="str">
        <f>TKB_LOP_SC!AE9</f>
        <v>GDTC - Hồng</v>
      </c>
      <c r="U9" s="2" t="str">
        <f>TKB_LOP_SC!AI9</f>
        <v>Toán - MN2</v>
      </c>
      <c r="V9" s="2">
        <f>TKB_LOP_SC!AK9</f>
        <v>0</v>
      </c>
      <c r="W9" s="2">
        <f>TKB_LOP_SC!AM9</f>
        <v>0</v>
      </c>
      <c r="X9" s="2">
        <f>TKB_LOP_SC!AO9</f>
        <v>0</v>
      </c>
      <c r="Y9" s="2">
        <f>TKB_LOP_SC!AQ9</f>
        <v>0</v>
      </c>
      <c r="Z9" s="116"/>
      <c r="AA9" s="113"/>
      <c r="AB9" s="15">
        <v>4</v>
      </c>
      <c r="AC9" s="11" t="str">
        <f t="shared" si="79"/>
        <v/>
      </c>
      <c r="AD9" s="11" t="str">
        <f t="shared" si="0"/>
        <v/>
      </c>
      <c r="AE9" s="11" t="str">
        <f t="shared" si="1"/>
        <v/>
      </c>
      <c r="AF9" s="11" t="str">
        <f t="shared" si="2"/>
        <v/>
      </c>
      <c r="AG9" s="11" t="str">
        <f t="shared" si="3"/>
        <v/>
      </c>
      <c r="AH9" s="11" t="str">
        <f t="shared" si="4"/>
        <v/>
      </c>
      <c r="AI9" s="11" t="str">
        <f t="shared" si="5"/>
        <v>Tay</v>
      </c>
      <c r="AJ9" s="11" t="str">
        <f t="shared" si="6"/>
        <v/>
      </c>
      <c r="AK9" s="11" t="str">
        <f t="shared" si="7"/>
        <v/>
      </c>
      <c r="AL9" s="11" t="str">
        <f t="shared" si="8"/>
        <v/>
      </c>
      <c r="AM9" s="11" t="str">
        <f t="shared" si="9"/>
        <v/>
      </c>
      <c r="AN9" s="11" t="str">
        <f t="shared" si="10"/>
        <v>Aziz</v>
      </c>
      <c r="AO9" s="11" t="str">
        <f t="shared" si="11"/>
        <v/>
      </c>
      <c r="AP9" s="11" t="str">
        <f t="shared" si="11"/>
        <v/>
      </c>
      <c r="AQ9" s="11" t="str">
        <f t="shared" si="12"/>
        <v/>
      </c>
      <c r="AR9" s="11" t="str">
        <f t="shared" si="13"/>
        <v/>
      </c>
      <c r="AS9" s="11" t="str">
        <f t="shared" si="14"/>
        <v/>
      </c>
      <c r="AT9" s="11" t="str">
        <f t="shared" si="15"/>
        <v/>
      </c>
      <c r="AU9" s="116"/>
      <c r="AV9" s="113"/>
      <c r="AW9" s="15">
        <v>4</v>
      </c>
      <c r="AX9" s="29" t="str">
        <f t="shared" si="80"/>
        <v>Nguyên</v>
      </c>
      <c r="AY9" s="29" t="str">
        <f t="shared" si="16"/>
        <v>Trà</v>
      </c>
      <c r="AZ9" s="29" t="str">
        <f t="shared" si="17"/>
        <v>Trang</v>
      </c>
      <c r="BA9" s="29" t="str">
        <f t="shared" si="18"/>
        <v>Xuân</v>
      </c>
      <c r="BB9" s="29" t="str">
        <f t="shared" si="19"/>
        <v>Nhi</v>
      </c>
      <c r="BC9" s="29" t="str">
        <f t="shared" si="20"/>
        <v>Chi</v>
      </c>
      <c r="BD9" s="29" t="str">
        <f t="shared" si="21"/>
        <v>Tay, Quỳnh</v>
      </c>
      <c r="BE9" s="29" t="str">
        <f t="shared" si="22"/>
        <v>Ngọc</v>
      </c>
      <c r="BF9" s="29" t="str">
        <f t="shared" si="23"/>
        <v>Trang ÂN</v>
      </c>
      <c r="BG9" s="29" t="str">
        <f t="shared" si="24"/>
        <v>Chánh</v>
      </c>
      <c r="BH9" s="29" t="str">
        <f t="shared" si="25"/>
        <v>Ánh NV</v>
      </c>
      <c r="BI9" s="29" t="str">
        <f t="shared" si="26"/>
        <v>Aziz, Huyền</v>
      </c>
      <c r="BJ9" s="29" t="str">
        <f t="shared" si="27"/>
        <v>Hồng</v>
      </c>
      <c r="BK9" s="29" t="str">
        <f t="shared" si="28"/>
        <v>MN2</v>
      </c>
      <c r="BL9" s="29" t="str">
        <f t="shared" si="29"/>
        <v/>
      </c>
      <c r="BM9" s="29" t="str">
        <f t="shared" si="30"/>
        <v/>
      </c>
      <c r="BN9" s="29" t="str">
        <f t="shared" si="31"/>
        <v/>
      </c>
      <c r="BO9" s="29" t="str">
        <f t="shared" si="32"/>
        <v/>
      </c>
      <c r="BP9" s="116"/>
      <c r="BQ9" s="113"/>
      <c r="BR9" s="15">
        <v>4</v>
      </c>
      <c r="BS9" s="29" t="str">
        <f t="shared" si="81"/>
        <v>Nguyên</v>
      </c>
      <c r="BT9" s="29" t="str">
        <f t="shared" si="33"/>
        <v>Trà</v>
      </c>
      <c r="BU9" s="29" t="str">
        <f t="shared" si="34"/>
        <v>Trang</v>
      </c>
      <c r="BV9" s="29" t="str">
        <f t="shared" si="35"/>
        <v>Xuân</v>
      </c>
      <c r="BW9" s="29" t="str">
        <f t="shared" si="36"/>
        <v>Nhi</v>
      </c>
      <c r="BX9" s="29" t="str">
        <f t="shared" si="37"/>
        <v>Chi</v>
      </c>
      <c r="BY9" s="29" t="str">
        <f t="shared" si="38"/>
        <v>Quỳnh</v>
      </c>
      <c r="BZ9" s="29" t="str">
        <f t="shared" si="39"/>
        <v>Ngọc</v>
      </c>
      <c r="CA9" s="29" t="str">
        <f t="shared" si="40"/>
        <v>Trang ÂN</v>
      </c>
      <c r="CB9" s="29" t="str">
        <f t="shared" si="41"/>
        <v>Chánh</v>
      </c>
      <c r="CC9" s="29" t="str">
        <f t="shared" si="42"/>
        <v>Ánh NV</v>
      </c>
      <c r="CD9" s="29" t="str">
        <f t="shared" si="43"/>
        <v>Huyền</v>
      </c>
      <c r="CE9" s="29" t="str">
        <f t="shared" si="44"/>
        <v>Hồng</v>
      </c>
      <c r="CG9" s="116"/>
      <c r="CH9" s="113"/>
      <c r="CI9" s="15">
        <v>4</v>
      </c>
      <c r="CJ9" s="29">
        <f t="shared" si="82"/>
        <v>1</v>
      </c>
      <c r="CK9" s="29">
        <f t="shared" si="45"/>
        <v>1</v>
      </c>
      <c r="CL9" s="29">
        <f t="shared" si="46"/>
        <v>1</v>
      </c>
      <c r="CM9" s="29">
        <f t="shared" si="47"/>
        <v>1</v>
      </c>
      <c r="CN9" s="29">
        <f t="shared" si="48"/>
        <v>1</v>
      </c>
      <c r="CO9" s="29">
        <f t="shared" si="49"/>
        <v>1</v>
      </c>
      <c r="CP9" s="29">
        <f t="shared" si="50"/>
        <v>1</v>
      </c>
      <c r="CQ9" s="29">
        <f t="shared" si="51"/>
        <v>1</v>
      </c>
      <c r="CR9" s="29">
        <f t="shared" si="52"/>
        <v>1</v>
      </c>
      <c r="CS9" s="29">
        <f t="shared" si="53"/>
        <v>1</v>
      </c>
      <c r="CT9" s="29">
        <f t="shared" si="54"/>
        <v>1</v>
      </c>
      <c r="CU9" s="29">
        <f t="shared" si="55"/>
        <v>1</v>
      </c>
      <c r="CV9" s="29">
        <f t="shared" si="56"/>
        <v>1</v>
      </c>
      <c r="CW9" s="29" t="str">
        <f t="shared" si="57"/>
        <v/>
      </c>
      <c r="CX9" s="29" t="str">
        <f t="shared" si="58"/>
        <v/>
      </c>
      <c r="CY9" s="29" t="str">
        <f t="shared" si="59"/>
        <v/>
      </c>
      <c r="CZ9" s="29">
        <f t="shared" si="60"/>
        <v>0</v>
      </c>
      <c r="DA9" s="29">
        <f t="shared" si="61"/>
        <v>0</v>
      </c>
      <c r="DG9" s="116"/>
      <c r="DH9" s="113"/>
      <c r="DI9" s="15">
        <v>4</v>
      </c>
      <c r="DJ9" s="29" t="str">
        <f t="shared" si="83"/>
        <v/>
      </c>
      <c r="DK9" s="29" t="str">
        <f t="shared" si="62"/>
        <v/>
      </c>
      <c r="DL9" s="29" t="str">
        <f t="shared" si="63"/>
        <v/>
      </c>
      <c r="DM9" s="29" t="str">
        <f t="shared" si="64"/>
        <v/>
      </c>
      <c r="DN9" s="29" t="str">
        <f t="shared" si="65"/>
        <v/>
      </c>
      <c r="DO9" s="29" t="str">
        <f t="shared" si="66"/>
        <v/>
      </c>
      <c r="DP9" s="29">
        <f t="shared" si="67"/>
        <v>1</v>
      </c>
      <c r="DQ9" s="29" t="str">
        <f t="shared" si="68"/>
        <v/>
      </c>
      <c r="DR9" s="29" t="str">
        <f t="shared" si="69"/>
        <v/>
      </c>
      <c r="DS9" s="29" t="str">
        <f t="shared" si="70"/>
        <v/>
      </c>
      <c r="DT9" s="29" t="str">
        <f t="shared" si="71"/>
        <v/>
      </c>
      <c r="DU9" s="29">
        <f t="shared" si="72"/>
        <v>1</v>
      </c>
      <c r="DV9" s="29" t="str">
        <f t="shared" si="73"/>
        <v/>
      </c>
      <c r="DW9" s="29" t="str">
        <f t="shared" si="74"/>
        <v/>
      </c>
      <c r="DX9" s="29" t="str">
        <f t="shared" si="75"/>
        <v/>
      </c>
      <c r="DY9" s="29" t="str">
        <f t="shared" si="76"/>
        <v/>
      </c>
      <c r="DZ9" s="29" t="str">
        <f t="shared" si="77"/>
        <v/>
      </c>
      <c r="EA9" s="29" t="str">
        <f t="shared" si="78"/>
        <v/>
      </c>
    </row>
    <row r="10" spans="5:131" ht="16.7" customHeight="1" x14ac:dyDescent="0.25">
      <c r="E10" s="117"/>
      <c r="F10" s="114"/>
      <c r="G10" s="16">
        <v>5</v>
      </c>
      <c r="H10" s="11">
        <f>TKB_LOP_SC!C10</f>
        <v>0</v>
      </c>
      <c r="I10" s="11">
        <f>TKB_LOP_SC!E10</f>
        <v>0</v>
      </c>
      <c r="J10" s="5">
        <f>TKB_LOP_SC!G10</f>
        <v>0</v>
      </c>
      <c r="K10" s="11">
        <f>TKB_LOP_SC!I10</f>
        <v>0</v>
      </c>
      <c r="L10" s="11">
        <f>TKB_LOP_SC!M10</f>
        <v>0</v>
      </c>
      <c r="M10" s="11">
        <f>TKB_LOP_SC!O10</f>
        <v>0</v>
      </c>
      <c r="N10" s="11">
        <f>TKB_LOP_SC!Q10</f>
        <v>0</v>
      </c>
      <c r="O10" s="11">
        <f>TKB_LOP_SC!S10</f>
        <v>0</v>
      </c>
      <c r="P10" s="5" t="str">
        <f>TKB_LOP_SC!W10</f>
        <v>Toán - Tân</v>
      </c>
      <c r="Q10" s="11" t="str">
        <f>TKB_LOP_SC!Y10</f>
        <v>GVVN - Chánh</v>
      </c>
      <c r="R10" s="11" t="str">
        <f>TKB_LOP_SC!AA10</f>
        <v>Văn - Ánh NV</v>
      </c>
      <c r="S10" s="11">
        <f>TKB_LOP_SC!AC10</f>
        <v>0</v>
      </c>
      <c r="T10" s="2">
        <f>TKB_LOP_SC!AE10</f>
        <v>0</v>
      </c>
      <c r="U10" s="2">
        <f>TKB_LOP_SC!AI10</f>
        <v>0</v>
      </c>
      <c r="V10" s="2">
        <f>TKB_LOP_SC!AK10</f>
        <v>0</v>
      </c>
      <c r="W10" s="2">
        <f>TKB_LOP_SC!AM10</f>
        <v>0</v>
      </c>
      <c r="X10" s="2">
        <f>TKB_LOP_SC!AO10</f>
        <v>0</v>
      </c>
      <c r="Y10" s="2">
        <f>TKB_LOP_SC!AQ10</f>
        <v>0</v>
      </c>
      <c r="Z10" s="117"/>
      <c r="AA10" s="114"/>
      <c r="AB10" s="16">
        <v>5</v>
      </c>
      <c r="AC10" s="11" t="str">
        <f t="shared" si="79"/>
        <v/>
      </c>
      <c r="AD10" s="11" t="str">
        <f t="shared" si="0"/>
        <v/>
      </c>
      <c r="AE10" s="11" t="str">
        <f t="shared" si="1"/>
        <v/>
      </c>
      <c r="AF10" s="11" t="str">
        <f t="shared" si="2"/>
        <v/>
      </c>
      <c r="AG10" s="11" t="str">
        <f t="shared" si="3"/>
        <v/>
      </c>
      <c r="AH10" s="11" t="str">
        <f t="shared" si="4"/>
        <v/>
      </c>
      <c r="AI10" s="11" t="str">
        <f t="shared" si="5"/>
        <v/>
      </c>
      <c r="AJ10" s="11" t="str">
        <f t="shared" si="6"/>
        <v/>
      </c>
      <c r="AK10" s="11" t="str">
        <f t="shared" si="7"/>
        <v/>
      </c>
      <c r="AL10" s="11" t="str">
        <f t="shared" si="8"/>
        <v/>
      </c>
      <c r="AM10" s="11" t="str">
        <f t="shared" si="9"/>
        <v/>
      </c>
      <c r="AN10" s="11" t="str">
        <f t="shared" si="10"/>
        <v/>
      </c>
      <c r="AO10" s="11" t="str">
        <f t="shared" si="11"/>
        <v/>
      </c>
      <c r="AP10" s="11" t="str">
        <f t="shared" si="11"/>
        <v/>
      </c>
      <c r="AQ10" s="11" t="str">
        <f t="shared" si="12"/>
        <v/>
      </c>
      <c r="AR10" s="11" t="str">
        <f t="shared" si="13"/>
        <v/>
      </c>
      <c r="AS10" s="11" t="str">
        <f t="shared" si="14"/>
        <v/>
      </c>
      <c r="AT10" s="11" t="str">
        <f t="shared" si="15"/>
        <v/>
      </c>
      <c r="AU10" s="117"/>
      <c r="AV10" s="114"/>
      <c r="AW10" s="16">
        <v>5</v>
      </c>
      <c r="AX10" s="29" t="str">
        <f t="shared" si="80"/>
        <v/>
      </c>
      <c r="AY10" s="29" t="str">
        <f t="shared" si="16"/>
        <v/>
      </c>
      <c r="AZ10" s="29" t="str">
        <f t="shared" si="17"/>
        <v/>
      </c>
      <c r="BA10" s="29" t="str">
        <f t="shared" si="18"/>
        <v/>
      </c>
      <c r="BB10" s="29" t="str">
        <f t="shared" si="19"/>
        <v/>
      </c>
      <c r="BC10" s="29" t="str">
        <f t="shared" si="20"/>
        <v/>
      </c>
      <c r="BD10" s="29" t="str">
        <f t="shared" si="21"/>
        <v/>
      </c>
      <c r="BE10" s="29" t="str">
        <f t="shared" si="22"/>
        <v/>
      </c>
      <c r="BF10" s="29" t="str">
        <f t="shared" si="23"/>
        <v>Tân</v>
      </c>
      <c r="BG10" s="29" t="str">
        <f t="shared" si="24"/>
        <v>Chánh</v>
      </c>
      <c r="BH10" s="29" t="str">
        <f t="shared" si="25"/>
        <v>Ánh NV</v>
      </c>
      <c r="BI10" s="29" t="str">
        <f t="shared" si="26"/>
        <v/>
      </c>
      <c r="BJ10" s="29" t="str">
        <f t="shared" si="27"/>
        <v/>
      </c>
      <c r="BK10" s="29" t="str">
        <f t="shared" si="28"/>
        <v/>
      </c>
      <c r="BL10" s="29" t="str">
        <f t="shared" si="29"/>
        <v/>
      </c>
      <c r="BM10" s="29" t="str">
        <f t="shared" si="30"/>
        <v/>
      </c>
      <c r="BN10" s="29" t="str">
        <f t="shared" si="31"/>
        <v/>
      </c>
      <c r="BO10" s="29" t="str">
        <f t="shared" si="32"/>
        <v/>
      </c>
      <c r="BP10" s="117"/>
      <c r="BQ10" s="114"/>
      <c r="BR10" s="16">
        <v>5</v>
      </c>
      <c r="BS10" s="29" t="str">
        <f t="shared" si="81"/>
        <v/>
      </c>
      <c r="BT10" s="29" t="str">
        <f t="shared" si="33"/>
        <v/>
      </c>
      <c r="BU10" s="29" t="str">
        <f t="shared" si="34"/>
        <v/>
      </c>
      <c r="BV10" s="29" t="str">
        <f t="shared" si="35"/>
        <v/>
      </c>
      <c r="BW10" s="29" t="str">
        <f t="shared" si="36"/>
        <v/>
      </c>
      <c r="BX10" s="29" t="str">
        <f t="shared" si="37"/>
        <v/>
      </c>
      <c r="BY10" s="29" t="str">
        <f t="shared" si="38"/>
        <v/>
      </c>
      <c r="BZ10" s="29" t="str">
        <f t="shared" si="39"/>
        <v/>
      </c>
      <c r="CA10" s="29" t="str">
        <f t="shared" si="40"/>
        <v>Tân</v>
      </c>
      <c r="CB10" s="29" t="str">
        <f t="shared" si="41"/>
        <v>Chánh</v>
      </c>
      <c r="CC10" s="29" t="str">
        <f t="shared" si="42"/>
        <v>Ánh NV</v>
      </c>
      <c r="CD10" s="29" t="str">
        <f t="shared" si="43"/>
        <v/>
      </c>
      <c r="CE10" s="29" t="str">
        <f t="shared" si="44"/>
        <v/>
      </c>
      <c r="CG10" s="117"/>
      <c r="CH10" s="114"/>
      <c r="CI10" s="16">
        <v>5</v>
      </c>
      <c r="CJ10" s="29" t="str">
        <f t="shared" si="82"/>
        <v/>
      </c>
      <c r="CK10" s="29" t="str">
        <f t="shared" si="45"/>
        <v/>
      </c>
      <c r="CL10" s="29" t="str">
        <f t="shared" si="46"/>
        <v/>
      </c>
      <c r="CM10" s="29" t="str">
        <f t="shared" si="47"/>
        <v/>
      </c>
      <c r="CN10" s="29" t="str">
        <f t="shared" si="48"/>
        <v/>
      </c>
      <c r="CO10" s="29" t="str">
        <f t="shared" si="49"/>
        <v/>
      </c>
      <c r="CP10" s="29" t="str">
        <f t="shared" si="50"/>
        <v/>
      </c>
      <c r="CQ10" s="29" t="str">
        <f t="shared" si="51"/>
        <v/>
      </c>
      <c r="CR10" s="29">
        <f t="shared" si="52"/>
        <v>1</v>
      </c>
      <c r="CS10" s="29">
        <f t="shared" si="53"/>
        <v>1</v>
      </c>
      <c r="CT10" s="29">
        <f t="shared" si="54"/>
        <v>1</v>
      </c>
      <c r="CU10" s="29" t="str">
        <f t="shared" si="55"/>
        <v/>
      </c>
      <c r="CV10" s="29" t="str">
        <f t="shared" si="56"/>
        <v/>
      </c>
      <c r="CW10" s="29" t="str">
        <f t="shared" si="57"/>
        <v/>
      </c>
      <c r="CX10" s="29" t="str">
        <f t="shared" si="58"/>
        <v/>
      </c>
      <c r="CY10" s="29" t="str">
        <f t="shared" si="59"/>
        <v/>
      </c>
      <c r="CZ10" s="29">
        <f t="shared" si="60"/>
        <v>0</v>
      </c>
      <c r="DA10" s="29" t="str">
        <f t="shared" si="61"/>
        <v/>
      </c>
      <c r="DG10" s="117"/>
      <c r="DH10" s="114"/>
      <c r="DI10" s="16">
        <v>5</v>
      </c>
      <c r="DJ10" s="29" t="str">
        <f t="shared" si="83"/>
        <v/>
      </c>
      <c r="DK10" s="29" t="str">
        <f t="shared" si="62"/>
        <v/>
      </c>
      <c r="DL10" s="29" t="str">
        <f t="shared" si="63"/>
        <v/>
      </c>
      <c r="DM10" s="29" t="str">
        <f t="shared" si="64"/>
        <v/>
      </c>
      <c r="DN10" s="29" t="str">
        <f t="shared" si="65"/>
        <v/>
      </c>
      <c r="DO10" s="29" t="str">
        <f t="shared" si="66"/>
        <v/>
      </c>
      <c r="DP10" s="29" t="str">
        <f t="shared" si="67"/>
        <v/>
      </c>
      <c r="DQ10" s="29" t="str">
        <f t="shared" si="68"/>
        <v/>
      </c>
      <c r="DR10" s="29" t="str">
        <f t="shared" si="69"/>
        <v/>
      </c>
      <c r="DS10" s="29" t="str">
        <f t="shared" si="70"/>
        <v/>
      </c>
      <c r="DT10" s="29" t="str">
        <f t="shared" si="71"/>
        <v/>
      </c>
      <c r="DU10" s="29" t="str">
        <f t="shared" si="72"/>
        <v/>
      </c>
      <c r="DV10" s="29" t="str">
        <f t="shared" si="73"/>
        <v/>
      </c>
      <c r="DW10" s="29" t="str">
        <f t="shared" si="74"/>
        <v/>
      </c>
      <c r="DX10" s="29" t="str">
        <f t="shared" si="75"/>
        <v/>
      </c>
      <c r="DY10" s="29" t="str">
        <f t="shared" si="76"/>
        <v/>
      </c>
      <c r="DZ10" s="29" t="str">
        <f t="shared" si="77"/>
        <v/>
      </c>
      <c r="EA10" s="29" t="str">
        <f t="shared" si="78"/>
        <v/>
      </c>
    </row>
    <row r="11" spans="5:131" ht="16.7" customHeight="1" x14ac:dyDescent="0.25">
      <c r="E11" s="22"/>
      <c r="F11" s="112" t="s">
        <v>4</v>
      </c>
      <c r="G11" s="10">
        <v>1</v>
      </c>
      <c r="H11" s="11" t="str">
        <f>TKB_LOP_SC!D6</f>
        <v>GVVN - Trang</v>
      </c>
      <c r="I11" s="5" t="str">
        <f>TKB_LOP_SC!F6</f>
        <v>TViệt - Nhi</v>
      </c>
      <c r="J11" s="5" t="str">
        <f>TKB_LOP_SC!H6</f>
        <v>Tiếng Trung - Thanh</v>
      </c>
      <c r="K11" s="5" t="str">
        <f>TKB_LOP_SC!J6</f>
        <v>GVNN - Tay, Trà</v>
      </c>
      <c r="L11" s="5" t="str">
        <f>TKB_LOP_SC!N6</f>
        <v>GDTC - Hồng</v>
      </c>
      <c r="M11" s="5" t="str">
        <f>TKB_LOP_SC!P6</f>
        <v>TViệt - Ly</v>
      </c>
      <c r="N11" s="5" t="str">
        <f>TKB_LOP_SC!R6</f>
        <v>Toán - Phương Anh</v>
      </c>
      <c r="O11" s="5" t="str">
        <f>TKB_LOP_SC!T6</f>
        <v>GVVN - Bích</v>
      </c>
      <c r="P11" s="5" t="str">
        <f>TKB_LOP_SC!X6</f>
        <v>GDĐP - Ánh NV</v>
      </c>
      <c r="Q11" s="5" t="str">
        <f>TKB_LOP_SC!Z6</f>
        <v>Tin - Nguyên</v>
      </c>
      <c r="R11" s="31" t="str">
        <f>TKB_LOP_SC!AB6</f>
        <v>Toán - Tân</v>
      </c>
      <c r="S11" s="32" t="str">
        <f>TKB_LOP_SC!AD6</f>
        <v>HĐ tự chọn - Hiền</v>
      </c>
      <c r="T11" s="29" t="str">
        <f>TKB_LOP_SC!AF6</f>
        <v>HĐ tự chọn - MN1</v>
      </c>
      <c r="U11" s="29" t="str">
        <f>TKB_LOP_SC!AJ6</f>
        <v>HĐ tự chọn - MN2</v>
      </c>
      <c r="V11" s="29">
        <f>TKB_LOP_SC!AL6</f>
        <v>0</v>
      </c>
      <c r="W11" s="29">
        <f>TKB_LOP_SC!AN6</f>
        <v>0</v>
      </c>
      <c r="X11" s="29">
        <f>TKB_LOP_SC!AP6</f>
        <v>0</v>
      </c>
      <c r="Y11" s="29">
        <f>TKB_LOP_SC!AR6</f>
        <v>0</v>
      </c>
      <c r="Z11" s="22"/>
      <c r="AA11" s="112" t="s">
        <v>4</v>
      </c>
      <c r="AB11" s="10">
        <v>1</v>
      </c>
      <c r="AC11" s="11" t="str">
        <f t="shared" si="79"/>
        <v/>
      </c>
      <c r="AD11" s="11" t="str">
        <f t="shared" si="0"/>
        <v/>
      </c>
      <c r="AE11" s="11" t="str">
        <f t="shared" si="1"/>
        <v/>
      </c>
      <c r="AF11" s="11" t="str">
        <f t="shared" si="2"/>
        <v>Tay</v>
      </c>
      <c r="AG11" s="11" t="str">
        <f t="shared" si="3"/>
        <v/>
      </c>
      <c r="AH11" s="11" t="str">
        <f t="shared" si="4"/>
        <v/>
      </c>
      <c r="AI11" s="11" t="str">
        <f t="shared" si="5"/>
        <v/>
      </c>
      <c r="AJ11" s="11" t="str">
        <f t="shared" si="6"/>
        <v/>
      </c>
      <c r="AK11" s="11" t="str">
        <f t="shared" si="7"/>
        <v/>
      </c>
      <c r="AL11" s="11" t="str">
        <f t="shared" si="8"/>
        <v/>
      </c>
      <c r="AM11" s="11" t="str">
        <f t="shared" si="9"/>
        <v/>
      </c>
      <c r="AN11" s="11" t="str">
        <f t="shared" si="10"/>
        <v/>
      </c>
      <c r="AO11" s="11" t="str">
        <f t="shared" si="11"/>
        <v/>
      </c>
      <c r="AP11" s="11" t="str">
        <f t="shared" si="11"/>
        <v/>
      </c>
      <c r="AQ11" s="11" t="str">
        <f t="shared" si="12"/>
        <v/>
      </c>
      <c r="AR11" s="11" t="str">
        <f t="shared" si="13"/>
        <v/>
      </c>
      <c r="AS11" s="11" t="str">
        <f t="shared" si="14"/>
        <v/>
      </c>
      <c r="AT11" s="11" t="str">
        <f t="shared" si="15"/>
        <v/>
      </c>
      <c r="AU11" s="55"/>
      <c r="AV11" s="112" t="s">
        <v>4</v>
      </c>
      <c r="AW11" s="10">
        <v>1</v>
      </c>
      <c r="AX11" s="29" t="str">
        <f t="shared" si="80"/>
        <v>Trang</v>
      </c>
      <c r="AY11" s="29" t="str">
        <f t="shared" si="16"/>
        <v>Nhi</v>
      </c>
      <c r="AZ11" s="29" t="str">
        <f t="shared" si="17"/>
        <v>Thanh</v>
      </c>
      <c r="BA11" s="29" t="str">
        <f t="shared" si="18"/>
        <v>Tay, Trà</v>
      </c>
      <c r="BB11" s="29" t="str">
        <f t="shared" si="19"/>
        <v>Hồng</v>
      </c>
      <c r="BC11" s="29" t="str">
        <f t="shared" si="20"/>
        <v>Ly</v>
      </c>
      <c r="BD11" s="29" t="str">
        <f t="shared" si="21"/>
        <v>Phương Anh</v>
      </c>
      <c r="BE11" s="29" t="str">
        <f t="shared" si="22"/>
        <v>Bích</v>
      </c>
      <c r="BF11" s="29" t="str">
        <f t="shared" si="23"/>
        <v>Ánh NV</v>
      </c>
      <c r="BG11" s="29" t="str">
        <f t="shared" si="24"/>
        <v>Nguyên</v>
      </c>
      <c r="BH11" s="29" t="str">
        <f t="shared" si="25"/>
        <v>Tân</v>
      </c>
      <c r="BI11" s="29" t="str">
        <f t="shared" si="26"/>
        <v>Hiền</v>
      </c>
      <c r="BJ11" s="29" t="str">
        <f t="shared" si="27"/>
        <v>MN1</v>
      </c>
      <c r="BK11" s="29" t="str">
        <f t="shared" si="28"/>
        <v>MN2</v>
      </c>
      <c r="BL11" s="29" t="str">
        <f t="shared" si="29"/>
        <v/>
      </c>
      <c r="BM11" s="29" t="str">
        <f t="shared" si="30"/>
        <v/>
      </c>
      <c r="BN11" s="29" t="str">
        <f t="shared" si="31"/>
        <v/>
      </c>
      <c r="BO11" s="29" t="str">
        <f t="shared" si="32"/>
        <v/>
      </c>
      <c r="BP11" s="55"/>
      <c r="BQ11" s="112" t="s">
        <v>4</v>
      </c>
      <c r="BR11" s="10">
        <v>1</v>
      </c>
      <c r="BS11" s="29" t="str">
        <f t="shared" si="81"/>
        <v>Trang</v>
      </c>
      <c r="BT11" s="29" t="str">
        <f t="shared" si="33"/>
        <v>Nhi</v>
      </c>
      <c r="BU11" s="29" t="str">
        <f t="shared" si="34"/>
        <v>Thanh</v>
      </c>
      <c r="BV11" s="29" t="str">
        <f t="shared" si="35"/>
        <v>Trà</v>
      </c>
      <c r="BW11" s="29" t="str">
        <f t="shared" si="36"/>
        <v>Hồng</v>
      </c>
      <c r="BX11" s="29" t="str">
        <f t="shared" si="37"/>
        <v>Ly</v>
      </c>
      <c r="BY11" s="29" t="str">
        <f t="shared" si="38"/>
        <v>Phương Anh</v>
      </c>
      <c r="BZ11" s="29" t="str">
        <f t="shared" si="39"/>
        <v>Bích</v>
      </c>
      <c r="CA11" s="29" t="str">
        <f t="shared" si="40"/>
        <v>Ánh NV</v>
      </c>
      <c r="CB11" s="29" t="str">
        <f t="shared" si="41"/>
        <v>Nguyên</v>
      </c>
      <c r="CC11" s="29" t="str">
        <f t="shared" si="42"/>
        <v>Tân</v>
      </c>
      <c r="CD11" s="29" t="str">
        <f t="shared" si="43"/>
        <v>Hiền</v>
      </c>
      <c r="CE11" s="29" t="str">
        <f t="shared" si="44"/>
        <v>MN1</v>
      </c>
      <c r="CG11" s="55"/>
      <c r="CH11" s="112" t="s">
        <v>4</v>
      </c>
      <c r="CI11" s="10">
        <v>1</v>
      </c>
      <c r="CJ11" s="29">
        <f t="shared" si="82"/>
        <v>1</v>
      </c>
      <c r="CK11" s="29">
        <f t="shared" si="45"/>
        <v>1</v>
      </c>
      <c r="CL11" s="29">
        <f t="shared" si="46"/>
        <v>1</v>
      </c>
      <c r="CM11" s="29">
        <f t="shared" si="47"/>
        <v>1</v>
      </c>
      <c r="CN11" s="29">
        <f t="shared" si="48"/>
        <v>1</v>
      </c>
      <c r="CO11" s="29">
        <f t="shared" si="49"/>
        <v>1</v>
      </c>
      <c r="CP11" s="29">
        <f t="shared" si="50"/>
        <v>1</v>
      </c>
      <c r="CQ11" s="29">
        <f t="shared" si="51"/>
        <v>1</v>
      </c>
      <c r="CR11" s="29">
        <f t="shared" si="52"/>
        <v>1</v>
      </c>
      <c r="CS11" s="29">
        <f t="shared" si="53"/>
        <v>1</v>
      </c>
      <c r="CT11" s="29">
        <f t="shared" si="54"/>
        <v>1</v>
      </c>
      <c r="CU11" s="29">
        <f t="shared" si="55"/>
        <v>1</v>
      </c>
      <c r="CV11" s="29">
        <f t="shared" si="56"/>
        <v>1</v>
      </c>
      <c r="CW11" s="29" t="str">
        <f t="shared" si="57"/>
        <v/>
      </c>
      <c r="CX11" s="29" t="str">
        <f t="shared" si="58"/>
        <v/>
      </c>
      <c r="CY11" s="29">
        <f t="shared" si="59"/>
        <v>0</v>
      </c>
      <c r="CZ11" s="29">
        <f t="shared" si="60"/>
        <v>0</v>
      </c>
      <c r="DA11" s="29">
        <f t="shared" si="61"/>
        <v>0</v>
      </c>
      <c r="DG11" s="66"/>
      <c r="DH11" s="112" t="s">
        <v>4</v>
      </c>
      <c r="DI11" s="10">
        <v>1</v>
      </c>
      <c r="DJ11" s="29" t="str">
        <f t="shared" si="83"/>
        <v/>
      </c>
      <c r="DK11" s="29" t="str">
        <f t="shared" si="62"/>
        <v/>
      </c>
      <c r="DL11" s="29" t="str">
        <f t="shared" si="63"/>
        <v/>
      </c>
      <c r="DM11" s="29">
        <f t="shared" si="64"/>
        <v>1</v>
      </c>
      <c r="DN11" s="29" t="str">
        <f t="shared" si="65"/>
        <v/>
      </c>
      <c r="DO11" s="29" t="str">
        <f t="shared" si="66"/>
        <v/>
      </c>
      <c r="DP11" s="29" t="str">
        <f t="shared" si="67"/>
        <v/>
      </c>
      <c r="DQ11" s="29" t="str">
        <f t="shared" si="68"/>
        <v/>
      </c>
      <c r="DR11" s="29" t="str">
        <f t="shared" si="69"/>
        <v/>
      </c>
      <c r="DS11" s="29" t="str">
        <f t="shared" si="70"/>
        <v/>
      </c>
      <c r="DT11" s="29" t="str">
        <f t="shared" si="71"/>
        <v/>
      </c>
      <c r="DU11" s="29" t="str">
        <f t="shared" si="72"/>
        <v/>
      </c>
      <c r="DV11" s="29" t="str">
        <f t="shared" si="73"/>
        <v/>
      </c>
      <c r="DW11" s="29" t="str">
        <f t="shared" si="74"/>
        <v/>
      </c>
      <c r="DX11" s="29" t="str">
        <f t="shared" si="75"/>
        <v/>
      </c>
      <c r="DY11" s="29" t="str">
        <f t="shared" si="76"/>
        <v/>
      </c>
      <c r="DZ11" s="29" t="str">
        <f t="shared" si="77"/>
        <v/>
      </c>
      <c r="EA11" s="29" t="str">
        <f t="shared" si="78"/>
        <v/>
      </c>
    </row>
    <row r="12" spans="5:131" ht="16.7" customHeight="1" x14ac:dyDescent="0.25">
      <c r="E12" s="22"/>
      <c r="F12" s="113"/>
      <c r="G12" s="15">
        <v>2</v>
      </c>
      <c r="H12" s="11" t="str">
        <f>TKB_LOP_SC!D7</f>
        <v>TViệt - Ngọc Ánh</v>
      </c>
      <c r="I12" s="5" t="str">
        <f>TKB_LOP_SC!F7</f>
        <v>GVVN - Huyền</v>
      </c>
      <c r="J12" s="5" t="str">
        <f>TKB_LOP_SC!H7</f>
        <v>Toán - Linh TH</v>
      </c>
      <c r="K12" s="5" t="str">
        <f>TKB_LOP_SC!J7</f>
        <v>Science - Trà</v>
      </c>
      <c r="L12" s="5" t="str">
        <f>TKB_LOP_SC!N7</f>
        <v>GDTC - Hồng</v>
      </c>
      <c r="M12" s="5" t="str">
        <f>TKB_LOP_SC!P7</f>
        <v>Tiếng Trung - Thanh</v>
      </c>
      <c r="N12" s="5" t="str">
        <f>TKB_LOP_SC!R7</f>
        <v>TViệt - Ly</v>
      </c>
      <c r="O12" s="5" t="str">
        <f>TKB_LOP_SC!T7</f>
        <v>GVNN - Tay, Bích</v>
      </c>
      <c r="P12" s="5" t="str">
        <f>TKB_LOP_SC!X7</f>
        <v>Văn - Hà</v>
      </c>
      <c r="Q12" s="5" t="str">
        <f>TKB_LOP_SC!Z7</f>
        <v>Văn - Ánh NV</v>
      </c>
      <c r="R12" s="31" t="str">
        <f>TKB_LOP_SC!AB7</f>
        <v>Tiếng Trung - Châu</v>
      </c>
      <c r="S12" s="32" t="str">
        <f>TKB_LOP_SC!AD7</f>
        <v>TViệt - Hiền</v>
      </c>
      <c r="T12" s="29" t="str">
        <f>TKB_LOP_SC!AF7</f>
        <v>GVVN - Trang</v>
      </c>
      <c r="U12" s="2" t="str">
        <f>TKB_LOP_SC!AJ7</f>
        <v>GVVN - Trang</v>
      </c>
      <c r="V12" s="2">
        <f>TKB_LOP_SC!AL7</f>
        <v>0</v>
      </c>
      <c r="W12" s="2">
        <f>TKB_LOP_SC!AN7</f>
        <v>0</v>
      </c>
      <c r="X12" s="2">
        <f>TKB_LOP_SC!AP7</f>
        <v>0</v>
      </c>
      <c r="Y12" s="2" t="str">
        <f>TKB_LOP_SC!AR7</f>
        <v>GVNN - Aziz, Phượng</v>
      </c>
      <c r="Z12" s="22"/>
      <c r="AA12" s="113"/>
      <c r="AB12" s="15">
        <v>2</v>
      </c>
      <c r="AC12" s="11" t="str">
        <f t="shared" si="79"/>
        <v/>
      </c>
      <c r="AD12" s="11" t="str">
        <f t="shared" si="0"/>
        <v/>
      </c>
      <c r="AE12" s="11" t="str">
        <f t="shared" si="1"/>
        <v/>
      </c>
      <c r="AF12" s="11" t="str">
        <f t="shared" si="2"/>
        <v/>
      </c>
      <c r="AG12" s="11" t="str">
        <f t="shared" si="3"/>
        <v/>
      </c>
      <c r="AH12" s="11" t="str">
        <f t="shared" si="4"/>
        <v/>
      </c>
      <c r="AI12" s="11" t="str">
        <f t="shared" si="5"/>
        <v/>
      </c>
      <c r="AJ12" s="11" t="str">
        <f t="shared" si="6"/>
        <v>Tay</v>
      </c>
      <c r="AK12" s="11" t="str">
        <f t="shared" si="7"/>
        <v/>
      </c>
      <c r="AL12" s="11" t="str">
        <f t="shared" si="8"/>
        <v/>
      </c>
      <c r="AM12" s="11" t="str">
        <f t="shared" si="9"/>
        <v/>
      </c>
      <c r="AN12" s="11" t="str">
        <f t="shared" si="10"/>
        <v/>
      </c>
      <c r="AO12" s="11" t="str">
        <f t="shared" si="11"/>
        <v/>
      </c>
      <c r="AP12" s="11" t="str">
        <f t="shared" si="11"/>
        <v/>
      </c>
      <c r="AQ12" s="11" t="str">
        <f t="shared" si="12"/>
        <v/>
      </c>
      <c r="AR12" s="11" t="str">
        <f t="shared" si="13"/>
        <v/>
      </c>
      <c r="AS12" s="11" t="str">
        <f t="shared" si="14"/>
        <v/>
      </c>
      <c r="AT12" s="11" t="str">
        <f t="shared" si="15"/>
        <v/>
      </c>
      <c r="AU12" s="55"/>
      <c r="AV12" s="113"/>
      <c r="AW12" s="15">
        <v>2</v>
      </c>
      <c r="AX12" s="29" t="str">
        <f t="shared" si="80"/>
        <v>Ngọc Ánh</v>
      </c>
      <c r="AY12" s="29" t="str">
        <f t="shared" si="16"/>
        <v>Huyền</v>
      </c>
      <c r="AZ12" s="29" t="str">
        <f t="shared" si="17"/>
        <v>Linh TH</v>
      </c>
      <c r="BA12" s="29" t="str">
        <f t="shared" si="18"/>
        <v>Trà</v>
      </c>
      <c r="BB12" s="29" t="str">
        <f t="shared" si="19"/>
        <v>Hồng</v>
      </c>
      <c r="BC12" s="29" t="str">
        <f t="shared" si="20"/>
        <v>Thanh</v>
      </c>
      <c r="BD12" s="29" t="str">
        <f t="shared" si="21"/>
        <v>Ly</v>
      </c>
      <c r="BE12" s="29" t="str">
        <f t="shared" si="22"/>
        <v>Tay, Bích</v>
      </c>
      <c r="BF12" s="29" t="str">
        <f t="shared" si="23"/>
        <v>Hà</v>
      </c>
      <c r="BG12" s="29" t="str">
        <f t="shared" si="24"/>
        <v>Ánh NV</v>
      </c>
      <c r="BH12" s="29" t="str">
        <f t="shared" si="25"/>
        <v>Châu</v>
      </c>
      <c r="BI12" s="29" t="str">
        <f t="shared" si="26"/>
        <v>Hiền</v>
      </c>
      <c r="BJ12" s="29" t="str">
        <f t="shared" si="27"/>
        <v>Trang</v>
      </c>
      <c r="BK12" s="29" t="str">
        <f t="shared" si="28"/>
        <v>Trang</v>
      </c>
      <c r="BL12" s="29" t="str">
        <f t="shared" si="29"/>
        <v/>
      </c>
      <c r="BM12" s="29" t="str">
        <f t="shared" si="30"/>
        <v/>
      </c>
      <c r="BN12" s="29" t="str">
        <f t="shared" si="31"/>
        <v/>
      </c>
      <c r="BO12" s="29" t="str">
        <f t="shared" si="32"/>
        <v>Aziz, Phượng</v>
      </c>
      <c r="BP12" s="55"/>
      <c r="BQ12" s="113"/>
      <c r="BR12" s="15">
        <v>2</v>
      </c>
      <c r="BS12" s="29" t="str">
        <f t="shared" si="81"/>
        <v>Ngọc Ánh</v>
      </c>
      <c r="BT12" s="29" t="str">
        <f t="shared" si="33"/>
        <v>Huyền</v>
      </c>
      <c r="BU12" s="29" t="str">
        <f t="shared" si="34"/>
        <v>Linh TH</v>
      </c>
      <c r="BV12" s="29" t="str">
        <f t="shared" si="35"/>
        <v>Trà</v>
      </c>
      <c r="BW12" s="29" t="str">
        <f t="shared" si="36"/>
        <v>Hồng</v>
      </c>
      <c r="BX12" s="29" t="str">
        <f t="shared" si="37"/>
        <v>Thanh</v>
      </c>
      <c r="BY12" s="29" t="str">
        <f t="shared" si="38"/>
        <v>Ly</v>
      </c>
      <c r="BZ12" s="29" t="str">
        <f t="shared" si="39"/>
        <v>Bích</v>
      </c>
      <c r="CA12" s="29" t="str">
        <f t="shared" si="40"/>
        <v>Hà</v>
      </c>
      <c r="CB12" s="29" t="str">
        <f t="shared" si="41"/>
        <v>Ánh NV</v>
      </c>
      <c r="CC12" s="29" t="str">
        <f t="shared" si="42"/>
        <v>Châu</v>
      </c>
      <c r="CD12" s="29" t="str">
        <f t="shared" si="43"/>
        <v>Hiền</v>
      </c>
      <c r="CE12" s="29" t="str">
        <f t="shared" si="44"/>
        <v>Trang</v>
      </c>
      <c r="CG12" s="55"/>
      <c r="CH12" s="113"/>
      <c r="CI12" s="15">
        <v>2</v>
      </c>
      <c r="CJ12" s="29">
        <f t="shared" si="82"/>
        <v>1</v>
      </c>
      <c r="CK12" s="29">
        <f t="shared" si="45"/>
        <v>1</v>
      </c>
      <c r="CL12" s="29">
        <f t="shared" si="46"/>
        <v>1</v>
      </c>
      <c r="CM12" s="29">
        <f t="shared" si="47"/>
        <v>1</v>
      </c>
      <c r="CN12" s="29">
        <f t="shared" si="48"/>
        <v>1</v>
      </c>
      <c r="CO12" s="29">
        <f t="shared" si="49"/>
        <v>1</v>
      </c>
      <c r="CP12" s="29">
        <f t="shared" si="50"/>
        <v>1</v>
      </c>
      <c r="CQ12" s="29">
        <f t="shared" si="51"/>
        <v>1</v>
      </c>
      <c r="CR12" s="29">
        <f t="shared" si="52"/>
        <v>1</v>
      </c>
      <c r="CS12" s="29">
        <f t="shared" si="53"/>
        <v>1</v>
      </c>
      <c r="CT12" s="29">
        <f t="shared" si="54"/>
        <v>1</v>
      </c>
      <c r="CU12" s="29">
        <f t="shared" si="55"/>
        <v>1</v>
      </c>
      <c r="CV12" s="29">
        <f t="shared" si="56"/>
        <v>1</v>
      </c>
      <c r="CW12" s="29" t="str">
        <f t="shared" si="57"/>
        <v/>
      </c>
      <c r="CX12" s="29" t="str">
        <f t="shared" si="58"/>
        <v/>
      </c>
      <c r="CY12" s="29" t="str">
        <f t="shared" si="59"/>
        <v/>
      </c>
      <c r="CZ12" s="29">
        <f t="shared" si="60"/>
        <v>0</v>
      </c>
      <c r="DA12" s="29">
        <f t="shared" si="61"/>
        <v>0</v>
      </c>
      <c r="DG12" s="66"/>
      <c r="DH12" s="113"/>
      <c r="DI12" s="15">
        <v>2</v>
      </c>
      <c r="DJ12" s="29" t="str">
        <f t="shared" si="83"/>
        <v/>
      </c>
      <c r="DK12" s="29" t="str">
        <f t="shared" si="62"/>
        <v/>
      </c>
      <c r="DL12" s="29" t="str">
        <f t="shared" si="63"/>
        <v/>
      </c>
      <c r="DM12" s="29" t="str">
        <f t="shared" si="64"/>
        <v/>
      </c>
      <c r="DN12" s="29" t="str">
        <f t="shared" si="65"/>
        <v/>
      </c>
      <c r="DO12" s="29" t="str">
        <f t="shared" si="66"/>
        <v/>
      </c>
      <c r="DP12" s="29" t="str">
        <f t="shared" si="67"/>
        <v/>
      </c>
      <c r="DQ12" s="29">
        <f t="shared" si="68"/>
        <v>1</v>
      </c>
      <c r="DR12" s="29" t="str">
        <f t="shared" si="69"/>
        <v/>
      </c>
      <c r="DS12" s="29" t="str">
        <f t="shared" si="70"/>
        <v/>
      </c>
      <c r="DT12" s="29" t="str">
        <f t="shared" si="71"/>
        <v/>
      </c>
      <c r="DU12" s="29" t="str">
        <f t="shared" si="72"/>
        <v/>
      </c>
      <c r="DV12" s="29" t="str">
        <f t="shared" si="73"/>
        <v/>
      </c>
      <c r="DW12" s="29" t="str">
        <f t="shared" si="74"/>
        <v/>
      </c>
      <c r="DX12" s="29" t="str">
        <f t="shared" si="75"/>
        <v/>
      </c>
      <c r="DY12" s="29" t="str">
        <f t="shared" si="76"/>
        <v/>
      </c>
      <c r="DZ12" s="29" t="str">
        <f t="shared" si="77"/>
        <v/>
      </c>
      <c r="EA12" s="29" t="str">
        <f t="shared" si="78"/>
        <v/>
      </c>
    </row>
    <row r="13" spans="5:131" ht="16.7" customHeight="1" x14ac:dyDescent="0.25">
      <c r="E13" s="22"/>
      <c r="F13" s="113"/>
      <c r="G13" s="15">
        <v>3</v>
      </c>
      <c r="H13" s="11" t="str">
        <f>TKB_LOP_SC!D8</f>
        <v>TViệt - Ngọc Ánh</v>
      </c>
      <c r="I13" s="5" t="str">
        <f>TKB_LOP_SC!F8</f>
        <v>Toán - Phương Anh</v>
      </c>
      <c r="J13" s="5" t="str">
        <f>TKB_LOP_SC!H8</f>
        <v>GVVN - Trang</v>
      </c>
      <c r="K13" s="5" t="str">
        <f>TKB_LOP_SC!J8</f>
        <v>Viết sáng tạo - Xuân</v>
      </c>
      <c r="L13" s="5" t="str">
        <f>TKB_LOP_SC!N8</f>
        <v>GVVN - Trà</v>
      </c>
      <c r="M13" s="5" t="str">
        <f>TKB_LOP_SC!P8</f>
        <v>Science - Bích</v>
      </c>
      <c r="N13" s="5" t="str">
        <f>TKB_LOP_SC!R8</f>
        <v>Tiếng Trung - Thanh</v>
      </c>
      <c r="O13" s="5" t="str">
        <f>TKB_LOP_SC!T8</f>
        <v>Toán - Chi</v>
      </c>
      <c r="P13" s="5" t="str">
        <f>TKB_LOP_SC!X8</f>
        <v>Văn - Hà</v>
      </c>
      <c r="Q13" s="5" t="str">
        <f>TKB_LOP_SC!Z8</f>
        <v>Tiếng Trung - Châu</v>
      </c>
      <c r="R13" s="31" t="str">
        <f>TKB_LOP_SC!AB8</f>
        <v>GVNN - Tay, Quỳnh</v>
      </c>
      <c r="S13" s="32" t="str">
        <f>TKB_LOP_SC!AD8</f>
        <v>GDTC - Hồng</v>
      </c>
      <c r="T13" s="29" t="str">
        <f>TKB_LOP_SC!AF8</f>
        <v>TViệt - MN1</v>
      </c>
      <c r="U13" s="2" t="str">
        <f>TKB_LOP_SC!AJ8</f>
        <v>Đọc sách - MN2</v>
      </c>
      <c r="V13" s="2">
        <f>TKB_LOP_SC!AL8</f>
        <v>0</v>
      </c>
      <c r="W13" s="2" t="str">
        <f>TKB_LOP_SC!AN8</f>
        <v>GVVN - Linh</v>
      </c>
      <c r="X13" s="2" t="str">
        <f>TKB_LOP_SC!AP8</f>
        <v>GVNN - Aziz, Dung</v>
      </c>
      <c r="Y13" s="2">
        <f>TKB_LOP_SC!AR8</f>
        <v>0</v>
      </c>
      <c r="Z13" s="22"/>
      <c r="AA13" s="113"/>
      <c r="AB13" s="15">
        <v>3</v>
      </c>
      <c r="AC13" s="11" t="str">
        <f t="shared" si="79"/>
        <v/>
      </c>
      <c r="AD13" s="11" t="str">
        <f t="shared" si="0"/>
        <v/>
      </c>
      <c r="AE13" s="11" t="str">
        <f t="shared" si="1"/>
        <v/>
      </c>
      <c r="AF13" s="11" t="str">
        <f t="shared" si="2"/>
        <v/>
      </c>
      <c r="AG13" s="11" t="str">
        <f t="shared" si="3"/>
        <v/>
      </c>
      <c r="AH13" s="11" t="str">
        <f t="shared" si="4"/>
        <v/>
      </c>
      <c r="AI13" s="11" t="str">
        <f t="shared" si="5"/>
        <v/>
      </c>
      <c r="AJ13" s="11" t="str">
        <f t="shared" si="6"/>
        <v/>
      </c>
      <c r="AK13" s="11" t="str">
        <f t="shared" si="7"/>
        <v/>
      </c>
      <c r="AL13" s="11" t="str">
        <f t="shared" si="8"/>
        <v/>
      </c>
      <c r="AM13" s="11" t="str">
        <f t="shared" si="9"/>
        <v>Tay</v>
      </c>
      <c r="AN13" s="11" t="str">
        <f t="shared" si="10"/>
        <v/>
      </c>
      <c r="AO13" s="11" t="str">
        <f t="shared" si="11"/>
        <v/>
      </c>
      <c r="AP13" s="11" t="str">
        <f t="shared" si="11"/>
        <v/>
      </c>
      <c r="AQ13" s="11" t="str">
        <f t="shared" si="12"/>
        <v/>
      </c>
      <c r="AR13" s="11" t="str">
        <f t="shared" si="13"/>
        <v/>
      </c>
      <c r="AS13" s="11" t="str">
        <f t="shared" si="14"/>
        <v/>
      </c>
      <c r="AT13" s="11" t="str">
        <f t="shared" si="15"/>
        <v/>
      </c>
      <c r="AU13" s="55"/>
      <c r="AV13" s="113"/>
      <c r="AW13" s="15">
        <v>3</v>
      </c>
      <c r="AX13" s="29" t="str">
        <f t="shared" si="80"/>
        <v>Ngọc Ánh</v>
      </c>
      <c r="AY13" s="29" t="str">
        <f t="shared" si="16"/>
        <v>Phương Anh</v>
      </c>
      <c r="AZ13" s="29" t="str">
        <f t="shared" si="17"/>
        <v>Trang</v>
      </c>
      <c r="BA13" s="29" t="str">
        <f t="shared" si="18"/>
        <v>Xuân</v>
      </c>
      <c r="BB13" s="29" t="str">
        <f t="shared" si="19"/>
        <v>Trà</v>
      </c>
      <c r="BC13" s="29" t="str">
        <f t="shared" si="20"/>
        <v>Bích</v>
      </c>
      <c r="BD13" s="29" t="str">
        <f t="shared" si="21"/>
        <v>Thanh</v>
      </c>
      <c r="BE13" s="29" t="str">
        <f t="shared" si="22"/>
        <v>Chi</v>
      </c>
      <c r="BF13" s="29" t="str">
        <f t="shared" si="23"/>
        <v>Hà</v>
      </c>
      <c r="BG13" s="29" t="str">
        <f t="shared" si="24"/>
        <v>Châu</v>
      </c>
      <c r="BH13" s="29" t="str">
        <f t="shared" si="25"/>
        <v>Tay, Quỳnh</v>
      </c>
      <c r="BI13" s="29" t="str">
        <f t="shared" si="26"/>
        <v>Hồng</v>
      </c>
      <c r="BJ13" s="29" t="str">
        <f t="shared" si="27"/>
        <v>MN1</v>
      </c>
      <c r="BK13" s="29" t="str">
        <f t="shared" si="28"/>
        <v>MN2</v>
      </c>
      <c r="BL13" s="29" t="str">
        <f t="shared" si="29"/>
        <v/>
      </c>
      <c r="BM13" s="29" t="str">
        <f t="shared" si="30"/>
        <v>Linh</v>
      </c>
      <c r="BN13" s="29" t="str">
        <f t="shared" si="31"/>
        <v>Aziz, Dung</v>
      </c>
      <c r="BO13" s="29" t="str">
        <f t="shared" si="32"/>
        <v/>
      </c>
      <c r="BP13" s="55"/>
      <c r="BQ13" s="113"/>
      <c r="BR13" s="15">
        <v>3</v>
      </c>
      <c r="BS13" s="29" t="str">
        <f t="shared" si="81"/>
        <v>Ngọc Ánh</v>
      </c>
      <c r="BT13" s="29" t="str">
        <f t="shared" si="33"/>
        <v>Phương Anh</v>
      </c>
      <c r="BU13" s="29" t="str">
        <f t="shared" si="34"/>
        <v>Trang</v>
      </c>
      <c r="BV13" s="29" t="str">
        <f t="shared" si="35"/>
        <v>Xuân</v>
      </c>
      <c r="BW13" s="29" t="str">
        <f t="shared" si="36"/>
        <v>Trà</v>
      </c>
      <c r="BX13" s="29" t="str">
        <f t="shared" si="37"/>
        <v>Bích</v>
      </c>
      <c r="BY13" s="29" t="str">
        <f t="shared" si="38"/>
        <v>Thanh</v>
      </c>
      <c r="BZ13" s="29" t="str">
        <f t="shared" si="39"/>
        <v>Chi</v>
      </c>
      <c r="CA13" s="29" t="str">
        <f t="shared" si="40"/>
        <v>Hà</v>
      </c>
      <c r="CB13" s="29" t="str">
        <f t="shared" si="41"/>
        <v>Châu</v>
      </c>
      <c r="CC13" s="29" t="str">
        <f t="shared" si="42"/>
        <v>Quỳnh</v>
      </c>
      <c r="CD13" s="29" t="str">
        <f t="shared" si="43"/>
        <v>Hồng</v>
      </c>
      <c r="CE13" s="29" t="str">
        <f t="shared" si="44"/>
        <v>MN1</v>
      </c>
      <c r="CG13" s="55"/>
      <c r="CH13" s="113"/>
      <c r="CI13" s="15">
        <v>3</v>
      </c>
      <c r="CJ13" s="29">
        <f t="shared" si="82"/>
        <v>1</v>
      </c>
      <c r="CK13" s="29">
        <f t="shared" si="45"/>
        <v>1</v>
      </c>
      <c r="CL13" s="29">
        <f t="shared" si="46"/>
        <v>1</v>
      </c>
      <c r="CM13" s="29">
        <f t="shared" si="47"/>
        <v>1</v>
      </c>
      <c r="CN13" s="29">
        <f t="shared" si="48"/>
        <v>1</v>
      </c>
      <c r="CO13" s="29">
        <f t="shared" si="49"/>
        <v>1</v>
      </c>
      <c r="CP13" s="29">
        <f t="shared" si="50"/>
        <v>1</v>
      </c>
      <c r="CQ13" s="29">
        <f t="shared" si="51"/>
        <v>1</v>
      </c>
      <c r="CR13" s="29">
        <f t="shared" si="52"/>
        <v>1</v>
      </c>
      <c r="CS13" s="29">
        <f t="shared" si="53"/>
        <v>1</v>
      </c>
      <c r="CT13" s="29">
        <f t="shared" si="54"/>
        <v>1</v>
      </c>
      <c r="CU13" s="29">
        <f t="shared" si="55"/>
        <v>1</v>
      </c>
      <c r="CV13" s="29">
        <f t="shared" si="56"/>
        <v>1</v>
      </c>
      <c r="CW13" s="29" t="str">
        <f t="shared" si="57"/>
        <v/>
      </c>
      <c r="CX13" s="29" t="str">
        <f t="shared" si="58"/>
        <v/>
      </c>
      <c r="CY13" s="29" t="str">
        <f t="shared" si="59"/>
        <v/>
      </c>
      <c r="CZ13" s="29">
        <f t="shared" si="60"/>
        <v>0</v>
      </c>
      <c r="DA13" s="29">
        <f t="shared" si="61"/>
        <v>0</v>
      </c>
      <c r="DG13" s="66"/>
      <c r="DH13" s="113"/>
      <c r="DI13" s="15">
        <v>3</v>
      </c>
      <c r="DJ13" s="29" t="str">
        <f t="shared" si="83"/>
        <v/>
      </c>
      <c r="DK13" s="29" t="str">
        <f t="shared" si="62"/>
        <v/>
      </c>
      <c r="DL13" s="29" t="str">
        <f t="shared" si="63"/>
        <v/>
      </c>
      <c r="DM13" s="29" t="str">
        <f t="shared" si="64"/>
        <v/>
      </c>
      <c r="DN13" s="29" t="str">
        <f t="shared" si="65"/>
        <v/>
      </c>
      <c r="DO13" s="29" t="str">
        <f t="shared" si="66"/>
        <v/>
      </c>
      <c r="DP13" s="29" t="str">
        <f t="shared" si="67"/>
        <v/>
      </c>
      <c r="DQ13" s="29" t="str">
        <f t="shared" si="68"/>
        <v/>
      </c>
      <c r="DR13" s="29" t="str">
        <f t="shared" si="69"/>
        <v/>
      </c>
      <c r="DS13" s="29" t="str">
        <f t="shared" si="70"/>
        <v/>
      </c>
      <c r="DT13" s="29">
        <f t="shared" si="71"/>
        <v>1</v>
      </c>
      <c r="DU13" s="29" t="str">
        <f t="shared" si="72"/>
        <v/>
      </c>
      <c r="DV13" s="29" t="str">
        <f t="shared" si="73"/>
        <v/>
      </c>
      <c r="DW13" s="29" t="str">
        <f t="shared" si="74"/>
        <v/>
      </c>
      <c r="DX13" s="29" t="str">
        <f t="shared" si="75"/>
        <v/>
      </c>
      <c r="DY13" s="29" t="str">
        <f t="shared" si="76"/>
        <v/>
      </c>
      <c r="DZ13" s="29" t="str">
        <f t="shared" si="77"/>
        <v/>
      </c>
      <c r="EA13" s="29" t="str">
        <f t="shared" si="78"/>
        <v/>
      </c>
    </row>
    <row r="14" spans="5:131" ht="16.7" customHeight="1" x14ac:dyDescent="0.25">
      <c r="E14" s="22"/>
      <c r="F14" s="113"/>
      <c r="G14" s="15">
        <v>4</v>
      </c>
      <c r="H14" s="11" t="str">
        <f>TKB_LOP_SC!D9</f>
        <v>KCST - Ngọc Ánh</v>
      </c>
      <c r="I14" s="5" t="str">
        <f>TKB_LOP_SC!F9</f>
        <v>TViệt - Nhi</v>
      </c>
      <c r="J14" s="5" t="str">
        <f>TKB_LOP_SC!H9</f>
        <v>TNXH - Linh TH</v>
      </c>
      <c r="K14" s="5" t="str">
        <f>TKB_LOP_SC!J9</f>
        <v>Tiếng Trung - Thanh</v>
      </c>
      <c r="L14" s="5" t="str">
        <f>TKB_LOP_SC!N9</f>
        <v>GVVN - Trà</v>
      </c>
      <c r="M14" s="5" t="str">
        <f>TKB_LOP_SC!P9</f>
        <v>GVNN - Tay, Bích</v>
      </c>
      <c r="N14" s="5" t="str">
        <f>TKB_LOP_SC!R9</f>
        <v>Đạo đức - Ly</v>
      </c>
      <c r="O14" s="5" t="str">
        <f>TKB_LOP_SC!T9</f>
        <v>TViệt - Ngọc</v>
      </c>
      <c r="P14" s="5" t="str">
        <f>TKB_LOP_SC!X9</f>
        <v>Tiếng Trung - Châu</v>
      </c>
      <c r="Q14" s="5" t="str">
        <f>TKB_LOP_SC!Z9</f>
        <v>LS&amp;ĐL - Hà</v>
      </c>
      <c r="R14" s="31" t="str">
        <f>TKB_LOP_SC!AB9</f>
        <v>HĐTN - Phương Anh</v>
      </c>
      <c r="S14" s="32" t="str">
        <f>TKB_LOP_SC!AD9</f>
        <v>GDTC - Hồng</v>
      </c>
      <c r="T14" s="29" t="str">
        <f>TKB_LOP_SC!AF9</f>
        <v>GVNN - Aziz, Huyền</v>
      </c>
      <c r="U14" s="2" t="str">
        <f>TKB_LOP_SC!AJ9</f>
        <v>GVNN - Kel, Huyền</v>
      </c>
      <c r="V14" s="2" t="str">
        <f>TKB_LOP_SC!AL9</f>
        <v>GVVN - Linh</v>
      </c>
      <c r="W14" s="2">
        <f>TKB_LOP_SC!AN9</f>
        <v>0</v>
      </c>
      <c r="X14" s="2">
        <f>TKB_LOP_SC!AP9</f>
        <v>0</v>
      </c>
      <c r="Y14" s="2">
        <f>TKB_LOP_SC!AR9</f>
        <v>0</v>
      </c>
      <c r="Z14" s="22"/>
      <c r="AA14" s="113"/>
      <c r="AB14" s="15">
        <v>4</v>
      </c>
      <c r="AC14" s="11" t="str">
        <f t="shared" si="79"/>
        <v/>
      </c>
      <c r="AD14" s="11" t="str">
        <f t="shared" si="0"/>
        <v/>
      </c>
      <c r="AE14" s="11" t="str">
        <f t="shared" si="1"/>
        <v/>
      </c>
      <c r="AF14" s="11" t="str">
        <f t="shared" si="2"/>
        <v/>
      </c>
      <c r="AG14" s="11" t="str">
        <f t="shared" si="3"/>
        <v/>
      </c>
      <c r="AH14" s="11" t="str">
        <f t="shared" si="4"/>
        <v>Tay</v>
      </c>
      <c r="AI14" s="11" t="str">
        <f t="shared" si="5"/>
        <v/>
      </c>
      <c r="AJ14" s="11" t="str">
        <f t="shared" si="6"/>
        <v/>
      </c>
      <c r="AK14" s="11" t="str">
        <f t="shared" si="7"/>
        <v/>
      </c>
      <c r="AL14" s="11" t="str">
        <f t="shared" si="8"/>
        <v/>
      </c>
      <c r="AM14" s="11" t="str">
        <f t="shared" si="9"/>
        <v/>
      </c>
      <c r="AN14" s="11" t="str">
        <f t="shared" si="10"/>
        <v/>
      </c>
      <c r="AO14" s="11" t="str">
        <f t="shared" si="11"/>
        <v>Aziz</v>
      </c>
      <c r="AP14" s="11" t="str">
        <f t="shared" si="11"/>
        <v>Kel</v>
      </c>
      <c r="AQ14" s="11" t="str">
        <f t="shared" si="12"/>
        <v/>
      </c>
      <c r="AR14" s="11" t="str">
        <f t="shared" si="13"/>
        <v/>
      </c>
      <c r="AS14" s="11" t="str">
        <f t="shared" si="14"/>
        <v/>
      </c>
      <c r="AT14" s="11" t="str">
        <f t="shared" si="15"/>
        <v/>
      </c>
      <c r="AU14" s="55"/>
      <c r="AV14" s="113"/>
      <c r="AW14" s="15">
        <v>4</v>
      </c>
      <c r="AX14" s="29" t="str">
        <f t="shared" si="80"/>
        <v>Ngọc Ánh</v>
      </c>
      <c r="AY14" s="29" t="str">
        <f t="shared" si="16"/>
        <v>Nhi</v>
      </c>
      <c r="AZ14" s="29" t="str">
        <f t="shared" si="17"/>
        <v>Linh TH</v>
      </c>
      <c r="BA14" s="29" t="str">
        <f t="shared" si="18"/>
        <v>Thanh</v>
      </c>
      <c r="BB14" s="29" t="str">
        <f t="shared" si="19"/>
        <v>Trà</v>
      </c>
      <c r="BC14" s="29" t="str">
        <f t="shared" si="20"/>
        <v>Tay, Bích</v>
      </c>
      <c r="BD14" s="29" t="str">
        <f t="shared" si="21"/>
        <v>Ly</v>
      </c>
      <c r="BE14" s="29" t="str">
        <f t="shared" si="22"/>
        <v>Ngọc</v>
      </c>
      <c r="BF14" s="29" t="str">
        <f t="shared" si="23"/>
        <v>Châu</v>
      </c>
      <c r="BG14" s="29" t="str">
        <f t="shared" si="24"/>
        <v>Hà</v>
      </c>
      <c r="BH14" s="29" t="str">
        <f t="shared" si="25"/>
        <v>Phương Anh</v>
      </c>
      <c r="BI14" s="29" t="str">
        <f t="shared" si="26"/>
        <v>Hồng</v>
      </c>
      <c r="BJ14" s="29" t="str">
        <f t="shared" si="27"/>
        <v>Aziz, Huyền</v>
      </c>
      <c r="BK14" s="29" t="str">
        <f t="shared" si="28"/>
        <v>Kel, Huyền</v>
      </c>
      <c r="BL14" s="29" t="str">
        <f t="shared" si="29"/>
        <v>Linh</v>
      </c>
      <c r="BM14" s="29" t="str">
        <f t="shared" si="30"/>
        <v/>
      </c>
      <c r="BN14" s="29" t="str">
        <f t="shared" si="31"/>
        <v/>
      </c>
      <c r="BO14" s="29" t="str">
        <f t="shared" si="32"/>
        <v/>
      </c>
      <c r="BP14" s="55"/>
      <c r="BQ14" s="113"/>
      <c r="BR14" s="15">
        <v>4</v>
      </c>
      <c r="BS14" s="29" t="str">
        <f t="shared" si="81"/>
        <v>Ngọc Ánh</v>
      </c>
      <c r="BT14" s="29" t="str">
        <f t="shared" si="33"/>
        <v>Nhi</v>
      </c>
      <c r="BU14" s="29" t="str">
        <f t="shared" si="34"/>
        <v>Linh TH</v>
      </c>
      <c r="BV14" s="29" t="str">
        <f t="shared" si="35"/>
        <v>Thanh</v>
      </c>
      <c r="BW14" s="29" t="str">
        <f t="shared" si="36"/>
        <v>Trà</v>
      </c>
      <c r="BX14" s="29" t="str">
        <f t="shared" si="37"/>
        <v>Bích</v>
      </c>
      <c r="BY14" s="29" t="str">
        <f t="shared" si="38"/>
        <v>Ly</v>
      </c>
      <c r="BZ14" s="29" t="str">
        <f t="shared" si="39"/>
        <v>Ngọc</v>
      </c>
      <c r="CA14" s="29" t="str">
        <f t="shared" si="40"/>
        <v>Châu</v>
      </c>
      <c r="CB14" s="29" t="str">
        <f t="shared" si="41"/>
        <v>Hà</v>
      </c>
      <c r="CC14" s="29" t="str">
        <f t="shared" si="42"/>
        <v>Phương Anh</v>
      </c>
      <c r="CD14" s="29" t="str">
        <f t="shared" si="43"/>
        <v>Hồng</v>
      </c>
      <c r="CE14" s="29" t="str">
        <f t="shared" si="44"/>
        <v>Huyền</v>
      </c>
      <c r="CG14" s="55"/>
      <c r="CH14" s="113"/>
      <c r="CI14" s="15">
        <v>4</v>
      </c>
      <c r="CJ14" s="29">
        <f t="shared" si="82"/>
        <v>1</v>
      </c>
      <c r="CK14" s="29">
        <f t="shared" si="45"/>
        <v>1</v>
      </c>
      <c r="CL14" s="29">
        <f t="shared" si="46"/>
        <v>1</v>
      </c>
      <c r="CM14" s="29">
        <f t="shared" si="47"/>
        <v>1</v>
      </c>
      <c r="CN14" s="29">
        <f t="shared" si="48"/>
        <v>1</v>
      </c>
      <c r="CO14" s="29">
        <f t="shared" si="49"/>
        <v>1</v>
      </c>
      <c r="CP14" s="29">
        <f t="shared" si="50"/>
        <v>1</v>
      </c>
      <c r="CQ14" s="29">
        <f t="shared" si="51"/>
        <v>1</v>
      </c>
      <c r="CR14" s="29">
        <f t="shared" si="52"/>
        <v>1</v>
      </c>
      <c r="CS14" s="29">
        <f t="shared" si="53"/>
        <v>1</v>
      </c>
      <c r="CT14" s="29">
        <f t="shared" si="54"/>
        <v>1</v>
      </c>
      <c r="CU14" s="29">
        <f t="shared" si="55"/>
        <v>1</v>
      </c>
      <c r="CV14" s="29">
        <f t="shared" si="56"/>
        <v>1</v>
      </c>
      <c r="CW14" s="29" t="str">
        <f t="shared" si="57"/>
        <v/>
      </c>
      <c r="CX14" s="29" t="str">
        <f t="shared" si="58"/>
        <v/>
      </c>
      <c r="CY14" s="29" t="str">
        <f t="shared" si="59"/>
        <v/>
      </c>
      <c r="CZ14" s="29">
        <f t="shared" si="60"/>
        <v>0</v>
      </c>
      <c r="DA14" s="29">
        <f t="shared" si="61"/>
        <v>0</v>
      </c>
      <c r="DG14" s="66"/>
      <c r="DH14" s="113"/>
      <c r="DI14" s="15">
        <v>4</v>
      </c>
      <c r="DJ14" s="29" t="str">
        <f t="shared" si="83"/>
        <v/>
      </c>
      <c r="DK14" s="29" t="str">
        <f t="shared" si="62"/>
        <v/>
      </c>
      <c r="DL14" s="29" t="str">
        <f t="shared" si="63"/>
        <v/>
      </c>
      <c r="DM14" s="29" t="str">
        <f t="shared" si="64"/>
        <v/>
      </c>
      <c r="DN14" s="29" t="str">
        <f t="shared" si="65"/>
        <v/>
      </c>
      <c r="DO14" s="29">
        <f t="shared" si="66"/>
        <v>1</v>
      </c>
      <c r="DP14" s="29" t="str">
        <f t="shared" si="67"/>
        <v/>
      </c>
      <c r="DQ14" s="29" t="str">
        <f t="shared" si="68"/>
        <v/>
      </c>
      <c r="DR14" s="29" t="str">
        <f t="shared" si="69"/>
        <v/>
      </c>
      <c r="DS14" s="29" t="str">
        <f t="shared" si="70"/>
        <v/>
      </c>
      <c r="DT14" s="29" t="str">
        <f t="shared" si="71"/>
        <v/>
      </c>
      <c r="DU14" s="29" t="str">
        <f t="shared" si="72"/>
        <v/>
      </c>
      <c r="DV14" s="29">
        <f t="shared" si="73"/>
        <v>1</v>
      </c>
      <c r="DW14" s="29">
        <f t="shared" si="74"/>
        <v>0</v>
      </c>
      <c r="DX14" s="29" t="str">
        <f t="shared" si="75"/>
        <v/>
      </c>
      <c r="DY14" s="29" t="str">
        <f t="shared" si="76"/>
        <v/>
      </c>
      <c r="DZ14" s="29" t="str">
        <f t="shared" si="77"/>
        <v/>
      </c>
      <c r="EA14" s="29" t="str">
        <f t="shared" si="78"/>
        <v/>
      </c>
    </row>
    <row r="15" spans="5:131" ht="16.7" customHeight="1" x14ac:dyDescent="0.25">
      <c r="E15" s="22"/>
      <c r="F15" s="114"/>
      <c r="G15" s="16">
        <v>5</v>
      </c>
      <c r="H15" s="11">
        <f>TKB_LOP_SC!D10</f>
        <v>0</v>
      </c>
      <c r="I15" s="5">
        <f>TKB_LOP_SC!F10</f>
        <v>0</v>
      </c>
      <c r="J15" s="5">
        <f>TKB_LOP_SC!H10</f>
        <v>0</v>
      </c>
      <c r="K15" s="5">
        <f>TKB_LOP_SC!J10</f>
        <v>0</v>
      </c>
      <c r="L15" s="5">
        <f>TKB_LOP_SC!N10</f>
        <v>0</v>
      </c>
      <c r="M15" s="5">
        <f>TKB_LOP_SC!P10</f>
        <v>0</v>
      </c>
      <c r="N15" s="5">
        <f>TKB_LOP_SC!R10</f>
        <v>0</v>
      </c>
      <c r="O15" s="5">
        <f>TKB_LOP_SC!T10</f>
        <v>0</v>
      </c>
      <c r="P15" s="5">
        <f>TKB_LOP_SC!X10</f>
        <v>0</v>
      </c>
      <c r="Q15" s="5">
        <f>TKB_LOP_SC!Z10</f>
        <v>0</v>
      </c>
      <c r="R15" s="31">
        <f>TKB_LOP_SC!AB10</f>
        <v>0</v>
      </c>
      <c r="S15" s="32">
        <f>TKB_LOP_SC!AD10</f>
        <v>0</v>
      </c>
      <c r="T15" s="29">
        <f>TKB_LOP_SC!AF10</f>
        <v>0</v>
      </c>
      <c r="U15" s="29">
        <f>TKB_LOP_SC!AJ10</f>
        <v>0</v>
      </c>
      <c r="V15" s="29">
        <f>TKB_LOP_SC!AL10</f>
        <v>0</v>
      </c>
      <c r="W15" s="29">
        <f>TKB_LOP_SC!AN10</f>
        <v>0</v>
      </c>
      <c r="X15" s="29">
        <f>TKB_LOP_SC!AP10</f>
        <v>0</v>
      </c>
      <c r="Y15" s="29">
        <f>TKB_LOP_SC!AR10</f>
        <v>0</v>
      </c>
      <c r="Z15" s="22"/>
      <c r="AA15" s="114"/>
      <c r="AB15" s="16">
        <v>5</v>
      </c>
      <c r="AC15" s="11" t="str">
        <f t="shared" si="79"/>
        <v/>
      </c>
      <c r="AD15" s="11" t="str">
        <f t="shared" si="0"/>
        <v/>
      </c>
      <c r="AE15" s="11" t="str">
        <f t="shared" si="1"/>
        <v/>
      </c>
      <c r="AF15" s="11" t="str">
        <f t="shared" si="2"/>
        <v/>
      </c>
      <c r="AG15" s="11" t="str">
        <f t="shared" si="3"/>
        <v/>
      </c>
      <c r="AH15" s="11" t="str">
        <f t="shared" si="4"/>
        <v/>
      </c>
      <c r="AI15" s="11" t="str">
        <f t="shared" si="5"/>
        <v/>
      </c>
      <c r="AJ15" s="11" t="str">
        <f t="shared" si="6"/>
        <v/>
      </c>
      <c r="AK15" s="11" t="str">
        <f t="shared" si="7"/>
        <v/>
      </c>
      <c r="AL15" s="11" t="str">
        <f t="shared" si="8"/>
        <v/>
      </c>
      <c r="AM15" s="11" t="str">
        <f t="shared" si="9"/>
        <v/>
      </c>
      <c r="AN15" s="11" t="str">
        <f t="shared" si="10"/>
        <v/>
      </c>
      <c r="AO15" s="11" t="str">
        <f t="shared" si="11"/>
        <v/>
      </c>
      <c r="AP15" s="11" t="str">
        <f t="shared" si="11"/>
        <v/>
      </c>
      <c r="AQ15" s="11" t="str">
        <f t="shared" si="12"/>
        <v/>
      </c>
      <c r="AR15" s="11" t="str">
        <f t="shared" si="13"/>
        <v/>
      </c>
      <c r="AS15" s="11" t="str">
        <f t="shared" si="14"/>
        <v/>
      </c>
      <c r="AT15" s="11" t="str">
        <f t="shared" si="15"/>
        <v/>
      </c>
      <c r="AU15" s="55"/>
      <c r="AV15" s="114"/>
      <c r="AW15" s="16">
        <v>5</v>
      </c>
      <c r="AX15" s="29" t="str">
        <f t="shared" si="80"/>
        <v/>
      </c>
      <c r="AY15" s="29" t="str">
        <f t="shared" si="16"/>
        <v/>
      </c>
      <c r="AZ15" s="29" t="str">
        <f t="shared" si="17"/>
        <v/>
      </c>
      <c r="BA15" s="29" t="str">
        <f t="shared" si="18"/>
        <v/>
      </c>
      <c r="BB15" s="29" t="str">
        <f t="shared" si="19"/>
        <v/>
      </c>
      <c r="BC15" s="29" t="str">
        <f t="shared" si="20"/>
        <v/>
      </c>
      <c r="BD15" s="29" t="str">
        <f t="shared" si="21"/>
        <v/>
      </c>
      <c r="BE15" s="29" t="str">
        <f t="shared" si="22"/>
        <v/>
      </c>
      <c r="BF15" s="29" t="str">
        <f t="shared" si="23"/>
        <v/>
      </c>
      <c r="BG15" s="29" t="str">
        <f t="shared" si="24"/>
        <v/>
      </c>
      <c r="BH15" s="29" t="str">
        <f t="shared" si="25"/>
        <v/>
      </c>
      <c r="BI15" s="29" t="str">
        <f t="shared" si="26"/>
        <v/>
      </c>
      <c r="BJ15" s="29" t="str">
        <f t="shared" si="27"/>
        <v/>
      </c>
      <c r="BK15" s="29" t="str">
        <f t="shared" si="28"/>
        <v/>
      </c>
      <c r="BL15" s="29" t="str">
        <f t="shared" si="29"/>
        <v/>
      </c>
      <c r="BM15" s="29" t="str">
        <f t="shared" si="30"/>
        <v/>
      </c>
      <c r="BN15" s="29" t="str">
        <f t="shared" si="31"/>
        <v/>
      </c>
      <c r="BO15" s="29" t="str">
        <f t="shared" si="32"/>
        <v/>
      </c>
      <c r="BP15" s="55"/>
      <c r="BQ15" s="114"/>
      <c r="BR15" s="16">
        <v>5</v>
      </c>
      <c r="BS15" s="29" t="str">
        <f t="shared" si="81"/>
        <v/>
      </c>
      <c r="BT15" s="29" t="str">
        <f t="shared" si="33"/>
        <v/>
      </c>
      <c r="BU15" s="29" t="str">
        <f t="shared" si="34"/>
        <v/>
      </c>
      <c r="BV15" s="29" t="str">
        <f t="shared" si="35"/>
        <v/>
      </c>
      <c r="BW15" s="29" t="str">
        <f t="shared" si="36"/>
        <v/>
      </c>
      <c r="BX15" s="29" t="str">
        <f t="shared" si="37"/>
        <v/>
      </c>
      <c r="BY15" s="29" t="str">
        <f t="shared" si="38"/>
        <v/>
      </c>
      <c r="BZ15" s="29" t="str">
        <f t="shared" si="39"/>
        <v/>
      </c>
      <c r="CA15" s="29" t="str">
        <f t="shared" si="40"/>
        <v/>
      </c>
      <c r="CB15" s="29" t="str">
        <f t="shared" si="41"/>
        <v/>
      </c>
      <c r="CC15" s="29" t="str">
        <f t="shared" si="42"/>
        <v/>
      </c>
      <c r="CD15" s="29" t="str">
        <f t="shared" si="43"/>
        <v/>
      </c>
      <c r="CE15" s="29" t="str">
        <f t="shared" si="44"/>
        <v/>
      </c>
      <c r="CG15" s="55"/>
      <c r="CH15" s="114"/>
      <c r="CI15" s="16">
        <v>5</v>
      </c>
      <c r="CJ15" s="29" t="str">
        <f t="shared" si="82"/>
        <v/>
      </c>
      <c r="CK15" s="29" t="str">
        <f t="shared" si="45"/>
        <v/>
      </c>
      <c r="CL15" s="29" t="str">
        <f t="shared" si="46"/>
        <v/>
      </c>
      <c r="CM15" s="29" t="str">
        <f t="shared" si="47"/>
        <v/>
      </c>
      <c r="CN15" s="29" t="str">
        <f t="shared" si="48"/>
        <v/>
      </c>
      <c r="CO15" s="29" t="str">
        <f t="shared" si="49"/>
        <v/>
      </c>
      <c r="CP15" s="29" t="str">
        <f t="shared" si="50"/>
        <v/>
      </c>
      <c r="CQ15" s="29" t="str">
        <f t="shared" si="51"/>
        <v/>
      </c>
      <c r="CR15" s="29" t="str">
        <f t="shared" si="52"/>
        <v/>
      </c>
      <c r="CS15" s="29" t="str">
        <f t="shared" si="53"/>
        <v/>
      </c>
      <c r="CT15" s="29" t="str">
        <f t="shared" si="54"/>
        <v/>
      </c>
      <c r="CU15" s="29" t="str">
        <f t="shared" si="55"/>
        <v/>
      </c>
      <c r="CV15" s="29" t="str">
        <f t="shared" si="56"/>
        <v/>
      </c>
      <c r="CW15" s="29" t="str">
        <f t="shared" si="57"/>
        <v/>
      </c>
      <c r="CX15" s="29" t="str">
        <f t="shared" si="58"/>
        <v/>
      </c>
      <c r="CY15" s="29" t="str">
        <f t="shared" si="59"/>
        <v/>
      </c>
      <c r="CZ15" s="29">
        <f t="shared" si="60"/>
        <v>0</v>
      </c>
      <c r="DA15" s="29" t="str">
        <f t="shared" si="61"/>
        <v/>
      </c>
      <c r="DG15" s="66"/>
      <c r="DH15" s="114"/>
      <c r="DI15" s="16">
        <v>5</v>
      </c>
      <c r="DJ15" s="29" t="str">
        <f t="shared" si="83"/>
        <v/>
      </c>
      <c r="DK15" s="29" t="str">
        <f t="shared" si="62"/>
        <v/>
      </c>
      <c r="DL15" s="29" t="str">
        <f t="shared" si="63"/>
        <v/>
      </c>
      <c r="DM15" s="29" t="str">
        <f t="shared" si="64"/>
        <v/>
      </c>
      <c r="DN15" s="29" t="str">
        <f t="shared" si="65"/>
        <v/>
      </c>
      <c r="DO15" s="29" t="str">
        <f t="shared" si="66"/>
        <v/>
      </c>
      <c r="DP15" s="29" t="str">
        <f t="shared" si="67"/>
        <v/>
      </c>
      <c r="DQ15" s="29" t="str">
        <f t="shared" si="68"/>
        <v/>
      </c>
      <c r="DR15" s="29" t="str">
        <f t="shared" si="69"/>
        <v/>
      </c>
      <c r="DS15" s="29" t="str">
        <f t="shared" si="70"/>
        <v/>
      </c>
      <c r="DT15" s="29" t="str">
        <f t="shared" si="71"/>
        <v/>
      </c>
      <c r="DU15" s="29" t="str">
        <f t="shared" si="72"/>
        <v/>
      </c>
      <c r="DV15" s="29" t="str">
        <f t="shared" si="73"/>
        <v/>
      </c>
      <c r="DW15" s="29" t="str">
        <f t="shared" si="74"/>
        <v/>
      </c>
      <c r="DX15" s="29" t="str">
        <f t="shared" si="75"/>
        <v/>
      </c>
      <c r="DY15" s="29" t="str">
        <f t="shared" si="76"/>
        <v/>
      </c>
      <c r="DZ15" s="29" t="str">
        <f t="shared" si="77"/>
        <v/>
      </c>
      <c r="EA15" s="29" t="str">
        <f t="shared" si="78"/>
        <v/>
      </c>
    </row>
    <row r="16" spans="5:131" ht="16.7" customHeight="1" x14ac:dyDescent="0.25">
      <c r="E16" s="109">
        <v>3</v>
      </c>
      <c r="F16" s="112" t="s">
        <v>3</v>
      </c>
      <c r="G16" s="10">
        <v>1</v>
      </c>
      <c r="H16" s="11" t="str">
        <f>TKB_LOP_SC!C11</f>
        <v>TViệt - Ngọc Ánh</v>
      </c>
      <c r="I16" s="11" t="str">
        <f>TKB_LOP_SC!E11</f>
        <v>Toán - Phương Anh</v>
      </c>
      <c r="J16" s="5" t="str">
        <f>TKB_LOP_SC!G11</f>
        <v>TViệt - LinhTH</v>
      </c>
      <c r="K16" s="11" t="str">
        <f>TKB_LOP_SC!I11</f>
        <v>Toán - Chi</v>
      </c>
      <c r="L16" s="11" t="str">
        <f>TKB_LOP_SC!M11</f>
        <v>TDNN - Nhi</v>
      </c>
      <c r="M16" s="11" t="str">
        <f>TKB_LOP_SC!O11</f>
        <v>GDTC - Hồng</v>
      </c>
      <c r="N16" s="11" t="str">
        <f>TKB_LOP_SC!Q11</f>
        <v>Nhạc - Trang ÂN</v>
      </c>
      <c r="O16" s="11" t="str">
        <f>TKB_LOP_SC!S11</f>
        <v>GVNN - Tay, Bích</v>
      </c>
      <c r="P16" s="5" t="str">
        <f>TKB_LOP_SC!W11</f>
        <v>KHTN - Nhung</v>
      </c>
      <c r="Q16" s="11" t="str">
        <f>TKB_LOP_SC!Y11</f>
        <v>GVNN - Tay, Chánh</v>
      </c>
      <c r="R16" s="11" t="str">
        <f>TKB_LOP_SC!AA11</f>
        <v>Toán - Tân</v>
      </c>
      <c r="S16" s="11" t="str">
        <f>TKB_LOP_SC!AC11</f>
        <v>Toán - Hiền</v>
      </c>
      <c r="T16" s="2" t="str">
        <f>TKB_LOP_SC!AE11</f>
        <v>Toán - MN1</v>
      </c>
      <c r="U16" s="2" t="str">
        <f>TKB_LOP_SC!AI11</f>
        <v>Tìm hiểu thiên nhiên - MN2</v>
      </c>
      <c r="V16" s="2">
        <f>TKB_LOP_SC!AK11</f>
        <v>0</v>
      </c>
      <c r="W16" s="2">
        <f>TKB_LOP_SC!AM11</f>
        <v>0</v>
      </c>
      <c r="X16" s="2">
        <f>TKB_LOP_SC!AO11</f>
        <v>0</v>
      </c>
      <c r="Y16" s="2" t="str">
        <f>TKB_LOP_SC!AQ11</f>
        <v>GVNN - Aziz, Phượng</v>
      </c>
      <c r="Z16" s="109">
        <v>3</v>
      </c>
      <c r="AA16" s="112" t="s">
        <v>3</v>
      </c>
      <c r="AB16" s="10">
        <v>1</v>
      </c>
      <c r="AC16" s="11" t="str">
        <f t="shared" si="79"/>
        <v/>
      </c>
      <c r="AD16" s="11" t="str">
        <f t="shared" si="0"/>
        <v/>
      </c>
      <c r="AE16" s="11" t="str">
        <f t="shared" si="1"/>
        <v/>
      </c>
      <c r="AF16" s="11" t="str">
        <f t="shared" si="2"/>
        <v/>
      </c>
      <c r="AG16" s="11" t="str">
        <f t="shared" si="3"/>
        <v/>
      </c>
      <c r="AH16" s="11" t="str">
        <f t="shared" si="4"/>
        <v/>
      </c>
      <c r="AI16" s="11" t="str">
        <f t="shared" si="5"/>
        <v/>
      </c>
      <c r="AJ16" s="11" t="str">
        <f t="shared" si="6"/>
        <v>Tay</v>
      </c>
      <c r="AK16" s="11" t="str">
        <f t="shared" si="7"/>
        <v/>
      </c>
      <c r="AL16" s="11" t="str">
        <f t="shared" si="8"/>
        <v>Tay</v>
      </c>
      <c r="AM16" s="11" t="str">
        <f t="shared" si="9"/>
        <v/>
      </c>
      <c r="AN16" s="11" t="str">
        <f t="shared" si="10"/>
        <v/>
      </c>
      <c r="AO16" s="11" t="str">
        <f t="shared" si="11"/>
        <v/>
      </c>
      <c r="AP16" s="11" t="str">
        <f t="shared" si="11"/>
        <v/>
      </c>
      <c r="AQ16" s="11" t="str">
        <f t="shared" si="12"/>
        <v/>
      </c>
      <c r="AR16" s="11" t="str">
        <f t="shared" si="13"/>
        <v/>
      </c>
      <c r="AS16" s="11" t="str">
        <f t="shared" si="14"/>
        <v/>
      </c>
      <c r="AT16" s="11" t="str">
        <f t="shared" si="15"/>
        <v/>
      </c>
      <c r="AU16" s="109">
        <v>3</v>
      </c>
      <c r="AV16" s="112" t="s">
        <v>3</v>
      </c>
      <c r="AW16" s="10">
        <v>1</v>
      </c>
      <c r="AX16" s="29" t="str">
        <f t="shared" si="80"/>
        <v>Ngọc Ánh</v>
      </c>
      <c r="AY16" s="29" t="str">
        <f t="shared" si="16"/>
        <v>Phương Anh</v>
      </c>
      <c r="AZ16" s="29" t="str">
        <f t="shared" si="17"/>
        <v>LinhTH</v>
      </c>
      <c r="BA16" s="29" t="str">
        <f t="shared" si="18"/>
        <v>Chi</v>
      </c>
      <c r="BB16" s="29" t="str">
        <f t="shared" si="19"/>
        <v>Nhi</v>
      </c>
      <c r="BC16" s="29" t="str">
        <f t="shared" si="20"/>
        <v>Hồng</v>
      </c>
      <c r="BD16" s="29" t="str">
        <f t="shared" si="21"/>
        <v>Trang ÂN</v>
      </c>
      <c r="BE16" s="29" t="str">
        <f t="shared" si="22"/>
        <v>Tay, Bích</v>
      </c>
      <c r="BF16" s="29" t="str">
        <f t="shared" si="23"/>
        <v>Nhung</v>
      </c>
      <c r="BG16" s="29" t="str">
        <f t="shared" si="24"/>
        <v>Tay, Chánh</v>
      </c>
      <c r="BH16" s="29" t="str">
        <f t="shared" si="25"/>
        <v>Tân</v>
      </c>
      <c r="BI16" s="29" t="str">
        <f t="shared" si="26"/>
        <v>Hiền</v>
      </c>
      <c r="BJ16" s="29" t="str">
        <f t="shared" si="27"/>
        <v>MN1</v>
      </c>
      <c r="BK16" s="29" t="str">
        <f t="shared" si="28"/>
        <v>MN2</v>
      </c>
      <c r="BL16" s="29" t="str">
        <f t="shared" si="29"/>
        <v/>
      </c>
      <c r="BM16" s="29" t="str">
        <f t="shared" si="30"/>
        <v/>
      </c>
      <c r="BN16" s="29" t="str">
        <f t="shared" si="31"/>
        <v/>
      </c>
      <c r="BO16" s="29" t="str">
        <f t="shared" si="32"/>
        <v>Aziz, Phượng</v>
      </c>
      <c r="BP16" s="109">
        <v>3</v>
      </c>
      <c r="BQ16" s="112" t="s">
        <v>3</v>
      </c>
      <c r="BR16" s="10">
        <v>1</v>
      </c>
      <c r="BS16" s="29" t="str">
        <f t="shared" si="81"/>
        <v>Ngọc Ánh</v>
      </c>
      <c r="BT16" s="29" t="str">
        <f t="shared" si="33"/>
        <v>Phương Anh</v>
      </c>
      <c r="BU16" s="29" t="str">
        <f t="shared" si="34"/>
        <v>LinhTH</v>
      </c>
      <c r="BV16" s="29" t="str">
        <f t="shared" si="35"/>
        <v>Chi</v>
      </c>
      <c r="BW16" s="29" t="str">
        <f t="shared" si="36"/>
        <v>Nhi</v>
      </c>
      <c r="BX16" s="29" t="str">
        <f t="shared" si="37"/>
        <v>Hồng</v>
      </c>
      <c r="BY16" s="29" t="str">
        <f t="shared" si="38"/>
        <v>Trang ÂN</v>
      </c>
      <c r="BZ16" s="29" t="str">
        <f t="shared" si="39"/>
        <v>Bích</v>
      </c>
      <c r="CA16" s="29" t="str">
        <f t="shared" si="40"/>
        <v>Nhung</v>
      </c>
      <c r="CB16" s="29" t="str">
        <f t="shared" si="41"/>
        <v>Chánh</v>
      </c>
      <c r="CC16" s="29" t="str">
        <f t="shared" si="42"/>
        <v>Tân</v>
      </c>
      <c r="CD16" s="29" t="str">
        <f t="shared" si="43"/>
        <v>Hiền</v>
      </c>
      <c r="CE16" s="29" t="str">
        <f t="shared" si="44"/>
        <v>MN1</v>
      </c>
      <c r="CG16" s="109">
        <v>3</v>
      </c>
      <c r="CH16" s="112" t="s">
        <v>3</v>
      </c>
      <c r="CI16" s="10">
        <v>1</v>
      </c>
      <c r="CJ16" s="29">
        <f t="shared" si="82"/>
        <v>1</v>
      </c>
      <c r="CK16" s="29">
        <f t="shared" si="45"/>
        <v>1</v>
      </c>
      <c r="CL16" s="29">
        <f t="shared" si="46"/>
        <v>1</v>
      </c>
      <c r="CM16" s="29">
        <f t="shared" si="47"/>
        <v>1</v>
      </c>
      <c r="CN16" s="29">
        <f t="shared" si="48"/>
        <v>1</v>
      </c>
      <c r="CO16" s="29">
        <f t="shared" si="49"/>
        <v>1</v>
      </c>
      <c r="CP16" s="29">
        <f t="shared" si="50"/>
        <v>1</v>
      </c>
      <c r="CQ16" s="29">
        <f t="shared" si="51"/>
        <v>1</v>
      </c>
      <c r="CR16" s="29">
        <f t="shared" si="52"/>
        <v>1</v>
      </c>
      <c r="CS16" s="29">
        <f t="shared" si="53"/>
        <v>1</v>
      </c>
      <c r="CT16" s="29">
        <f t="shared" si="54"/>
        <v>1</v>
      </c>
      <c r="CU16" s="29">
        <f t="shared" si="55"/>
        <v>1</v>
      </c>
      <c r="CV16" s="29">
        <f t="shared" si="56"/>
        <v>1</v>
      </c>
      <c r="CW16" s="29" t="str">
        <f t="shared" si="57"/>
        <v/>
      </c>
      <c r="CX16" s="29">
        <f t="shared" si="58"/>
        <v>0</v>
      </c>
      <c r="CY16" s="29">
        <f t="shared" si="59"/>
        <v>0</v>
      </c>
      <c r="CZ16" s="29">
        <f t="shared" si="60"/>
        <v>0</v>
      </c>
      <c r="DA16" s="29">
        <f t="shared" si="61"/>
        <v>0</v>
      </c>
      <c r="DG16" s="109">
        <v>3</v>
      </c>
      <c r="DH16" s="112" t="s">
        <v>3</v>
      </c>
      <c r="DI16" s="10">
        <v>1</v>
      </c>
      <c r="DJ16" s="29" t="str">
        <f t="shared" si="83"/>
        <v/>
      </c>
      <c r="DK16" s="29" t="str">
        <f t="shared" si="62"/>
        <v/>
      </c>
      <c r="DL16" s="29" t="str">
        <f t="shared" si="63"/>
        <v/>
      </c>
      <c r="DM16" s="29" t="str">
        <f t="shared" si="64"/>
        <v/>
      </c>
      <c r="DN16" s="29" t="str">
        <f t="shared" si="65"/>
        <v/>
      </c>
      <c r="DO16" s="29" t="str">
        <f t="shared" si="66"/>
        <v/>
      </c>
      <c r="DP16" s="29" t="str">
        <f t="shared" si="67"/>
        <v/>
      </c>
      <c r="DQ16" s="29">
        <f t="shared" si="68"/>
        <v>2</v>
      </c>
      <c r="DR16" s="29" t="str">
        <f t="shared" si="69"/>
        <v/>
      </c>
      <c r="DS16" s="29">
        <f t="shared" si="70"/>
        <v>2</v>
      </c>
      <c r="DT16" s="29" t="str">
        <f t="shared" si="71"/>
        <v/>
      </c>
      <c r="DU16" s="29" t="str">
        <f t="shared" si="72"/>
        <v/>
      </c>
      <c r="DV16" s="29" t="str">
        <f t="shared" si="73"/>
        <v/>
      </c>
      <c r="DW16" s="29" t="str">
        <f t="shared" si="74"/>
        <v/>
      </c>
      <c r="DX16" s="29" t="str">
        <f t="shared" si="75"/>
        <v/>
      </c>
      <c r="DY16" s="29" t="str">
        <f t="shared" si="76"/>
        <v/>
      </c>
      <c r="DZ16" s="29" t="str">
        <f t="shared" si="77"/>
        <v/>
      </c>
      <c r="EA16" s="29" t="str">
        <f t="shared" si="78"/>
        <v/>
      </c>
    </row>
    <row r="17" spans="5:131" ht="16.7" customHeight="1" x14ac:dyDescent="0.25">
      <c r="E17" s="110"/>
      <c r="F17" s="113"/>
      <c r="G17" s="15">
        <v>2</v>
      </c>
      <c r="H17" s="11" t="str">
        <f>TKB_LOP_SC!C12</f>
        <v>TViệt - Ngọc Ánh</v>
      </c>
      <c r="I17" s="11" t="str">
        <f>TKB_LOP_SC!E12</f>
        <v>GVNN - Tay, Huyền</v>
      </c>
      <c r="J17" s="5" t="str">
        <f>TKB_LOP_SC!G12</f>
        <v>TViệt - Linh TH</v>
      </c>
      <c r="K17" s="11" t="str">
        <f>TKB_LOP_SC!I12</f>
        <v>TViệt - Xuân</v>
      </c>
      <c r="L17" s="11" t="str">
        <f>TKB_LOP_SC!M12</f>
        <v>Nhạc - Trang ÂN</v>
      </c>
      <c r="M17" s="11" t="str">
        <f>TKB_LOP_SC!O12</f>
        <v>GDTC - Hồng</v>
      </c>
      <c r="N17" s="11" t="str">
        <f>TKB_LOP_SC!Q12</f>
        <v>GVNN - Tay, Quỳnh</v>
      </c>
      <c r="O17" s="11" t="str">
        <f>TKB_LOP_SC!S12</f>
        <v>LS&amp;ĐL - Ly</v>
      </c>
      <c r="P17" s="5" t="str">
        <f>TKB_LOP_SC!W12</f>
        <v>KHTN - Nhung</v>
      </c>
      <c r="Q17" s="11" t="str">
        <f>TKB_LOP_SC!Y12</f>
        <v>Toán - Tân</v>
      </c>
      <c r="R17" s="11" t="str">
        <f>TKB_LOP_SC!AA12</f>
        <v>GDCD - Hà</v>
      </c>
      <c r="S17" s="11" t="str">
        <f>TKB_LOP_SC!AC12</f>
        <v>Toán - Hiền</v>
      </c>
      <c r="T17" s="2" t="str">
        <f>TKB_LOP_SC!AE12</f>
        <v>Toán - MN1</v>
      </c>
      <c r="U17" s="2" t="str">
        <f>TKB_LOP_SC!AI12</f>
        <v>Lối sống - MN2</v>
      </c>
      <c r="V17" s="2" t="str">
        <f>TKB_LOP_SC!AK12</f>
        <v>GVNN - Aziz, Quỳnh</v>
      </c>
      <c r="W17" s="2">
        <f>TKB_LOP_SC!AM12</f>
        <v>0</v>
      </c>
      <c r="X17" s="2">
        <f>TKB_LOP_SC!AO12</f>
        <v>0</v>
      </c>
      <c r="Y17" s="2">
        <f>TKB_LOP_SC!AQ12</f>
        <v>0</v>
      </c>
      <c r="Z17" s="110"/>
      <c r="AA17" s="113"/>
      <c r="AB17" s="15">
        <v>2</v>
      </c>
      <c r="AC17" s="11" t="str">
        <f t="shared" si="79"/>
        <v/>
      </c>
      <c r="AD17" s="11" t="str">
        <f t="shared" si="0"/>
        <v>Tay</v>
      </c>
      <c r="AE17" s="11" t="str">
        <f t="shared" si="1"/>
        <v/>
      </c>
      <c r="AF17" s="11" t="str">
        <f t="shared" si="2"/>
        <v/>
      </c>
      <c r="AG17" s="11" t="str">
        <f t="shared" si="3"/>
        <v/>
      </c>
      <c r="AH17" s="11" t="str">
        <f t="shared" si="4"/>
        <v/>
      </c>
      <c r="AI17" s="11" t="str">
        <f t="shared" si="5"/>
        <v>Tay</v>
      </c>
      <c r="AJ17" s="11" t="str">
        <f t="shared" si="6"/>
        <v/>
      </c>
      <c r="AK17" s="11" t="str">
        <f t="shared" si="7"/>
        <v/>
      </c>
      <c r="AL17" s="11" t="str">
        <f t="shared" si="8"/>
        <v/>
      </c>
      <c r="AM17" s="11" t="str">
        <f t="shared" si="9"/>
        <v/>
      </c>
      <c r="AN17" s="11" t="str">
        <f t="shared" si="10"/>
        <v/>
      </c>
      <c r="AO17" s="11" t="str">
        <f t="shared" si="11"/>
        <v/>
      </c>
      <c r="AP17" s="11" t="str">
        <f t="shared" si="11"/>
        <v/>
      </c>
      <c r="AQ17" s="11" t="str">
        <f t="shared" si="12"/>
        <v/>
      </c>
      <c r="AR17" s="11" t="str">
        <f t="shared" si="13"/>
        <v/>
      </c>
      <c r="AS17" s="11" t="str">
        <f t="shared" si="14"/>
        <v/>
      </c>
      <c r="AT17" s="11" t="str">
        <f t="shared" si="15"/>
        <v/>
      </c>
      <c r="AU17" s="110"/>
      <c r="AV17" s="113"/>
      <c r="AW17" s="15">
        <v>2</v>
      </c>
      <c r="AX17" s="29" t="str">
        <f t="shared" si="80"/>
        <v>Ngọc Ánh</v>
      </c>
      <c r="AY17" s="29" t="str">
        <f t="shared" si="16"/>
        <v>Tay, Huyền</v>
      </c>
      <c r="AZ17" s="29" t="str">
        <f t="shared" si="17"/>
        <v>Linh TH</v>
      </c>
      <c r="BA17" s="29" t="str">
        <f t="shared" si="18"/>
        <v>Xuân</v>
      </c>
      <c r="BB17" s="29" t="str">
        <f t="shared" si="19"/>
        <v>Trang ÂN</v>
      </c>
      <c r="BC17" s="29" t="str">
        <f t="shared" si="20"/>
        <v>Hồng</v>
      </c>
      <c r="BD17" s="29" t="str">
        <f t="shared" si="21"/>
        <v>Tay, Quỳnh</v>
      </c>
      <c r="BE17" s="29" t="str">
        <f t="shared" si="22"/>
        <v>Ly</v>
      </c>
      <c r="BF17" s="29" t="str">
        <f t="shared" si="23"/>
        <v>Nhung</v>
      </c>
      <c r="BG17" s="29" t="str">
        <f t="shared" si="24"/>
        <v>Tân</v>
      </c>
      <c r="BH17" s="29" t="str">
        <f t="shared" si="25"/>
        <v>Hà</v>
      </c>
      <c r="BI17" s="29" t="str">
        <f t="shared" si="26"/>
        <v>Hiền</v>
      </c>
      <c r="BJ17" s="29" t="str">
        <f t="shared" si="27"/>
        <v>MN1</v>
      </c>
      <c r="BK17" s="29" t="str">
        <f t="shared" si="28"/>
        <v>MN2</v>
      </c>
      <c r="BL17" s="29" t="str">
        <f t="shared" si="29"/>
        <v>Aziz, Quỳnh</v>
      </c>
      <c r="BM17" s="29" t="str">
        <f t="shared" si="30"/>
        <v/>
      </c>
      <c r="BN17" s="29" t="str">
        <f t="shared" si="31"/>
        <v/>
      </c>
      <c r="BO17" s="29" t="str">
        <f t="shared" si="32"/>
        <v/>
      </c>
      <c r="BP17" s="110"/>
      <c r="BQ17" s="113"/>
      <c r="BR17" s="15">
        <v>2</v>
      </c>
      <c r="BS17" s="29" t="str">
        <f t="shared" si="81"/>
        <v>Ngọc Ánh</v>
      </c>
      <c r="BT17" s="29" t="str">
        <f t="shared" si="33"/>
        <v>Huyền</v>
      </c>
      <c r="BU17" s="29" t="str">
        <f t="shared" si="34"/>
        <v>Linh TH</v>
      </c>
      <c r="BV17" s="29" t="str">
        <f t="shared" si="35"/>
        <v>Xuân</v>
      </c>
      <c r="BW17" s="29" t="str">
        <f t="shared" si="36"/>
        <v>Trang ÂN</v>
      </c>
      <c r="BX17" s="29" t="str">
        <f t="shared" si="37"/>
        <v>Hồng</v>
      </c>
      <c r="BY17" s="29" t="str">
        <f t="shared" si="38"/>
        <v>Quỳnh</v>
      </c>
      <c r="BZ17" s="29" t="str">
        <f t="shared" si="39"/>
        <v>Ly</v>
      </c>
      <c r="CA17" s="29" t="str">
        <f t="shared" si="40"/>
        <v>Nhung</v>
      </c>
      <c r="CB17" s="29" t="str">
        <f t="shared" si="41"/>
        <v>Tân</v>
      </c>
      <c r="CC17" s="29" t="str">
        <f t="shared" si="42"/>
        <v>Hà</v>
      </c>
      <c r="CD17" s="29" t="str">
        <f t="shared" si="43"/>
        <v>Hiền</v>
      </c>
      <c r="CE17" s="29" t="str">
        <f t="shared" si="44"/>
        <v>MN1</v>
      </c>
      <c r="CG17" s="110"/>
      <c r="CH17" s="113"/>
      <c r="CI17" s="15">
        <v>2</v>
      </c>
      <c r="CJ17" s="29">
        <f t="shared" si="82"/>
        <v>1</v>
      </c>
      <c r="CK17" s="29">
        <f t="shared" si="45"/>
        <v>1</v>
      </c>
      <c r="CL17" s="29">
        <f t="shared" si="46"/>
        <v>1</v>
      </c>
      <c r="CM17" s="29">
        <f t="shared" si="47"/>
        <v>1</v>
      </c>
      <c r="CN17" s="29">
        <f t="shared" si="48"/>
        <v>1</v>
      </c>
      <c r="CO17" s="29">
        <f t="shared" si="49"/>
        <v>1</v>
      </c>
      <c r="CP17" s="29">
        <f t="shared" si="50"/>
        <v>1</v>
      </c>
      <c r="CQ17" s="29">
        <f t="shared" si="51"/>
        <v>1</v>
      </c>
      <c r="CR17" s="29">
        <f t="shared" si="52"/>
        <v>1</v>
      </c>
      <c r="CS17" s="29">
        <f t="shared" si="53"/>
        <v>1</v>
      </c>
      <c r="CT17" s="29">
        <f t="shared" si="54"/>
        <v>1</v>
      </c>
      <c r="CU17" s="29">
        <f t="shared" si="55"/>
        <v>1</v>
      </c>
      <c r="CV17" s="29">
        <f t="shared" si="56"/>
        <v>1</v>
      </c>
      <c r="CW17" s="29" t="str">
        <f t="shared" si="57"/>
        <v/>
      </c>
      <c r="CX17" s="29" t="str">
        <f t="shared" si="58"/>
        <v/>
      </c>
      <c r="CY17" s="29" t="str">
        <f t="shared" si="59"/>
        <v/>
      </c>
      <c r="CZ17" s="29">
        <f t="shared" si="60"/>
        <v>0</v>
      </c>
      <c r="DA17" s="29">
        <f t="shared" si="61"/>
        <v>0</v>
      </c>
      <c r="DG17" s="110"/>
      <c r="DH17" s="113"/>
      <c r="DI17" s="15">
        <v>2</v>
      </c>
      <c r="DJ17" s="29" t="str">
        <f t="shared" si="83"/>
        <v/>
      </c>
      <c r="DK17" s="29">
        <f t="shared" si="62"/>
        <v>2</v>
      </c>
      <c r="DL17" s="29" t="str">
        <f t="shared" si="63"/>
        <v/>
      </c>
      <c r="DM17" s="29" t="str">
        <f t="shared" si="64"/>
        <v/>
      </c>
      <c r="DN17" s="29" t="str">
        <f t="shared" si="65"/>
        <v/>
      </c>
      <c r="DO17" s="29" t="str">
        <f t="shared" si="66"/>
        <v/>
      </c>
      <c r="DP17" s="29">
        <f t="shared" si="67"/>
        <v>2</v>
      </c>
      <c r="DQ17" s="29" t="str">
        <f t="shared" si="68"/>
        <v/>
      </c>
      <c r="DR17" s="29" t="str">
        <f t="shared" si="69"/>
        <v/>
      </c>
      <c r="DS17" s="29" t="str">
        <f t="shared" si="70"/>
        <v/>
      </c>
      <c r="DT17" s="29" t="str">
        <f t="shared" si="71"/>
        <v/>
      </c>
      <c r="DU17" s="29" t="str">
        <f t="shared" si="72"/>
        <v/>
      </c>
      <c r="DV17" s="29" t="str">
        <f t="shared" si="73"/>
        <v/>
      </c>
      <c r="DW17" s="29" t="str">
        <f t="shared" si="74"/>
        <v/>
      </c>
      <c r="DX17" s="29" t="str">
        <f t="shared" si="75"/>
        <v/>
      </c>
      <c r="DY17" s="29" t="str">
        <f t="shared" si="76"/>
        <v/>
      </c>
      <c r="DZ17" s="29" t="str">
        <f t="shared" si="77"/>
        <v/>
      </c>
      <c r="EA17" s="29" t="str">
        <f t="shared" si="78"/>
        <v/>
      </c>
    </row>
    <row r="18" spans="5:131" ht="16.7" customHeight="1" x14ac:dyDescent="0.25">
      <c r="E18" s="110"/>
      <c r="F18" s="113"/>
      <c r="G18" s="15">
        <v>3</v>
      </c>
      <c r="H18" s="11" t="str">
        <f>TKB_LOP_SC!C13</f>
        <v>Nhạc - Trang ÂN</v>
      </c>
      <c r="I18" s="11" t="str">
        <f>TKB_LOP_SC!E13</f>
        <v>TViệt - Nhi</v>
      </c>
      <c r="J18" s="5" t="str">
        <f>TKB_LOP_SC!G13</f>
        <v>GVVN - Trang</v>
      </c>
      <c r="K18" s="11" t="str">
        <f>TKB_LOP_SC!I13</f>
        <v>Science - Trà</v>
      </c>
      <c r="L18" s="11" t="str">
        <f>TKB_LOP_SC!M13</f>
        <v>TViệt - Ngọc</v>
      </c>
      <c r="M18" s="11" t="str">
        <f>TKB_LOP_SC!O13</f>
        <v>GVNN - Tay, Bích</v>
      </c>
      <c r="N18" s="11" t="str">
        <f>TKB_LOP_SC!Q13</f>
        <v>LS&amp;ĐL - Ly</v>
      </c>
      <c r="O18" s="11" t="str">
        <f>TKB_LOP_SC!S13</f>
        <v>Tin - Nguyên</v>
      </c>
      <c r="P18" s="5" t="str">
        <f>TKB_LOP_SC!W13</f>
        <v>Văn - Hà</v>
      </c>
      <c r="Q18" s="11" t="str">
        <f>TKB_LOP_SC!Y13</f>
        <v>KHTN - Nhung</v>
      </c>
      <c r="R18" s="11" t="str">
        <f>TKB_LOP_SC!AA13</f>
        <v>GVNN - Tay, Quỳnh</v>
      </c>
      <c r="S18" s="11" t="str">
        <f>TKB_LOP_SC!AC13</f>
        <v>Tìm hiểu thiên nhiên - Hiền</v>
      </c>
      <c r="T18" s="2" t="str">
        <f>TKB_LOP_SC!AE13</f>
        <v>Tìm hiểu thiên nhiên - MN1</v>
      </c>
      <c r="U18" s="2" t="str">
        <f>TKB_LOP_SC!AI13</f>
        <v>GDTC - Hồng</v>
      </c>
      <c r="V18" s="2">
        <f>TKB_LOP_SC!AK13</f>
        <v>0</v>
      </c>
      <c r="W18" s="2" t="str">
        <f>TKB_LOP_SC!AM13</f>
        <v>GVNN - Aziz, Ngân</v>
      </c>
      <c r="X18" s="2" t="str">
        <f>TKB_LOP_SC!AO13</f>
        <v>GVVN - Linh</v>
      </c>
      <c r="Y18" s="2">
        <f>TKB_LOP_SC!AR13</f>
        <v>0</v>
      </c>
      <c r="Z18" s="110"/>
      <c r="AA18" s="113"/>
      <c r="AB18" s="15">
        <v>3</v>
      </c>
      <c r="AC18" s="11" t="str">
        <f t="shared" si="79"/>
        <v/>
      </c>
      <c r="AD18" s="11" t="str">
        <f t="shared" si="0"/>
        <v/>
      </c>
      <c r="AE18" s="11" t="str">
        <f t="shared" si="1"/>
        <v/>
      </c>
      <c r="AF18" s="11" t="str">
        <f t="shared" si="2"/>
        <v/>
      </c>
      <c r="AG18" s="11" t="str">
        <f t="shared" si="3"/>
        <v/>
      </c>
      <c r="AH18" s="11" t="str">
        <f t="shared" si="4"/>
        <v>Tay</v>
      </c>
      <c r="AI18" s="11" t="str">
        <f t="shared" si="5"/>
        <v/>
      </c>
      <c r="AJ18" s="11" t="str">
        <f t="shared" si="6"/>
        <v/>
      </c>
      <c r="AK18" s="11" t="str">
        <f t="shared" si="7"/>
        <v/>
      </c>
      <c r="AL18" s="11" t="str">
        <f t="shared" si="8"/>
        <v/>
      </c>
      <c r="AM18" s="11" t="str">
        <f t="shared" si="9"/>
        <v>Tay</v>
      </c>
      <c r="AN18" s="11" t="str">
        <f t="shared" si="10"/>
        <v/>
      </c>
      <c r="AO18" s="11" t="str">
        <f t="shared" si="11"/>
        <v/>
      </c>
      <c r="AP18" s="11" t="str">
        <f t="shared" si="11"/>
        <v/>
      </c>
      <c r="AQ18" s="11" t="str">
        <f t="shared" si="12"/>
        <v/>
      </c>
      <c r="AR18" s="11" t="str">
        <f t="shared" si="13"/>
        <v/>
      </c>
      <c r="AS18" s="11" t="str">
        <f t="shared" si="14"/>
        <v/>
      </c>
      <c r="AT18" s="11" t="str">
        <f t="shared" si="15"/>
        <v/>
      </c>
      <c r="AU18" s="110"/>
      <c r="AV18" s="113"/>
      <c r="AW18" s="15">
        <v>3</v>
      </c>
      <c r="AX18" s="29" t="str">
        <f t="shared" si="80"/>
        <v>Trang ÂN</v>
      </c>
      <c r="AY18" s="29" t="str">
        <f t="shared" si="16"/>
        <v>Nhi</v>
      </c>
      <c r="AZ18" s="29" t="str">
        <f t="shared" si="17"/>
        <v>Trang</v>
      </c>
      <c r="BA18" s="29" t="str">
        <f t="shared" si="18"/>
        <v>Trà</v>
      </c>
      <c r="BB18" s="29" t="str">
        <f t="shared" si="19"/>
        <v>Ngọc</v>
      </c>
      <c r="BC18" s="29" t="str">
        <f t="shared" si="20"/>
        <v>Tay, Bích</v>
      </c>
      <c r="BD18" s="29" t="str">
        <f t="shared" si="21"/>
        <v>Ly</v>
      </c>
      <c r="BE18" s="29" t="str">
        <f t="shared" si="22"/>
        <v>Nguyên</v>
      </c>
      <c r="BF18" s="29" t="str">
        <f t="shared" si="23"/>
        <v>Hà</v>
      </c>
      <c r="BG18" s="29" t="str">
        <f t="shared" si="24"/>
        <v>Nhung</v>
      </c>
      <c r="BH18" s="29" t="str">
        <f t="shared" si="25"/>
        <v>Tay, Quỳnh</v>
      </c>
      <c r="BI18" s="29" t="str">
        <f t="shared" si="26"/>
        <v>Hiền</v>
      </c>
      <c r="BJ18" s="29" t="str">
        <f t="shared" si="27"/>
        <v>MN1</v>
      </c>
      <c r="BK18" s="29" t="str">
        <f t="shared" si="28"/>
        <v>Hồng</v>
      </c>
      <c r="BL18" s="29" t="str">
        <f t="shared" si="29"/>
        <v/>
      </c>
      <c r="BM18" s="29" t="str">
        <f t="shared" si="30"/>
        <v>Aziz, Ngân</v>
      </c>
      <c r="BN18" s="29" t="str">
        <f t="shared" si="31"/>
        <v>Linh</v>
      </c>
      <c r="BO18" s="29" t="str">
        <f t="shared" si="32"/>
        <v/>
      </c>
      <c r="BP18" s="110"/>
      <c r="BQ18" s="113"/>
      <c r="BR18" s="15">
        <v>3</v>
      </c>
      <c r="BS18" s="29" t="str">
        <f t="shared" si="81"/>
        <v>Trang ÂN</v>
      </c>
      <c r="BT18" s="29" t="str">
        <f t="shared" si="33"/>
        <v>Nhi</v>
      </c>
      <c r="BU18" s="29" t="str">
        <f t="shared" si="34"/>
        <v>Trang</v>
      </c>
      <c r="BV18" s="29" t="str">
        <f t="shared" si="35"/>
        <v>Trà</v>
      </c>
      <c r="BW18" s="29" t="str">
        <f t="shared" si="36"/>
        <v>Ngọc</v>
      </c>
      <c r="BX18" s="29" t="str">
        <f t="shared" si="37"/>
        <v>Bích</v>
      </c>
      <c r="BY18" s="29" t="str">
        <f t="shared" si="38"/>
        <v>Ly</v>
      </c>
      <c r="BZ18" s="29" t="str">
        <f t="shared" si="39"/>
        <v>Nguyên</v>
      </c>
      <c r="CA18" s="29" t="str">
        <f t="shared" si="40"/>
        <v>Hà</v>
      </c>
      <c r="CB18" s="29" t="str">
        <f t="shared" si="41"/>
        <v>Nhung</v>
      </c>
      <c r="CC18" s="29" t="str">
        <f t="shared" si="42"/>
        <v>Quỳnh</v>
      </c>
      <c r="CD18" s="29" t="str">
        <f t="shared" si="43"/>
        <v>Hiền</v>
      </c>
      <c r="CE18" s="29" t="str">
        <f t="shared" si="44"/>
        <v>MN1</v>
      </c>
      <c r="CG18" s="110"/>
      <c r="CH18" s="113"/>
      <c r="CI18" s="15">
        <v>3</v>
      </c>
      <c r="CJ18" s="29">
        <f t="shared" si="82"/>
        <v>1</v>
      </c>
      <c r="CK18" s="29">
        <f t="shared" si="45"/>
        <v>1</v>
      </c>
      <c r="CL18" s="29">
        <f t="shared" si="46"/>
        <v>1</v>
      </c>
      <c r="CM18" s="29">
        <f t="shared" si="47"/>
        <v>1</v>
      </c>
      <c r="CN18" s="29">
        <f t="shared" si="48"/>
        <v>1</v>
      </c>
      <c r="CO18" s="29">
        <f t="shared" si="49"/>
        <v>1</v>
      </c>
      <c r="CP18" s="29">
        <f t="shared" si="50"/>
        <v>1</v>
      </c>
      <c r="CQ18" s="29">
        <f t="shared" si="51"/>
        <v>1</v>
      </c>
      <c r="CR18" s="29">
        <f t="shared" si="52"/>
        <v>1</v>
      </c>
      <c r="CS18" s="29">
        <f t="shared" si="53"/>
        <v>1</v>
      </c>
      <c r="CT18" s="29">
        <f t="shared" si="54"/>
        <v>1</v>
      </c>
      <c r="CU18" s="29">
        <f t="shared" si="55"/>
        <v>1</v>
      </c>
      <c r="CV18" s="29">
        <f t="shared" si="56"/>
        <v>1</v>
      </c>
      <c r="CW18" s="29" t="str">
        <f t="shared" si="57"/>
        <v/>
      </c>
      <c r="CX18" s="29" t="str">
        <f t="shared" si="58"/>
        <v/>
      </c>
      <c r="CY18" s="29" t="str">
        <f t="shared" si="59"/>
        <v/>
      </c>
      <c r="CZ18" s="29">
        <f t="shared" si="60"/>
        <v>0</v>
      </c>
      <c r="DA18" s="29">
        <f t="shared" si="61"/>
        <v>0</v>
      </c>
      <c r="DG18" s="110"/>
      <c r="DH18" s="113"/>
      <c r="DI18" s="15">
        <v>3</v>
      </c>
      <c r="DJ18" s="29" t="str">
        <f t="shared" si="83"/>
        <v/>
      </c>
      <c r="DK18" s="29" t="str">
        <f t="shared" si="62"/>
        <v/>
      </c>
      <c r="DL18" s="29" t="str">
        <f t="shared" si="63"/>
        <v/>
      </c>
      <c r="DM18" s="29" t="str">
        <f t="shared" si="64"/>
        <v/>
      </c>
      <c r="DN18" s="29" t="str">
        <f t="shared" si="65"/>
        <v/>
      </c>
      <c r="DO18" s="29">
        <f t="shared" si="66"/>
        <v>2</v>
      </c>
      <c r="DP18" s="29" t="str">
        <f t="shared" si="67"/>
        <v/>
      </c>
      <c r="DQ18" s="29" t="str">
        <f t="shared" si="68"/>
        <v/>
      </c>
      <c r="DR18" s="29" t="str">
        <f t="shared" si="69"/>
        <v/>
      </c>
      <c r="DS18" s="29" t="str">
        <f t="shared" si="70"/>
        <v/>
      </c>
      <c r="DT18" s="29">
        <f t="shared" si="71"/>
        <v>2</v>
      </c>
      <c r="DU18" s="29" t="str">
        <f t="shared" si="72"/>
        <v/>
      </c>
      <c r="DV18" s="29" t="str">
        <f t="shared" si="73"/>
        <v/>
      </c>
      <c r="DW18" s="29" t="str">
        <f t="shared" si="74"/>
        <v/>
      </c>
      <c r="DX18" s="29" t="str">
        <f t="shared" si="75"/>
        <v/>
      </c>
      <c r="DY18" s="29" t="str">
        <f t="shared" si="76"/>
        <v/>
      </c>
      <c r="DZ18" s="29" t="str">
        <f t="shared" si="77"/>
        <v/>
      </c>
      <c r="EA18" s="29" t="str">
        <f t="shared" si="78"/>
        <v/>
      </c>
    </row>
    <row r="19" spans="5:131" ht="16.7" customHeight="1" x14ac:dyDescent="0.25">
      <c r="E19" s="110"/>
      <c r="F19" s="113"/>
      <c r="G19" s="15">
        <v>4</v>
      </c>
      <c r="H19" s="11" t="str">
        <f>TKB_LOP_SC!C14</f>
        <v>GVVN - Trang</v>
      </c>
      <c r="I19" s="11" t="str">
        <f>TKB_LOP_SC!E14</f>
        <v>TViệt - Nhi</v>
      </c>
      <c r="J19" s="5" t="str">
        <f>TKB_LOP_SC!G14</f>
        <v>TNXH - Linh TH</v>
      </c>
      <c r="K19" s="11" t="str">
        <f>TKB_LOP_SC!I14</f>
        <v>GVNN - Tay, Trà</v>
      </c>
      <c r="L19" s="11" t="str">
        <f>TKB_LOP_SC!M14</f>
        <v>TViệt - Ngọc</v>
      </c>
      <c r="M19" s="11" t="str">
        <f>TKB_LOP_SC!O14</f>
        <v>Toán - Chi</v>
      </c>
      <c r="N19" s="11" t="str">
        <f>TKB_LOP_SC!Q14</f>
        <v>Toán - Phương Anh</v>
      </c>
      <c r="O19" s="11" t="str">
        <f>TKB_LOP_SC!S14</f>
        <v>Robotics - Nguyên</v>
      </c>
      <c r="P19" s="5" t="str">
        <f>TKB_LOP_SC!W14</f>
        <v>GVNN - Tay, Chánh</v>
      </c>
      <c r="Q19" s="11" t="str">
        <f>TKB_LOP_SC!Y14</f>
        <v>KHTN - Nhung</v>
      </c>
      <c r="R19" s="11" t="str">
        <f>TKB_LOP_SC!AA14</f>
        <v>GVVN - Quỳnh</v>
      </c>
      <c r="S19" s="11" t="str">
        <f>TKB_LOP_SC!AC14</f>
        <v>Lối sống - Hiền</v>
      </c>
      <c r="T19" s="2" t="str">
        <f>TKB_LOP_SC!AE14</f>
        <v>Lối sống - MN1</v>
      </c>
      <c r="U19" s="2" t="str">
        <f>TKB_LOP_SC!AI14</f>
        <v>GDTC - Hồng</v>
      </c>
      <c r="V19" s="2">
        <f>TKB_LOP_SC!AK14</f>
        <v>0</v>
      </c>
      <c r="W19" s="2">
        <f>TKB_LOP_SC!AM14</f>
        <v>0</v>
      </c>
      <c r="X19" s="2">
        <f>TKB_LOP_SC!AO14</f>
        <v>0</v>
      </c>
      <c r="Y19" s="2">
        <f>TKB_LOP_SC!AQ14</f>
        <v>0</v>
      </c>
      <c r="Z19" s="110"/>
      <c r="AA19" s="113"/>
      <c r="AB19" s="15">
        <v>4</v>
      </c>
      <c r="AC19" s="11" t="str">
        <f t="shared" si="79"/>
        <v/>
      </c>
      <c r="AD19" s="11" t="str">
        <f t="shared" si="0"/>
        <v/>
      </c>
      <c r="AE19" s="11" t="str">
        <f t="shared" si="1"/>
        <v/>
      </c>
      <c r="AF19" s="11" t="str">
        <f t="shared" si="2"/>
        <v>Tay</v>
      </c>
      <c r="AG19" s="11" t="str">
        <f t="shared" si="3"/>
        <v/>
      </c>
      <c r="AH19" s="11" t="str">
        <f t="shared" si="4"/>
        <v/>
      </c>
      <c r="AI19" s="11" t="str">
        <f t="shared" si="5"/>
        <v/>
      </c>
      <c r="AJ19" s="11" t="str">
        <f t="shared" si="6"/>
        <v/>
      </c>
      <c r="AK19" s="11" t="str">
        <f t="shared" si="7"/>
        <v>Tay</v>
      </c>
      <c r="AL19" s="11" t="str">
        <f t="shared" si="8"/>
        <v/>
      </c>
      <c r="AM19" s="11" t="str">
        <f t="shared" si="9"/>
        <v/>
      </c>
      <c r="AN19" s="11" t="str">
        <f t="shared" si="10"/>
        <v/>
      </c>
      <c r="AO19" s="11" t="str">
        <f t="shared" si="11"/>
        <v/>
      </c>
      <c r="AP19" s="11" t="str">
        <f t="shared" si="11"/>
        <v/>
      </c>
      <c r="AQ19" s="11" t="str">
        <f t="shared" si="12"/>
        <v/>
      </c>
      <c r="AR19" s="11" t="str">
        <f t="shared" si="13"/>
        <v/>
      </c>
      <c r="AS19" s="11" t="str">
        <f t="shared" si="14"/>
        <v/>
      </c>
      <c r="AT19" s="11" t="str">
        <f t="shared" si="15"/>
        <v/>
      </c>
      <c r="AU19" s="110"/>
      <c r="AV19" s="113"/>
      <c r="AW19" s="15">
        <v>4</v>
      </c>
      <c r="AX19" s="29" t="str">
        <f t="shared" si="80"/>
        <v>Trang</v>
      </c>
      <c r="AY19" s="29" t="str">
        <f t="shared" si="16"/>
        <v>Nhi</v>
      </c>
      <c r="AZ19" s="29" t="str">
        <f t="shared" si="17"/>
        <v>Linh TH</v>
      </c>
      <c r="BA19" s="29" t="str">
        <f t="shared" si="18"/>
        <v>Tay, Trà</v>
      </c>
      <c r="BB19" s="29" t="str">
        <f t="shared" si="19"/>
        <v>Ngọc</v>
      </c>
      <c r="BC19" s="29" t="str">
        <f t="shared" si="20"/>
        <v>Chi</v>
      </c>
      <c r="BD19" s="29" t="str">
        <f t="shared" si="21"/>
        <v>Phương Anh</v>
      </c>
      <c r="BE19" s="29" t="str">
        <f t="shared" si="22"/>
        <v>Nguyên</v>
      </c>
      <c r="BF19" s="29" t="str">
        <f t="shared" si="23"/>
        <v>Tay, Chánh</v>
      </c>
      <c r="BG19" s="29" t="str">
        <f t="shared" si="24"/>
        <v>Nhung</v>
      </c>
      <c r="BH19" s="29" t="str">
        <f t="shared" si="25"/>
        <v>Quỳnh</v>
      </c>
      <c r="BI19" s="29" t="str">
        <f t="shared" si="26"/>
        <v>Hiền</v>
      </c>
      <c r="BJ19" s="29" t="str">
        <f t="shared" si="27"/>
        <v>MN1</v>
      </c>
      <c r="BK19" s="29" t="str">
        <f t="shared" si="28"/>
        <v>Hồng</v>
      </c>
      <c r="BL19" s="29" t="str">
        <f t="shared" si="29"/>
        <v/>
      </c>
      <c r="BM19" s="29" t="str">
        <f t="shared" si="30"/>
        <v/>
      </c>
      <c r="BN19" s="29" t="str">
        <f t="shared" si="31"/>
        <v/>
      </c>
      <c r="BO19" s="29" t="str">
        <f t="shared" si="32"/>
        <v/>
      </c>
      <c r="BP19" s="110"/>
      <c r="BQ19" s="113"/>
      <c r="BR19" s="15">
        <v>4</v>
      </c>
      <c r="BS19" s="29" t="str">
        <f t="shared" si="81"/>
        <v>Trang</v>
      </c>
      <c r="BT19" s="29" t="str">
        <f t="shared" si="33"/>
        <v>Nhi</v>
      </c>
      <c r="BU19" s="29" t="str">
        <f t="shared" si="34"/>
        <v>Linh TH</v>
      </c>
      <c r="BV19" s="29" t="str">
        <f t="shared" si="35"/>
        <v>Trà</v>
      </c>
      <c r="BW19" s="29" t="str">
        <f t="shared" si="36"/>
        <v>Ngọc</v>
      </c>
      <c r="BX19" s="29" t="str">
        <f t="shared" si="37"/>
        <v>Chi</v>
      </c>
      <c r="BY19" s="29" t="str">
        <f t="shared" si="38"/>
        <v>Phương Anh</v>
      </c>
      <c r="BZ19" s="29" t="str">
        <f t="shared" si="39"/>
        <v>Nguyên</v>
      </c>
      <c r="CA19" s="29" t="str">
        <f t="shared" si="40"/>
        <v>Chánh</v>
      </c>
      <c r="CB19" s="29" t="str">
        <f t="shared" si="41"/>
        <v>Nhung</v>
      </c>
      <c r="CC19" s="29" t="str">
        <f t="shared" si="42"/>
        <v>Quỳnh</v>
      </c>
      <c r="CD19" s="29" t="str">
        <f t="shared" si="43"/>
        <v>Hiền</v>
      </c>
      <c r="CE19" s="29" t="str">
        <f t="shared" si="44"/>
        <v>MN1</v>
      </c>
      <c r="CG19" s="110"/>
      <c r="CH19" s="113"/>
      <c r="CI19" s="15">
        <v>4</v>
      </c>
      <c r="CJ19" s="29">
        <f t="shared" si="82"/>
        <v>1</v>
      </c>
      <c r="CK19" s="29">
        <f t="shared" si="45"/>
        <v>1</v>
      </c>
      <c r="CL19" s="29">
        <f t="shared" si="46"/>
        <v>1</v>
      </c>
      <c r="CM19" s="29">
        <f t="shared" si="47"/>
        <v>1</v>
      </c>
      <c r="CN19" s="29">
        <f t="shared" si="48"/>
        <v>1</v>
      </c>
      <c r="CO19" s="29">
        <f t="shared" si="49"/>
        <v>1</v>
      </c>
      <c r="CP19" s="29">
        <f t="shared" si="50"/>
        <v>1</v>
      </c>
      <c r="CQ19" s="29">
        <f t="shared" si="51"/>
        <v>1</v>
      </c>
      <c r="CR19" s="29">
        <f t="shared" si="52"/>
        <v>1</v>
      </c>
      <c r="CS19" s="29">
        <f t="shared" si="53"/>
        <v>1</v>
      </c>
      <c r="CT19" s="29">
        <f t="shared" si="54"/>
        <v>1</v>
      </c>
      <c r="CU19" s="29">
        <f t="shared" si="55"/>
        <v>1</v>
      </c>
      <c r="CV19" s="29">
        <f t="shared" si="56"/>
        <v>1</v>
      </c>
      <c r="CW19" s="29" t="str">
        <f t="shared" si="57"/>
        <v/>
      </c>
      <c r="CX19" s="29" t="str">
        <f t="shared" si="58"/>
        <v/>
      </c>
      <c r="CY19" s="29" t="str">
        <f t="shared" si="59"/>
        <v/>
      </c>
      <c r="CZ19" s="29">
        <f t="shared" si="60"/>
        <v>0</v>
      </c>
      <c r="DA19" s="29">
        <f t="shared" si="61"/>
        <v>0</v>
      </c>
      <c r="DG19" s="110"/>
      <c r="DH19" s="113"/>
      <c r="DI19" s="15">
        <v>4</v>
      </c>
      <c r="DJ19" s="29" t="str">
        <f t="shared" si="83"/>
        <v/>
      </c>
      <c r="DK19" s="29" t="str">
        <f t="shared" si="62"/>
        <v/>
      </c>
      <c r="DL19" s="29" t="str">
        <f t="shared" si="63"/>
        <v/>
      </c>
      <c r="DM19" s="29">
        <f t="shared" si="64"/>
        <v>2</v>
      </c>
      <c r="DN19" s="29" t="str">
        <f t="shared" si="65"/>
        <v/>
      </c>
      <c r="DO19" s="29" t="str">
        <f t="shared" si="66"/>
        <v/>
      </c>
      <c r="DP19" s="29" t="str">
        <f t="shared" si="67"/>
        <v/>
      </c>
      <c r="DQ19" s="29" t="str">
        <f t="shared" si="68"/>
        <v/>
      </c>
      <c r="DR19" s="29">
        <f t="shared" si="69"/>
        <v>2</v>
      </c>
      <c r="DS19" s="29" t="str">
        <f t="shared" si="70"/>
        <v/>
      </c>
      <c r="DT19" s="29" t="str">
        <f t="shared" si="71"/>
        <v/>
      </c>
      <c r="DU19" s="29" t="str">
        <f t="shared" si="72"/>
        <v/>
      </c>
      <c r="DV19" s="29" t="str">
        <f t="shared" si="73"/>
        <v/>
      </c>
      <c r="DW19" s="29" t="str">
        <f t="shared" si="74"/>
        <v/>
      </c>
      <c r="DX19" s="29" t="str">
        <f t="shared" si="75"/>
        <v/>
      </c>
      <c r="DY19" s="29" t="str">
        <f t="shared" si="76"/>
        <v/>
      </c>
      <c r="DZ19" s="29" t="str">
        <f t="shared" si="77"/>
        <v/>
      </c>
      <c r="EA19" s="29" t="str">
        <f t="shared" si="78"/>
        <v/>
      </c>
    </row>
    <row r="20" spans="5:131" ht="16.7" customHeight="1" x14ac:dyDescent="0.25">
      <c r="E20" s="111"/>
      <c r="F20" s="114"/>
      <c r="G20" s="16">
        <v>5</v>
      </c>
      <c r="H20" s="11">
        <f>TKB_LOP_SC!C15</f>
        <v>0</v>
      </c>
      <c r="I20" s="11">
        <f>TKB_LOP_SC!E15</f>
        <v>0</v>
      </c>
      <c r="J20" s="5">
        <f>TKB_LOP_SC!G15</f>
        <v>0</v>
      </c>
      <c r="K20" s="11">
        <f>TKB_LOP_SC!I15</f>
        <v>0</v>
      </c>
      <c r="L20" s="11">
        <f>TKB_LOP_SC!M15</f>
        <v>0</v>
      </c>
      <c r="M20" s="11">
        <f>TKB_LOP_SC!O15</f>
        <v>0</v>
      </c>
      <c r="N20" s="11">
        <f>TKB_LOP_SC!Q15</f>
        <v>0</v>
      </c>
      <c r="O20" s="11">
        <f>TKB_LOP_SC!S15</f>
        <v>0</v>
      </c>
      <c r="P20" s="5" t="str">
        <f>TKB_LOP_SC!W15</f>
        <v>GVNN - Tay, Chánh</v>
      </c>
      <c r="Q20" s="11" t="str">
        <f>TKB_LOP_SC!Y15</f>
        <v>Văn - Ánh NV</v>
      </c>
      <c r="R20" s="11" t="str">
        <f>TKB_LOP_SC!AA15</f>
        <v>Toán - Tân</v>
      </c>
      <c r="S20" s="11">
        <f>TKB_LOP_SC!AC15</f>
        <v>0</v>
      </c>
      <c r="T20" s="2">
        <f>TKB_LOP_SC!AE15</f>
        <v>0</v>
      </c>
      <c r="U20" s="2">
        <f>TKB_LOP_SC!AI15</f>
        <v>0</v>
      </c>
      <c r="V20" s="2">
        <f>TKB_LOP_SC!AK15</f>
        <v>0</v>
      </c>
      <c r="W20" s="2">
        <f>TKB_LOP_SC!AM15</f>
        <v>0</v>
      </c>
      <c r="X20" s="2">
        <f>TKB_LOP_SC!AO15</f>
        <v>0</v>
      </c>
      <c r="Y20" s="2">
        <f>TKB_LOP_SC!AQ15</f>
        <v>0</v>
      </c>
      <c r="Z20" s="111"/>
      <c r="AA20" s="114"/>
      <c r="AB20" s="16">
        <v>5</v>
      </c>
      <c r="AC20" s="11" t="str">
        <f t="shared" si="79"/>
        <v/>
      </c>
      <c r="AD20" s="11" t="str">
        <f t="shared" si="0"/>
        <v/>
      </c>
      <c r="AE20" s="11" t="str">
        <f t="shared" si="1"/>
        <v/>
      </c>
      <c r="AF20" s="11" t="str">
        <f t="shared" si="2"/>
        <v/>
      </c>
      <c r="AG20" s="11" t="str">
        <f t="shared" si="3"/>
        <v/>
      </c>
      <c r="AH20" s="11" t="str">
        <f t="shared" si="4"/>
        <v/>
      </c>
      <c r="AI20" s="11" t="str">
        <f t="shared" si="5"/>
        <v/>
      </c>
      <c r="AJ20" s="11" t="str">
        <f t="shared" si="6"/>
        <v/>
      </c>
      <c r="AK20" s="11" t="str">
        <f t="shared" si="7"/>
        <v>Tay</v>
      </c>
      <c r="AL20" s="11" t="str">
        <f t="shared" si="8"/>
        <v/>
      </c>
      <c r="AM20" s="11" t="str">
        <f t="shared" si="9"/>
        <v/>
      </c>
      <c r="AN20" s="11" t="str">
        <f t="shared" si="10"/>
        <v/>
      </c>
      <c r="AO20" s="11" t="str">
        <f t="shared" si="11"/>
        <v/>
      </c>
      <c r="AP20" s="11" t="str">
        <f t="shared" si="11"/>
        <v/>
      </c>
      <c r="AQ20" s="11" t="str">
        <f t="shared" si="12"/>
        <v/>
      </c>
      <c r="AR20" s="11" t="str">
        <f t="shared" si="13"/>
        <v/>
      </c>
      <c r="AS20" s="11" t="str">
        <f t="shared" si="14"/>
        <v/>
      </c>
      <c r="AT20" s="11" t="str">
        <f t="shared" si="15"/>
        <v/>
      </c>
      <c r="AU20" s="111"/>
      <c r="AV20" s="114"/>
      <c r="AW20" s="16">
        <v>5</v>
      </c>
      <c r="AX20" s="29" t="str">
        <f t="shared" si="80"/>
        <v/>
      </c>
      <c r="AY20" s="29" t="str">
        <f t="shared" si="16"/>
        <v/>
      </c>
      <c r="AZ20" s="29" t="str">
        <f t="shared" si="17"/>
        <v/>
      </c>
      <c r="BA20" s="29" t="str">
        <f t="shared" si="18"/>
        <v/>
      </c>
      <c r="BB20" s="29" t="str">
        <f t="shared" si="19"/>
        <v/>
      </c>
      <c r="BC20" s="29" t="str">
        <f t="shared" si="20"/>
        <v/>
      </c>
      <c r="BD20" s="29" t="str">
        <f t="shared" si="21"/>
        <v/>
      </c>
      <c r="BE20" s="29" t="str">
        <f t="shared" si="22"/>
        <v/>
      </c>
      <c r="BF20" s="29" t="str">
        <f t="shared" si="23"/>
        <v>Tay, Chánh</v>
      </c>
      <c r="BG20" s="29" t="str">
        <f t="shared" si="24"/>
        <v>Ánh NV</v>
      </c>
      <c r="BH20" s="29" t="str">
        <f t="shared" si="25"/>
        <v>Tân</v>
      </c>
      <c r="BI20" s="29" t="str">
        <f t="shared" si="26"/>
        <v/>
      </c>
      <c r="BJ20" s="29" t="str">
        <f t="shared" si="27"/>
        <v/>
      </c>
      <c r="BK20" s="29" t="str">
        <f t="shared" si="28"/>
        <v/>
      </c>
      <c r="BL20" s="29" t="str">
        <f t="shared" si="29"/>
        <v/>
      </c>
      <c r="BM20" s="29" t="str">
        <f t="shared" si="30"/>
        <v/>
      </c>
      <c r="BN20" s="29" t="str">
        <f t="shared" si="31"/>
        <v/>
      </c>
      <c r="BO20" s="29" t="str">
        <f t="shared" si="32"/>
        <v/>
      </c>
      <c r="BP20" s="111"/>
      <c r="BQ20" s="114"/>
      <c r="BR20" s="16">
        <v>5</v>
      </c>
      <c r="BS20" s="29" t="str">
        <f t="shared" si="81"/>
        <v/>
      </c>
      <c r="BT20" s="29" t="str">
        <f t="shared" si="33"/>
        <v/>
      </c>
      <c r="BU20" s="29" t="str">
        <f t="shared" si="34"/>
        <v/>
      </c>
      <c r="BV20" s="29" t="str">
        <f t="shared" si="35"/>
        <v/>
      </c>
      <c r="BW20" s="29" t="str">
        <f t="shared" si="36"/>
        <v/>
      </c>
      <c r="BX20" s="29" t="str">
        <f t="shared" si="37"/>
        <v/>
      </c>
      <c r="BY20" s="29" t="str">
        <f t="shared" si="38"/>
        <v/>
      </c>
      <c r="BZ20" s="29" t="str">
        <f t="shared" si="39"/>
        <v/>
      </c>
      <c r="CA20" s="29" t="str">
        <f t="shared" si="40"/>
        <v>Chánh</v>
      </c>
      <c r="CB20" s="29" t="str">
        <f t="shared" si="41"/>
        <v>Ánh NV</v>
      </c>
      <c r="CC20" s="29" t="str">
        <f t="shared" si="42"/>
        <v>Tân</v>
      </c>
      <c r="CD20" s="29" t="str">
        <f t="shared" si="43"/>
        <v/>
      </c>
      <c r="CE20" s="29" t="str">
        <f t="shared" si="44"/>
        <v/>
      </c>
      <c r="CG20" s="111"/>
      <c r="CH20" s="114"/>
      <c r="CI20" s="16">
        <v>5</v>
      </c>
      <c r="CJ20" s="29" t="str">
        <f t="shared" si="82"/>
        <v/>
      </c>
      <c r="CK20" s="29" t="str">
        <f t="shared" si="45"/>
        <v/>
      </c>
      <c r="CL20" s="29" t="str">
        <f t="shared" si="46"/>
        <v/>
      </c>
      <c r="CM20" s="29" t="str">
        <f t="shared" si="47"/>
        <v/>
      </c>
      <c r="CN20" s="29" t="str">
        <f t="shared" si="48"/>
        <v/>
      </c>
      <c r="CO20" s="29" t="str">
        <f t="shared" si="49"/>
        <v/>
      </c>
      <c r="CP20" s="29" t="str">
        <f t="shared" si="50"/>
        <v/>
      </c>
      <c r="CQ20" s="29" t="str">
        <f t="shared" si="51"/>
        <v/>
      </c>
      <c r="CR20" s="29">
        <f t="shared" si="52"/>
        <v>1</v>
      </c>
      <c r="CS20" s="29">
        <f t="shared" si="53"/>
        <v>1</v>
      </c>
      <c r="CT20" s="29">
        <f t="shared" si="54"/>
        <v>1</v>
      </c>
      <c r="CU20" s="29" t="str">
        <f t="shared" si="55"/>
        <v/>
      </c>
      <c r="CV20" s="29" t="str">
        <f t="shared" si="56"/>
        <v/>
      </c>
      <c r="CW20" s="29" t="str">
        <f t="shared" si="57"/>
        <v/>
      </c>
      <c r="CX20" s="29" t="str">
        <f t="shared" si="58"/>
        <v/>
      </c>
      <c r="CY20" s="29" t="str">
        <f t="shared" si="59"/>
        <v/>
      </c>
      <c r="CZ20" s="29">
        <f t="shared" si="60"/>
        <v>0</v>
      </c>
      <c r="DA20" s="29" t="str">
        <f t="shared" si="61"/>
        <v/>
      </c>
      <c r="DG20" s="111"/>
      <c r="DH20" s="114"/>
      <c r="DI20" s="16">
        <v>5</v>
      </c>
      <c r="DJ20" s="29" t="str">
        <f t="shared" si="83"/>
        <v/>
      </c>
      <c r="DK20" s="29" t="str">
        <f t="shared" si="62"/>
        <v/>
      </c>
      <c r="DL20" s="29" t="str">
        <f t="shared" si="63"/>
        <v/>
      </c>
      <c r="DM20" s="29" t="str">
        <f t="shared" si="64"/>
        <v/>
      </c>
      <c r="DN20" s="29" t="str">
        <f t="shared" si="65"/>
        <v/>
      </c>
      <c r="DO20" s="29" t="str">
        <f t="shared" si="66"/>
        <v/>
      </c>
      <c r="DP20" s="29" t="str">
        <f t="shared" si="67"/>
        <v/>
      </c>
      <c r="DQ20" s="29" t="str">
        <f t="shared" si="68"/>
        <v/>
      </c>
      <c r="DR20" s="29">
        <f t="shared" si="69"/>
        <v>1</v>
      </c>
      <c r="DS20" s="29" t="str">
        <f t="shared" si="70"/>
        <v/>
      </c>
      <c r="DT20" s="29" t="str">
        <f t="shared" si="71"/>
        <v/>
      </c>
      <c r="DU20" s="29" t="str">
        <f t="shared" si="72"/>
        <v/>
      </c>
      <c r="DV20" s="29" t="str">
        <f t="shared" si="73"/>
        <v/>
      </c>
      <c r="DW20" s="29" t="str">
        <f t="shared" si="74"/>
        <v/>
      </c>
      <c r="DX20" s="29" t="str">
        <f t="shared" si="75"/>
        <v/>
      </c>
      <c r="DY20" s="29" t="str">
        <f t="shared" si="76"/>
        <v/>
      </c>
      <c r="DZ20" s="29" t="str">
        <f t="shared" si="77"/>
        <v/>
      </c>
      <c r="EA20" s="29" t="str">
        <f t="shared" si="78"/>
        <v/>
      </c>
    </row>
    <row r="21" spans="5:131" ht="16.7" customHeight="1" x14ac:dyDescent="0.25">
      <c r="E21" s="22"/>
      <c r="F21" s="112" t="s">
        <v>4</v>
      </c>
      <c r="G21" s="10">
        <v>1</v>
      </c>
      <c r="H21" s="5" t="str">
        <f>TKB_LOP_SC!D11</f>
        <v>TNXH - Ngọc Ánh</v>
      </c>
      <c r="I21" s="5" t="str">
        <f>TKB_LOP_SC!F11</f>
        <v>GVVN - Huyền</v>
      </c>
      <c r="J21" s="5" t="str">
        <f>TKB_LOP_SC!H11</f>
        <v>Tin - Nguyên</v>
      </c>
      <c r="K21" s="5" t="str">
        <f>TKB_LOP_SC!J11</f>
        <v>TNXH - Xuân</v>
      </c>
      <c r="L21" s="5" t="str">
        <f>TKB_LOP_SC!N11</f>
        <v>GVVN - Trà</v>
      </c>
      <c r="M21" s="5" t="str">
        <f>TKB_LOP_SC!P11</f>
        <v>Toán - Chi</v>
      </c>
      <c r="N21" s="5" t="str">
        <f>TKB_LOP_SC!R11</f>
        <v>GVVN - Quỳnh</v>
      </c>
      <c r="O21" s="5" t="str">
        <f>TKB_LOP_SC!T11</f>
        <v>TViệt - Ngọc</v>
      </c>
      <c r="P21" s="5" t="str">
        <f>TKB_LOP_SC!X11</f>
        <v>Toán - Tân</v>
      </c>
      <c r="Q21" s="5" t="str">
        <f>TKB_LOP_SC!Z11</f>
        <v>GVNN - Tay, Chánh</v>
      </c>
      <c r="R21" s="31" t="str">
        <f>TKB_LOP_SC!AB11</f>
        <v>KHTN - Nhung</v>
      </c>
      <c r="S21" s="31" t="str">
        <f>TKB_LOP_SC!AD11</f>
        <v>HĐ tự chọn - Hiền</v>
      </c>
      <c r="T21" s="29" t="str">
        <f>TKB_LOP_SC!AF11</f>
        <v>HĐ tự chọn - MN1</v>
      </c>
      <c r="U21" s="29" t="str">
        <f>TKB_LOP_SC!AJ11</f>
        <v>HĐ tự chọn - MN2</v>
      </c>
      <c r="V21" s="29">
        <f>TKB_LOP_SC!AL11</f>
        <v>0</v>
      </c>
      <c r="W21" s="29">
        <f>TKB_LOP_SC!AN11</f>
        <v>0</v>
      </c>
      <c r="X21" s="29">
        <f>TKB_LOP_SC!AP11</f>
        <v>0</v>
      </c>
      <c r="Y21" s="29">
        <f>TKB_LOP_SC!AR11</f>
        <v>0</v>
      </c>
      <c r="Z21" s="22"/>
      <c r="AA21" s="112" t="s">
        <v>4</v>
      </c>
      <c r="AB21" s="10">
        <v>1</v>
      </c>
      <c r="AC21" s="11" t="str">
        <f t="shared" si="79"/>
        <v/>
      </c>
      <c r="AD21" s="11" t="str">
        <f t="shared" si="0"/>
        <v/>
      </c>
      <c r="AE21" s="11" t="str">
        <f t="shared" si="1"/>
        <v/>
      </c>
      <c r="AF21" s="11" t="str">
        <f t="shared" si="2"/>
        <v/>
      </c>
      <c r="AG21" s="11" t="str">
        <f t="shared" si="3"/>
        <v/>
      </c>
      <c r="AH21" s="11" t="str">
        <f t="shared" si="4"/>
        <v/>
      </c>
      <c r="AI21" s="11" t="str">
        <f t="shared" si="5"/>
        <v/>
      </c>
      <c r="AJ21" s="11" t="str">
        <f t="shared" si="6"/>
        <v/>
      </c>
      <c r="AK21" s="11" t="str">
        <f t="shared" si="7"/>
        <v/>
      </c>
      <c r="AL21" s="11" t="str">
        <f t="shared" si="8"/>
        <v>Tay</v>
      </c>
      <c r="AM21" s="11" t="str">
        <f t="shared" si="9"/>
        <v/>
      </c>
      <c r="AN21" s="11" t="str">
        <f t="shared" si="10"/>
        <v/>
      </c>
      <c r="AO21" s="11" t="str">
        <f t="shared" si="11"/>
        <v/>
      </c>
      <c r="AP21" s="11" t="str">
        <f t="shared" si="11"/>
        <v/>
      </c>
      <c r="AQ21" s="11" t="str">
        <f t="shared" si="12"/>
        <v/>
      </c>
      <c r="AR21" s="11" t="str">
        <f t="shared" si="13"/>
        <v/>
      </c>
      <c r="AS21" s="11" t="str">
        <f t="shared" si="14"/>
        <v/>
      </c>
      <c r="AT21" s="11" t="str">
        <f t="shared" si="15"/>
        <v/>
      </c>
      <c r="AU21" s="55"/>
      <c r="AV21" s="112" t="s">
        <v>4</v>
      </c>
      <c r="AW21" s="10">
        <v>1</v>
      </c>
      <c r="AX21" s="29" t="str">
        <f t="shared" si="80"/>
        <v>Ngọc Ánh</v>
      </c>
      <c r="AY21" s="29" t="str">
        <f t="shared" si="16"/>
        <v>Huyền</v>
      </c>
      <c r="AZ21" s="29" t="str">
        <f t="shared" si="17"/>
        <v>Nguyên</v>
      </c>
      <c r="BA21" s="29" t="str">
        <f t="shared" si="18"/>
        <v>Xuân</v>
      </c>
      <c r="BB21" s="29" t="str">
        <f t="shared" si="19"/>
        <v>Trà</v>
      </c>
      <c r="BC21" s="29" t="str">
        <f t="shared" si="20"/>
        <v>Chi</v>
      </c>
      <c r="BD21" s="29" t="str">
        <f t="shared" si="21"/>
        <v>Quỳnh</v>
      </c>
      <c r="BE21" s="29" t="str">
        <f t="shared" si="22"/>
        <v>Ngọc</v>
      </c>
      <c r="BF21" s="29" t="str">
        <f t="shared" si="23"/>
        <v>Tân</v>
      </c>
      <c r="BG21" s="29" t="str">
        <f t="shared" si="24"/>
        <v>Tay, Chánh</v>
      </c>
      <c r="BH21" s="29" t="str">
        <f t="shared" si="25"/>
        <v>Nhung</v>
      </c>
      <c r="BI21" s="29" t="str">
        <f t="shared" si="26"/>
        <v>Hiền</v>
      </c>
      <c r="BJ21" s="29" t="str">
        <f t="shared" si="27"/>
        <v>MN1</v>
      </c>
      <c r="BK21" s="29" t="str">
        <f t="shared" si="28"/>
        <v>MN2</v>
      </c>
      <c r="BL21" s="29" t="str">
        <f t="shared" si="29"/>
        <v/>
      </c>
      <c r="BM21" s="29" t="str">
        <f t="shared" si="30"/>
        <v/>
      </c>
      <c r="BN21" s="29" t="str">
        <f t="shared" si="31"/>
        <v/>
      </c>
      <c r="BO21" s="29" t="str">
        <f t="shared" si="32"/>
        <v/>
      </c>
      <c r="BP21" s="55"/>
      <c r="BQ21" s="112" t="s">
        <v>4</v>
      </c>
      <c r="BR21" s="10">
        <v>1</v>
      </c>
      <c r="BS21" s="29" t="str">
        <f t="shared" si="81"/>
        <v>Ngọc Ánh</v>
      </c>
      <c r="BT21" s="29" t="str">
        <f t="shared" si="33"/>
        <v>Huyền</v>
      </c>
      <c r="BU21" s="29" t="str">
        <f t="shared" si="34"/>
        <v>Nguyên</v>
      </c>
      <c r="BV21" s="29" t="str">
        <f t="shared" si="35"/>
        <v>Xuân</v>
      </c>
      <c r="BW21" s="29" t="str">
        <f t="shared" si="36"/>
        <v>Trà</v>
      </c>
      <c r="BX21" s="29" t="str">
        <f t="shared" si="37"/>
        <v>Chi</v>
      </c>
      <c r="BY21" s="29" t="str">
        <f t="shared" si="38"/>
        <v>Quỳnh</v>
      </c>
      <c r="BZ21" s="29" t="str">
        <f t="shared" si="39"/>
        <v>Ngọc</v>
      </c>
      <c r="CA21" s="29" t="str">
        <f t="shared" si="40"/>
        <v>Tân</v>
      </c>
      <c r="CB21" s="29" t="str">
        <f t="shared" si="41"/>
        <v>Chánh</v>
      </c>
      <c r="CC21" s="29" t="str">
        <f t="shared" si="42"/>
        <v>Nhung</v>
      </c>
      <c r="CD21" s="29" t="str">
        <f t="shared" si="43"/>
        <v>Hiền</v>
      </c>
      <c r="CE21" s="29" t="str">
        <f t="shared" si="44"/>
        <v>MN1</v>
      </c>
      <c r="CG21" s="55"/>
      <c r="CH21" s="112" t="s">
        <v>4</v>
      </c>
      <c r="CI21" s="10">
        <v>1</v>
      </c>
      <c r="CJ21" s="29">
        <f t="shared" si="82"/>
        <v>1</v>
      </c>
      <c r="CK21" s="29">
        <f t="shared" si="45"/>
        <v>1</v>
      </c>
      <c r="CL21" s="29">
        <f t="shared" si="46"/>
        <v>1</v>
      </c>
      <c r="CM21" s="29">
        <f t="shared" si="47"/>
        <v>1</v>
      </c>
      <c r="CN21" s="29">
        <f t="shared" si="48"/>
        <v>1</v>
      </c>
      <c r="CO21" s="29">
        <f t="shared" si="49"/>
        <v>1</v>
      </c>
      <c r="CP21" s="29">
        <f t="shared" si="50"/>
        <v>1</v>
      </c>
      <c r="CQ21" s="29">
        <f t="shared" si="51"/>
        <v>1</v>
      </c>
      <c r="CR21" s="29">
        <f t="shared" si="52"/>
        <v>1</v>
      </c>
      <c r="CS21" s="29">
        <f t="shared" si="53"/>
        <v>1</v>
      </c>
      <c r="CT21" s="29">
        <f t="shared" si="54"/>
        <v>1</v>
      </c>
      <c r="CU21" s="29">
        <f t="shared" si="55"/>
        <v>1</v>
      </c>
      <c r="CV21" s="29">
        <f t="shared" si="56"/>
        <v>1</v>
      </c>
      <c r="CW21" s="29" t="str">
        <f t="shared" si="57"/>
        <v/>
      </c>
      <c r="CX21" s="29" t="str">
        <f t="shared" si="58"/>
        <v/>
      </c>
      <c r="CY21" s="29">
        <f t="shared" si="59"/>
        <v>0</v>
      </c>
      <c r="CZ21" s="29">
        <f t="shared" si="60"/>
        <v>0</v>
      </c>
      <c r="DA21" s="29">
        <f t="shared" si="61"/>
        <v>0</v>
      </c>
      <c r="DG21" s="66"/>
      <c r="DH21" s="112" t="s">
        <v>4</v>
      </c>
      <c r="DI21" s="10">
        <v>1</v>
      </c>
      <c r="DJ21" s="29" t="str">
        <f t="shared" si="83"/>
        <v/>
      </c>
      <c r="DK21" s="29" t="str">
        <f t="shared" si="62"/>
        <v/>
      </c>
      <c r="DL21" s="29" t="str">
        <f t="shared" si="63"/>
        <v/>
      </c>
      <c r="DM21" s="29" t="str">
        <f t="shared" si="64"/>
        <v/>
      </c>
      <c r="DN21" s="29" t="str">
        <f t="shared" si="65"/>
        <v/>
      </c>
      <c r="DO21" s="29" t="str">
        <f t="shared" si="66"/>
        <v/>
      </c>
      <c r="DP21" s="29" t="str">
        <f t="shared" si="67"/>
        <v/>
      </c>
      <c r="DQ21" s="29" t="str">
        <f t="shared" si="68"/>
        <v/>
      </c>
      <c r="DR21" s="29" t="str">
        <f t="shared" si="69"/>
        <v/>
      </c>
      <c r="DS21" s="29">
        <f t="shared" si="70"/>
        <v>1</v>
      </c>
      <c r="DT21" s="29" t="str">
        <f t="shared" si="71"/>
        <v/>
      </c>
      <c r="DU21" s="29" t="str">
        <f t="shared" si="72"/>
        <v/>
      </c>
      <c r="DV21" s="29" t="str">
        <f t="shared" si="73"/>
        <v/>
      </c>
      <c r="DW21" s="29" t="str">
        <f t="shared" si="74"/>
        <v/>
      </c>
      <c r="DX21" s="29" t="str">
        <f t="shared" si="75"/>
        <v/>
      </c>
      <c r="DY21" s="29" t="str">
        <f t="shared" si="76"/>
        <v/>
      </c>
      <c r="DZ21" s="29" t="str">
        <f t="shared" si="77"/>
        <v/>
      </c>
      <c r="EA21" s="29" t="str">
        <f t="shared" si="78"/>
        <v/>
      </c>
    </row>
    <row r="22" spans="5:131" ht="16.7" customHeight="1" x14ac:dyDescent="0.25">
      <c r="E22" s="22"/>
      <c r="F22" s="113"/>
      <c r="G22" s="15">
        <v>2</v>
      </c>
      <c r="H22" s="5" t="str">
        <f>TKB_LOP_SC!D12</f>
        <v>Toán - Ngọc Ánh</v>
      </c>
      <c r="I22" s="5" t="str">
        <f>TKB_LOP_SC!F12</f>
        <v>Tin - Nguyên</v>
      </c>
      <c r="J22" s="5" t="str">
        <f>TKB_LOP_SC!H12</f>
        <v>GVVN - Trang</v>
      </c>
      <c r="K22" s="5" t="str">
        <f>TKB_LOP_SC!J12</f>
        <v>GVVN - Trà</v>
      </c>
      <c r="L22" s="5" t="str">
        <f>TKB_LOP_SC!N12</f>
        <v>Toán - Ngọc</v>
      </c>
      <c r="M22" s="5" t="str">
        <f>TKB_LOP_SC!P12</f>
        <v>TViệt - Ly</v>
      </c>
      <c r="N22" s="5" t="str">
        <f>TKB_LOP_SC!R12</f>
        <v>Toán - Phương Anh</v>
      </c>
      <c r="O22" s="5" t="str">
        <f>TKB_LOP_SC!T12</f>
        <v>GVVN - Bích</v>
      </c>
      <c r="P22" s="5" t="str">
        <f>TKB_LOP_SC!X12</f>
        <v>Văn - Hà</v>
      </c>
      <c r="Q22" s="5" t="str">
        <f>TKB_LOP_SC!Z12</f>
        <v>Toán - Tân</v>
      </c>
      <c r="R22" s="31" t="str">
        <f>TKB_LOP_SC!AB12</f>
        <v>KHTN - Nhung</v>
      </c>
      <c r="S22" s="31" t="str">
        <f>TKB_LOP_SC!AD12</f>
        <v>Tìm hiểu thiên nhiên - Hiền</v>
      </c>
      <c r="T22" s="29" t="str">
        <f>TKB_LOP_SC!AF12</f>
        <v>Tìm hiểu thiên nhiên - MN1</v>
      </c>
      <c r="U22" s="2" t="str">
        <f>TKB_LOP_SC!AJ12</f>
        <v>Tìm hiểu thiên nhiên - MN2</v>
      </c>
      <c r="V22" s="2">
        <f>TKB_LOP_SC!AL12</f>
        <v>0</v>
      </c>
      <c r="W22" s="2" t="str">
        <f>TKB_LOP_SC!AN12</f>
        <v>GVVN - Linh</v>
      </c>
      <c r="X22" s="2" t="str">
        <f>TKB_LOP_SC!AP12</f>
        <v>GVNN - Aziz, Dung</v>
      </c>
      <c r="Y22" s="2">
        <f>TKB_LOP_SC!AR12</f>
        <v>0</v>
      </c>
      <c r="Z22" s="22"/>
      <c r="AA22" s="113"/>
      <c r="AB22" s="15">
        <v>2</v>
      </c>
      <c r="AC22" s="11" t="str">
        <f t="shared" si="79"/>
        <v/>
      </c>
      <c r="AD22" s="11" t="str">
        <f t="shared" si="0"/>
        <v/>
      </c>
      <c r="AE22" s="11" t="str">
        <f t="shared" si="1"/>
        <v/>
      </c>
      <c r="AF22" s="11" t="str">
        <f t="shared" si="2"/>
        <v/>
      </c>
      <c r="AG22" s="11" t="str">
        <f t="shared" si="3"/>
        <v/>
      </c>
      <c r="AH22" s="11" t="str">
        <f t="shared" si="4"/>
        <v/>
      </c>
      <c r="AI22" s="11" t="str">
        <f t="shared" si="5"/>
        <v/>
      </c>
      <c r="AJ22" s="11" t="str">
        <f t="shared" si="6"/>
        <v/>
      </c>
      <c r="AK22" s="11" t="str">
        <f t="shared" si="7"/>
        <v/>
      </c>
      <c r="AL22" s="11" t="str">
        <f t="shared" si="8"/>
        <v/>
      </c>
      <c r="AM22" s="11" t="str">
        <f t="shared" si="9"/>
        <v/>
      </c>
      <c r="AN22" s="11" t="str">
        <f t="shared" si="10"/>
        <v/>
      </c>
      <c r="AO22" s="11" t="str">
        <f t="shared" si="11"/>
        <v/>
      </c>
      <c r="AP22" s="11" t="str">
        <f t="shared" si="11"/>
        <v/>
      </c>
      <c r="AQ22" s="11" t="str">
        <f t="shared" si="12"/>
        <v/>
      </c>
      <c r="AR22" s="11" t="str">
        <f t="shared" si="13"/>
        <v/>
      </c>
      <c r="AS22" s="11" t="str">
        <f t="shared" si="14"/>
        <v/>
      </c>
      <c r="AT22" s="11" t="str">
        <f t="shared" si="15"/>
        <v/>
      </c>
      <c r="AU22" s="55"/>
      <c r="AV22" s="113"/>
      <c r="AW22" s="15">
        <v>2</v>
      </c>
      <c r="AX22" s="29" t="str">
        <f t="shared" si="80"/>
        <v>Ngọc Ánh</v>
      </c>
      <c r="AY22" s="29" t="str">
        <f t="shared" si="16"/>
        <v>Nguyên</v>
      </c>
      <c r="AZ22" s="29" t="str">
        <f t="shared" si="17"/>
        <v>Trang</v>
      </c>
      <c r="BA22" s="29" t="str">
        <f t="shared" si="18"/>
        <v>Trà</v>
      </c>
      <c r="BB22" s="29" t="str">
        <f t="shared" si="19"/>
        <v>Ngọc</v>
      </c>
      <c r="BC22" s="29" t="str">
        <f t="shared" si="20"/>
        <v>Ly</v>
      </c>
      <c r="BD22" s="29" t="str">
        <f t="shared" si="21"/>
        <v>Phương Anh</v>
      </c>
      <c r="BE22" s="29" t="str">
        <f t="shared" si="22"/>
        <v>Bích</v>
      </c>
      <c r="BF22" s="29" t="str">
        <f t="shared" si="23"/>
        <v>Hà</v>
      </c>
      <c r="BG22" s="29" t="str">
        <f t="shared" si="24"/>
        <v>Tân</v>
      </c>
      <c r="BH22" s="29" t="str">
        <f t="shared" si="25"/>
        <v>Nhung</v>
      </c>
      <c r="BI22" s="29" t="str">
        <f t="shared" si="26"/>
        <v>Hiền</v>
      </c>
      <c r="BJ22" s="29" t="str">
        <f t="shared" si="27"/>
        <v>MN1</v>
      </c>
      <c r="BK22" s="29" t="str">
        <f t="shared" si="28"/>
        <v>MN2</v>
      </c>
      <c r="BL22" s="29" t="str">
        <f t="shared" si="29"/>
        <v/>
      </c>
      <c r="BM22" s="29" t="str">
        <f t="shared" si="30"/>
        <v>Linh</v>
      </c>
      <c r="BN22" s="29" t="str">
        <f t="shared" si="31"/>
        <v>Aziz, Dung</v>
      </c>
      <c r="BO22" s="29" t="str">
        <f t="shared" si="32"/>
        <v/>
      </c>
      <c r="BP22" s="55"/>
      <c r="BQ22" s="113"/>
      <c r="BR22" s="15">
        <v>2</v>
      </c>
      <c r="BS22" s="29" t="str">
        <f t="shared" si="81"/>
        <v>Ngọc Ánh</v>
      </c>
      <c r="BT22" s="29" t="str">
        <f t="shared" si="33"/>
        <v>Nguyên</v>
      </c>
      <c r="BU22" s="29" t="str">
        <f t="shared" si="34"/>
        <v>Trang</v>
      </c>
      <c r="BV22" s="29" t="str">
        <f t="shared" si="35"/>
        <v>Trà</v>
      </c>
      <c r="BW22" s="29" t="str">
        <f t="shared" si="36"/>
        <v>Ngọc</v>
      </c>
      <c r="BX22" s="29" t="str">
        <f t="shared" si="37"/>
        <v>Ly</v>
      </c>
      <c r="BY22" s="29" t="str">
        <f t="shared" si="38"/>
        <v>Phương Anh</v>
      </c>
      <c r="BZ22" s="29" t="str">
        <f t="shared" si="39"/>
        <v>Bích</v>
      </c>
      <c r="CA22" s="29" t="str">
        <f t="shared" si="40"/>
        <v>Hà</v>
      </c>
      <c r="CB22" s="29" t="str">
        <f t="shared" si="41"/>
        <v>Tân</v>
      </c>
      <c r="CC22" s="29" t="str">
        <f t="shared" si="42"/>
        <v>Nhung</v>
      </c>
      <c r="CD22" s="29" t="str">
        <f t="shared" si="43"/>
        <v>Hiền</v>
      </c>
      <c r="CE22" s="29" t="str">
        <f t="shared" si="44"/>
        <v>MN1</v>
      </c>
      <c r="CG22" s="55"/>
      <c r="CH22" s="113"/>
      <c r="CI22" s="15">
        <v>2</v>
      </c>
      <c r="CJ22" s="29">
        <f t="shared" si="82"/>
        <v>1</v>
      </c>
      <c r="CK22" s="29">
        <f t="shared" si="45"/>
        <v>1</v>
      </c>
      <c r="CL22" s="29">
        <f t="shared" si="46"/>
        <v>1</v>
      </c>
      <c r="CM22" s="29">
        <f t="shared" si="47"/>
        <v>1</v>
      </c>
      <c r="CN22" s="29">
        <f t="shared" si="48"/>
        <v>1</v>
      </c>
      <c r="CO22" s="29">
        <f t="shared" si="49"/>
        <v>1</v>
      </c>
      <c r="CP22" s="29">
        <f t="shared" si="50"/>
        <v>1</v>
      </c>
      <c r="CQ22" s="29">
        <f t="shared" si="51"/>
        <v>1</v>
      </c>
      <c r="CR22" s="29">
        <f t="shared" si="52"/>
        <v>1</v>
      </c>
      <c r="CS22" s="29">
        <f t="shared" si="53"/>
        <v>1</v>
      </c>
      <c r="CT22" s="29">
        <f t="shared" si="54"/>
        <v>1</v>
      </c>
      <c r="CU22" s="29">
        <f t="shared" si="55"/>
        <v>1</v>
      </c>
      <c r="CV22" s="29">
        <f t="shared" si="56"/>
        <v>1</v>
      </c>
      <c r="CW22" s="29" t="str">
        <f t="shared" si="57"/>
        <v/>
      </c>
      <c r="CX22" s="29" t="str">
        <f t="shared" si="58"/>
        <v/>
      </c>
      <c r="CY22" s="29" t="str">
        <f t="shared" si="59"/>
        <v/>
      </c>
      <c r="CZ22" s="29">
        <f t="shared" si="60"/>
        <v>0</v>
      </c>
      <c r="DA22" s="29">
        <f t="shared" si="61"/>
        <v>0</v>
      </c>
      <c r="DG22" s="66"/>
      <c r="DH22" s="113"/>
      <c r="DI22" s="15">
        <v>2</v>
      </c>
      <c r="DJ22" s="29" t="str">
        <f t="shared" si="83"/>
        <v/>
      </c>
      <c r="DK22" s="29" t="str">
        <f t="shared" si="62"/>
        <v/>
      </c>
      <c r="DL22" s="29" t="str">
        <f t="shared" si="63"/>
        <v/>
      </c>
      <c r="DM22" s="29" t="str">
        <f t="shared" si="64"/>
        <v/>
      </c>
      <c r="DN22" s="29" t="str">
        <f t="shared" si="65"/>
        <v/>
      </c>
      <c r="DO22" s="29" t="str">
        <f t="shared" si="66"/>
        <v/>
      </c>
      <c r="DP22" s="29" t="str">
        <f t="shared" si="67"/>
        <v/>
      </c>
      <c r="DQ22" s="29" t="str">
        <f t="shared" si="68"/>
        <v/>
      </c>
      <c r="DR22" s="29" t="str">
        <f t="shared" si="69"/>
        <v/>
      </c>
      <c r="DS22" s="29" t="str">
        <f t="shared" si="70"/>
        <v/>
      </c>
      <c r="DT22" s="29" t="str">
        <f t="shared" si="71"/>
        <v/>
      </c>
      <c r="DU22" s="29" t="str">
        <f t="shared" si="72"/>
        <v/>
      </c>
      <c r="DV22" s="29" t="str">
        <f t="shared" si="73"/>
        <v/>
      </c>
      <c r="DW22" s="29" t="str">
        <f t="shared" si="74"/>
        <v/>
      </c>
      <c r="DX22" s="29" t="str">
        <f t="shared" si="75"/>
        <v/>
      </c>
      <c r="DY22" s="29" t="str">
        <f t="shared" si="76"/>
        <v/>
      </c>
      <c r="DZ22" s="29" t="str">
        <f t="shared" si="77"/>
        <v/>
      </c>
      <c r="EA22" s="29" t="str">
        <f t="shared" si="78"/>
        <v/>
      </c>
    </row>
    <row r="23" spans="5:131" ht="16.7" customHeight="1" x14ac:dyDescent="0.25">
      <c r="E23" s="22"/>
      <c r="F23" s="113"/>
      <c r="G23" s="15">
        <v>3</v>
      </c>
      <c r="H23" s="5" t="str">
        <f>TKB_LOP_SC!D13</f>
        <v>KCST - Ngọc Ánh</v>
      </c>
      <c r="I23" s="5" t="str">
        <f>TKB_LOP_SC!F13</f>
        <v>GDTC - Hồng</v>
      </c>
      <c r="J23" s="5" t="str">
        <f>TKB_LOP_SC!H13</f>
        <v>Toán - Linh TH</v>
      </c>
      <c r="K23" s="5" t="str">
        <f>TKB_LOP_SC!J13</f>
        <v>Toán - Chi</v>
      </c>
      <c r="L23" s="5" t="str">
        <f>TKB_LOP_SC!N13</f>
        <v>Toán - Ngọc</v>
      </c>
      <c r="M23" s="5" t="str">
        <f>TKB_LOP_SC!P13</f>
        <v>TViệt - Ly</v>
      </c>
      <c r="N23" s="5" t="str">
        <f>TKB_LOP_SC!R13</f>
        <v>Science - Quỳnh</v>
      </c>
      <c r="O23" s="5" t="str">
        <f>TKB_LOP_SC!T13</f>
        <v>Science - Bích</v>
      </c>
      <c r="P23" s="5" t="str">
        <f>TKB_LOP_SC!X13</f>
        <v>Đọc sách - Hà</v>
      </c>
      <c r="Q23" s="5" t="str">
        <f>TKB_LOP_SC!Z13</f>
        <v>Tin - Nguyên</v>
      </c>
      <c r="R23" s="31" t="str">
        <f>TKB_LOP_SC!AB13</f>
        <v>Văn - Ánh NV</v>
      </c>
      <c r="S23" s="31" t="str">
        <f>TKB_LOP_SC!AD13</f>
        <v>TViệt - Hiền</v>
      </c>
      <c r="T23" s="29" t="str">
        <f>TKB_LOP_SC!AF13</f>
        <v>GVVN - Trang</v>
      </c>
      <c r="U23" s="2" t="str">
        <f>TKB_LOP_SC!AJ13</f>
        <v>GVVN - Trang</v>
      </c>
      <c r="V23" s="2" t="str">
        <f>TKB_LOP_SC!AL13</f>
        <v>GVNN - Aziz, Quỳnh</v>
      </c>
      <c r="W23" s="2">
        <f>TKB_LOP_SC!AN13</f>
        <v>0</v>
      </c>
      <c r="X23" s="2">
        <f>TKB_LOP_SC!AP13</f>
        <v>0</v>
      </c>
      <c r="Y23" s="2" t="e">
        <f>TKB_LOP_SC!#REF!</f>
        <v>#REF!</v>
      </c>
      <c r="Z23" s="22"/>
      <c r="AA23" s="113"/>
      <c r="AB23" s="15">
        <v>3</v>
      </c>
      <c r="AC23" s="11" t="str">
        <f t="shared" si="79"/>
        <v/>
      </c>
      <c r="AD23" s="11" t="str">
        <f t="shared" si="0"/>
        <v/>
      </c>
      <c r="AE23" s="11" t="str">
        <f t="shared" si="1"/>
        <v/>
      </c>
      <c r="AF23" s="11" t="str">
        <f t="shared" si="2"/>
        <v/>
      </c>
      <c r="AG23" s="11" t="str">
        <f t="shared" si="3"/>
        <v/>
      </c>
      <c r="AH23" s="11" t="str">
        <f t="shared" si="4"/>
        <v/>
      </c>
      <c r="AI23" s="11" t="str">
        <f t="shared" si="5"/>
        <v/>
      </c>
      <c r="AJ23" s="11" t="str">
        <f t="shared" si="6"/>
        <v/>
      </c>
      <c r="AK23" s="11" t="str">
        <f t="shared" si="7"/>
        <v/>
      </c>
      <c r="AL23" s="11" t="str">
        <f t="shared" si="8"/>
        <v/>
      </c>
      <c r="AM23" s="11" t="str">
        <f t="shared" si="9"/>
        <v/>
      </c>
      <c r="AN23" s="11" t="str">
        <f t="shared" si="10"/>
        <v/>
      </c>
      <c r="AO23" s="11" t="str">
        <f t="shared" si="11"/>
        <v/>
      </c>
      <c r="AP23" s="11" t="str">
        <f t="shared" si="11"/>
        <v/>
      </c>
      <c r="AQ23" s="11" t="str">
        <f t="shared" si="12"/>
        <v/>
      </c>
      <c r="AR23" s="11" t="str">
        <f t="shared" si="13"/>
        <v/>
      </c>
      <c r="AS23" s="11" t="str">
        <f t="shared" si="14"/>
        <v/>
      </c>
      <c r="AT23" s="11" t="str">
        <f t="shared" si="15"/>
        <v/>
      </c>
      <c r="AU23" s="55"/>
      <c r="AV23" s="113"/>
      <c r="AW23" s="15">
        <v>3</v>
      </c>
      <c r="AX23" s="29" t="str">
        <f t="shared" si="80"/>
        <v>Ngọc Ánh</v>
      </c>
      <c r="AY23" s="29" t="str">
        <f t="shared" si="16"/>
        <v>Hồng</v>
      </c>
      <c r="AZ23" s="29" t="str">
        <f t="shared" si="17"/>
        <v>Linh TH</v>
      </c>
      <c r="BA23" s="29" t="str">
        <f t="shared" si="18"/>
        <v>Chi</v>
      </c>
      <c r="BB23" s="29" t="str">
        <f t="shared" si="19"/>
        <v>Ngọc</v>
      </c>
      <c r="BC23" s="29" t="str">
        <f t="shared" si="20"/>
        <v>Ly</v>
      </c>
      <c r="BD23" s="29" t="str">
        <f t="shared" si="21"/>
        <v>Quỳnh</v>
      </c>
      <c r="BE23" s="29" t="str">
        <f t="shared" si="22"/>
        <v>Bích</v>
      </c>
      <c r="BF23" s="29" t="str">
        <f t="shared" si="23"/>
        <v>Hà</v>
      </c>
      <c r="BG23" s="29" t="str">
        <f t="shared" si="24"/>
        <v>Nguyên</v>
      </c>
      <c r="BH23" s="29" t="str">
        <f t="shared" si="25"/>
        <v>Ánh NV</v>
      </c>
      <c r="BI23" s="29" t="str">
        <f t="shared" si="26"/>
        <v>Hiền</v>
      </c>
      <c r="BJ23" s="29" t="str">
        <f t="shared" si="27"/>
        <v>Trang</v>
      </c>
      <c r="BK23" s="29" t="str">
        <f t="shared" si="28"/>
        <v>Trang</v>
      </c>
      <c r="BL23" s="29" t="str">
        <f t="shared" si="29"/>
        <v>Aziz, Quỳnh</v>
      </c>
      <c r="BM23" s="29" t="str">
        <f t="shared" si="30"/>
        <v/>
      </c>
      <c r="BN23" s="29" t="str">
        <f t="shared" si="31"/>
        <v/>
      </c>
      <c r="BO23" s="29" t="str">
        <f t="shared" si="32"/>
        <v/>
      </c>
      <c r="BP23" s="55"/>
      <c r="BQ23" s="113"/>
      <c r="BR23" s="15">
        <v>3</v>
      </c>
      <c r="BS23" s="29" t="str">
        <f t="shared" si="81"/>
        <v>Ngọc Ánh</v>
      </c>
      <c r="BT23" s="29" t="str">
        <f t="shared" si="33"/>
        <v>Hồng</v>
      </c>
      <c r="BU23" s="29" t="str">
        <f t="shared" si="34"/>
        <v>Linh TH</v>
      </c>
      <c r="BV23" s="29" t="str">
        <f t="shared" si="35"/>
        <v>Chi</v>
      </c>
      <c r="BW23" s="29" t="str">
        <f t="shared" si="36"/>
        <v>Ngọc</v>
      </c>
      <c r="BX23" s="29" t="str">
        <f t="shared" si="37"/>
        <v>Ly</v>
      </c>
      <c r="BY23" s="29" t="str">
        <f t="shared" si="38"/>
        <v>Quỳnh</v>
      </c>
      <c r="BZ23" s="29" t="str">
        <f t="shared" si="39"/>
        <v>Bích</v>
      </c>
      <c r="CA23" s="29" t="str">
        <f t="shared" si="40"/>
        <v>Hà</v>
      </c>
      <c r="CB23" s="29" t="str">
        <f t="shared" si="41"/>
        <v>Nguyên</v>
      </c>
      <c r="CC23" s="29" t="str">
        <f t="shared" si="42"/>
        <v>Ánh NV</v>
      </c>
      <c r="CD23" s="29" t="str">
        <f t="shared" si="43"/>
        <v>Hiền</v>
      </c>
      <c r="CE23" s="29" t="str">
        <f t="shared" si="44"/>
        <v>Trang</v>
      </c>
      <c r="CG23" s="55"/>
      <c r="CH23" s="113"/>
      <c r="CI23" s="15">
        <v>3</v>
      </c>
      <c r="CJ23" s="29">
        <f t="shared" si="82"/>
        <v>1</v>
      </c>
      <c r="CK23" s="29">
        <f t="shared" si="45"/>
        <v>1</v>
      </c>
      <c r="CL23" s="29">
        <f t="shared" si="46"/>
        <v>1</v>
      </c>
      <c r="CM23" s="29">
        <f t="shared" si="47"/>
        <v>1</v>
      </c>
      <c r="CN23" s="29">
        <f t="shared" si="48"/>
        <v>1</v>
      </c>
      <c r="CO23" s="29">
        <f t="shared" si="49"/>
        <v>1</v>
      </c>
      <c r="CP23" s="29">
        <f t="shared" si="50"/>
        <v>1</v>
      </c>
      <c r="CQ23" s="29">
        <f t="shared" si="51"/>
        <v>1</v>
      </c>
      <c r="CR23" s="29">
        <f t="shared" si="52"/>
        <v>1</v>
      </c>
      <c r="CS23" s="29">
        <f t="shared" si="53"/>
        <v>1</v>
      </c>
      <c r="CT23" s="29">
        <f t="shared" si="54"/>
        <v>1</v>
      </c>
      <c r="CU23" s="29">
        <f t="shared" si="55"/>
        <v>1</v>
      </c>
      <c r="CV23" s="29">
        <f t="shared" si="56"/>
        <v>1</v>
      </c>
      <c r="CW23" s="29" t="str">
        <f t="shared" si="57"/>
        <v/>
      </c>
      <c r="CX23" s="29" t="str">
        <f t="shared" si="58"/>
        <v/>
      </c>
      <c r="CY23" s="29" t="str">
        <f t="shared" si="59"/>
        <v/>
      </c>
      <c r="CZ23" s="29">
        <f t="shared" si="60"/>
        <v>0</v>
      </c>
      <c r="DA23" s="29">
        <f t="shared" si="61"/>
        <v>0</v>
      </c>
      <c r="DG23" s="66"/>
      <c r="DH23" s="113"/>
      <c r="DI23" s="15">
        <v>3</v>
      </c>
      <c r="DJ23" s="29" t="str">
        <f t="shared" si="83"/>
        <v/>
      </c>
      <c r="DK23" s="29" t="str">
        <f t="shared" si="62"/>
        <v/>
      </c>
      <c r="DL23" s="29" t="str">
        <f t="shared" si="63"/>
        <v/>
      </c>
      <c r="DM23" s="29" t="str">
        <f t="shared" si="64"/>
        <v/>
      </c>
      <c r="DN23" s="29" t="str">
        <f t="shared" si="65"/>
        <v/>
      </c>
      <c r="DO23" s="29" t="str">
        <f t="shared" si="66"/>
        <v/>
      </c>
      <c r="DP23" s="29" t="str">
        <f t="shared" si="67"/>
        <v/>
      </c>
      <c r="DQ23" s="29" t="str">
        <f t="shared" si="68"/>
        <v/>
      </c>
      <c r="DR23" s="29" t="str">
        <f t="shared" si="69"/>
        <v/>
      </c>
      <c r="DS23" s="29" t="str">
        <f t="shared" si="70"/>
        <v/>
      </c>
      <c r="DT23" s="29" t="str">
        <f t="shared" si="71"/>
        <v/>
      </c>
      <c r="DU23" s="29" t="str">
        <f t="shared" si="72"/>
        <v/>
      </c>
      <c r="DV23" s="29" t="str">
        <f t="shared" si="73"/>
        <v/>
      </c>
      <c r="DW23" s="29" t="str">
        <f t="shared" si="74"/>
        <v/>
      </c>
      <c r="DX23" s="29" t="str">
        <f t="shared" si="75"/>
        <v/>
      </c>
      <c r="DY23" s="29" t="str">
        <f t="shared" si="76"/>
        <v/>
      </c>
      <c r="DZ23" s="29" t="str">
        <f t="shared" si="77"/>
        <v/>
      </c>
      <c r="EA23" s="29" t="str">
        <f t="shared" si="78"/>
        <v/>
      </c>
    </row>
    <row r="24" spans="5:131" ht="16.7" customHeight="1" x14ac:dyDescent="0.25">
      <c r="E24" s="22"/>
      <c r="F24" s="113"/>
      <c r="G24" s="15">
        <v>4</v>
      </c>
      <c r="H24" s="5" t="str">
        <f>TKB_LOP_SC!D14</f>
        <v>GVVN - Trang</v>
      </c>
      <c r="I24" s="5" t="str">
        <f>TKB_LOP_SC!F14</f>
        <v>GDTC - Hồng</v>
      </c>
      <c r="J24" s="5" t="str">
        <f>TKB_LOP_SC!H14</f>
        <v>Toán - Linh TH</v>
      </c>
      <c r="K24" s="5" t="str">
        <f>TKB_LOP_SC!J14</f>
        <v>TViệt - Xuân</v>
      </c>
      <c r="L24" s="5" t="str">
        <f>TKB_LOP_SC!N14</f>
        <v>GVVN - Trà</v>
      </c>
      <c r="M24" s="5" t="str">
        <f>TKB_LOP_SC!P14</f>
        <v>GVVN - Bích</v>
      </c>
      <c r="N24" s="5" t="str">
        <f>TKB_LOP_SC!R14</f>
        <v>TViệt - Ly</v>
      </c>
      <c r="O24" s="5" t="str">
        <f>TKB_LOP_SC!T14</f>
        <v>Toán - Chi</v>
      </c>
      <c r="P24" s="5" t="str">
        <f>TKB_LOP_SC!X14</f>
        <v>Toán - Tân</v>
      </c>
      <c r="Q24" s="5" t="str">
        <f>TKB_LOP_SC!Z14</f>
        <v>Robotics - Nguyên</v>
      </c>
      <c r="R24" s="31" t="str">
        <f>TKB_LOP_SC!AB14</f>
        <v>Văn - Ánh NV</v>
      </c>
      <c r="S24" s="31" t="str">
        <f>TKB_LOP_SC!AD14</f>
        <v>GVVN - Huyền</v>
      </c>
      <c r="T24" s="29" t="str">
        <f>TKB_LOP_SC!AF14</f>
        <v>TViệt - MN1</v>
      </c>
      <c r="U24" s="2" t="str">
        <f>TKB_LOP_SC!AJ14</f>
        <v>TViệt - MN2</v>
      </c>
      <c r="V24" s="2">
        <f>TKB_LOP_SC!AL14</f>
        <v>0</v>
      </c>
      <c r="W24" s="2" t="str">
        <f>TKB_LOP_SC!AN14</f>
        <v>GVNN - Aziz, Ngân</v>
      </c>
      <c r="X24" s="2">
        <f>TKB_LOP_SC!AP14</f>
        <v>0</v>
      </c>
      <c r="Y24" s="2" t="str">
        <f>TKB_LOP_SC!AQ19</f>
        <v>GVVN - Linh</v>
      </c>
      <c r="Z24" s="22"/>
      <c r="AA24" s="113"/>
      <c r="AB24" s="15">
        <v>4</v>
      </c>
      <c r="AC24" s="11" t="str">
        <f t="shared" si="79"/>
        <v/>
      </c>
      <c r="AD24" s="11" t="str">
        <f t="shared" si="0"/>
        <v/>
      </c>
      <c r="AE24" s="11" t="str">
        <f t="shared" si="1"/>
        <v/>
      </c>
      <c r="AF24" s="11" t="str">
        <f t="shared" si="2"/>
        <v/>
      </c>
      <c r="AG24" s="11" t="str">
        <f t="shared" si="3"/>
        <v/>
      </c>
      <c r="AH24" s="11" t="str">
        <f t="shared" si="4"/>
        <v/>
      </c>
      <c r="AI24" s="11" t="str">
        <f t="shared" si="5"/>
        <v/>
      </c>
      <c r="AJ24" s="11" t="str">
        <f t="shared" si="6"/>
        <v/>
      </c>
      <c r="AK24" s="11" t="str">
        <f t="shared" si="7"/>
        <v/>
      </c>
      <c r="AL24" s="11" t="str">
        <f t="shared" si="8"/>
        <v/>
      </c>
      <c r="AM24" s="11" t="str">
        <f t="shared" si="9"/>
        <v/>
      </c>
      <c r="AN24" s="11" t="str">
        <f t="shared" si="10"/>
        <v/>
      </c>
      <c r="AO24" s="11" t="str">
        <f t="shared" si="11"/>
        <v/>
      </c>
      <c r="AP24" s="11" t="str">
        <f t="shared" si="11"/>
        <v/>
      </c>
      <c r="AQ24" s="11" t="str">
        <f t="shared" si="12"/>
        <v/>
      </c>
      <c r="AR24" s="11" t="str">
        <f t="shared" si="13"/>
        <v/>
      </c>
      <c r="AS24" s="11" t="str">
        <f t="shared" si="14"/>
        <v/>
      </c>
      <c r="AT24" s="11" t="str">
        <f t="shared" si="15"/>
        <v/>
      </c>
      <c r="AU24" s="55"/>
      <c r="AV24" s="113"/>
      <c r="AW24" s="15">
        <v>4</v>
      </c>
      <c r="AX24" s="29" t="str">
        <f t="shared" si="80"/>
        <v>Trang</v>
      </c>
      <c r="AY24" s="29" t="str">
        <f t="shared" si="16"/>
        <v>Hồng</v>
      </c>
      <c r="AZ24" s="29" t="str">
        <f t="shared" si="17"/>
        <v>Linh TH</v>
      </c>
      <c r="BA24" s="29" t="str">
        <f t="shared" si="18"/>
        <v>Xuân</v>
      </c>
      <c r="BB24" s="29" t="str">
        <f t="shared" si="19"/>
        <v>Trà</v>
      </c>
      <c r="BC24" s="29" t="str">
        <f t="shared" si="20"/>
        <v>Bích</v>
      </c>
      <c r="BD24" s="29" t="str">
        <f t="shared" si="21"/>
        <v>Ly</v>
      </c>
      <c r="BE24" s="29" t="str">
        <f t="shared" si="22"/>
        <v>Chi</v>
      </c>
      <c r="BF24" s="29" t="str">
        <f t="shared" si="23"/>
        <v>Tân</v>
      </c>
      <c r="BG24" s="29" t="str">
        <f t="shared" si="24"/>
        <v>Nguyên</v>
      </c>
      <c r="BH24" s="29" t="str">
        <f t="shared" si="25"/>
        <v>Ánh NV</v>
      </c>
      <c r="BI24" s="29" t="str">
        <f t="shared" si="26"/>
        <v>Huyền</v>
      </c>
      <c r="BJ24" s="29" t="str">
        <f t="shared" si="27"/>
        <v>MN1</v>
      </c>
      <c r="BK24" s="29" t="str">
        <f t="shared" si="28"/>
        <v>MN2</v>
      </c>
      <c r="BL24" s="29" t="str">
        <f t="shared" si="29"/>
        <v/>
      </c>
      <c r="BM24" s="29" t="str">
        <f t="shared" si="30"/>
        <v>Aziz, Ngân</v>
      </c>
      <c r="BN24" s="29" t="str">
        <f t="shared" si="31"/>
        <v/>
      </c>
      <c r="BO24" s="29" t="str">
        <f t="shared" si="32"/>
        <v>Linh</v>
      </c>
      <c r="BP24" s="55"/>
      <c r="BQ24" s="113"/>
      <c r="BR24" s="15">
        <v>4</v>
      </c>
      <c r="BS24" s="29" t="str">
        <f t="shared" si="81"/>
        <v>Trang</v>
      </c>
      <c r="BT24" s="29" t="str">
        <f t="shared" si="33"/>
        <v>Hồng</v>
      </c>
      <c r="BU24" s="29" t="str">
        <f t="shared" si="34"/>
        <v>Linh TH</v>
      </c>
      <c r="BV24" s="29" t="str">
        <f t="shared" si="35"/>
        <v>Xuân</v>
      </c>
      <c r="BW24" s="29" t="str">
        <f t="shared" si="36"/>
        <v>Trà</v>
      </c>
      <c r="BX24" s="29" t="str">
        <f t="shared" si="37"/>
        <v>Bích</v>
      </c>
      <c r="BY24" s="29" t="str">
        <f t="shared" si="38"/>
        <v>Ly</v>
      </c>
      <c r="BZ24" s="29" t="str">
        <f t="shared" si="39"/>
        <v>Chi</v>
      </c>
      <c r="CA24" s="29" t="str">
        <f t="shared" si="40"/>
        <v>Tân</v>
      </c>
      <c r="CB24" s="29" t="str">
        <f t="shared" si="41"/>
        <v>Nguyên</v>
      </c>
      <c r="CC24" s="29" t="str">
        <f t="shared" si="42"/>
        <v>Ánh NV</v>
      </c>
      <c r="CD24" s="29" t="str">
        <f t="shared" si="43"/>
        <v>Huyền</v>
      </c>
      <c r="CE24" s="29" t="str">
        <f t="shared" si="44"/>
        <v>MN1</v>
      </c>
      <c r="CG24" s="55"/>
      <c r="CH24" s="113"/>
      <c r="CI24" s="15">
        <v>4</v>
      </c>
      <c r="CJ24" s="29">
        <f t="shared" si="82"/>
        <v>1</v>
      </c>
      <c r="CK24" s="29">
        <f t="shared" si="45"/>
        <v>1</v>
      </c>
      <c r="CL24" s="29">
        <f t="shared" si="46"/>
        <v>1</v>
      </c>
      <c r="CM24" s="29">
        <f t="shared" si="47"/>
        <v>1</v>
      </c>
      <c r="CN24" s="29">
        <f t="shared" si="48"/>
        <v>1</v>
      </c>
      <c r="CO24" s="29">
        <f t="shared" si="49"/>
        <v>1</v>
      </c>
      <c r="CP24" s="29">
        <f t="shared" si="50"/>
        <v>1</v>
      </c>
      <c r="CQ24" s="29">
        <f t="shared" si="51"/>
        <v>1</v>
      </c>
      <c r="CR24" s="29">
        <f t="shared" si="52"/>
        <v>1</v>
      </c>
      <c r="CS24" s="29">
        <f t="shared" si="53"/>
        <v>1</v>
      </c>
      <c r="CT24" s="29">
        <f t="shared" si="54"/>
        <v>1</v>
      </c>
      <c r="CU24" s="29">
        <f t="shared" si="55"/>
        <v>1</v>
      </c>
      <c r="CV24" s="29">
        <f t="shared" si="56"/>
        <v>1</v>
      </c>
      <c r="CW24" s="29" t="str">
        <f t="shared" si="57"/>
        <v/>
      </c>
      <c r="CX24" s="29" t="str">
        <f t="shared" si="58"/>
        <v/>
      </c>
      <c r="CY24" s="29" t="str">
        <f t="shared" si="59"/>
        <v/>
      </c>
      <c r="CZ24" s="29">
        <f t="shared" si="60"/>
        <v>0</v>
      </c>
      <c r="DA24" s="29">
        <f t="shared" si="61"/>
        <v>0</v>
      </c>
      <c r="DG24" s="66"/>
      <c r="DH24" s="113"/>
      <c r="DI24" s="15">
        <v>4</v>
      </c>
      <c r="DJ24" s="29" t="str">
        <f t="shared" si="83"/>
        <v/>
      </c>
      <c r="DK24" s="29" t="str">
        <f t="shared" si="62"/>
        <v/>
      </c>
      <c r="DL24" s="29" t="str">
        <f t="shared" si="63"/>
        <v/>
      </c>
      <c r="DM24" s="29" t="str">
        <f t="shared" si="64"/>
        <v/>
      </c>
      <c r="DN24" s="29" t="str">
        <f t="shared" si="65"/>
        <v/>
      </c>
      <c r="DO24" s="29" t="str">
        <f t="shared" si="66"/>
        <v/>
      </c>
      <c r="DP24" s="29" t="str">
        <f t="shared" si="67"/>
        <v/>
      </c>
      <c r="DQ24" s="29" t="str">
        <f t="shared" si="68"/>
        <v/>
      </c>
      <c r="DR24" s="29" t="str">
        <f t="shared" si="69"/>
        <v/>
      </c>
      <c r="DS24" s="29" t="str">
        <f t="shared" si="70"/>
        <v/>
      </c>
      <c r="DT24" s="29" t="str">
        <f t="shared" si="71"/>
        <v/>
      </c>
      <c r="DU24" s="29" t="str">
        <f t="shared" si="72"/>
        <v/>
      </c>
      <c r="DV24" s="29" t="str">
        <f t="shared" si="73"/>
        <v/>
      </c>
      <c r="DW24" s="29" t="str">
        <f t="shared" si="74"/>
        <v/>
      </c>
      <c r="DX24" s="29" t="str">
        <f t="shared" si="75"/>
        <v/>
      </c>
      <c r="DY24" s="29" t="str">
        <f t="shared" si="76"/>
        <v/>
      </c>
      <c r="DZ24" s="29" t="str">
        <f t="shared" si="77"/>
        <v/>
      </c>
      <c r="EA24" s="29" t="str">
        <f t="shared" si="78"/>
        <v/>
      </c>
    </row>
    <row r="25" spans="5:131" ht="16.7" customHeight="1" x14ac:dyDescent="0.25">
      <c r="E25" s="22"/>
      <c r="F25" s="114"/>
      <c r="G25" s="16">
        <v>5</v>
      </c>
      <c r="H25" s="5">
        <f>TKB_LOP_SC!D15</f>
        <v>0</v>
      </c>
      <c r="I25" s="5">
        <f>TKB_LOP_SC!F15</f>
        <v>0</v>
      </c>
      <c r="J25" s="5">
        <f>TKB_LOP_SC!H15</f>
        <v>0</v>
      </c>
      <c r="K25" s="5">
        <f>TKB_LOP_SC!J15</f>
        <v>0</v>
      </c>
      <c r="L25" s="5">
        <f>TKB_LOP_SC!N15</f>
        <v>0</v>
      </c>
      <c r="M25" s="5">
        <f>TKB_LOP_SC!P15</f>
        <v>0</v>
      </c>
      <c r="N25" s="5">
        <f>TKB_LOP_SC!R15</f>
        <v>0</v>
      </c>
      <c r="O25" s="5">
        <f>TKB_LOP_SC!T15</f>
        <v>0</v>
      </c>
      <c r="P25" s="5">
        <f>TKB_LOP_SC!X15</f>
        <v>0</v>
      </c>
      <c r="Q25" s="5">
        <f>TKB_LOP_SC!Z15</f>
        <v>0</v>
      </c>
      <c r="R25" s="31">
        <f>TKB_LOP_SC!AB15</f>
        <v>0</v>
      </c>
      <c r="S25" s="31">
        <f>TKB_LOP_SC!AD15</f>
        <v>0</v>
      </c>
      <c r="T25" s="29">
        <f>TKB_LOP_SC!AF15</f>
        <v>0</v>
      </c>
      <c r="U25" s="29">
        <f>TKB_LOP_SC!AJ15</f>
        <v>0</v>
      </c>
      <c r="V25" s="29">
        <f>TKB_LOP_SC!AL15</f>
        <v>0</v>
      </c>
      <c r="W25" s="29">
        <f>TKB_LOP_SC!AN15</f>
        <v>0</v>
      </c>
      <c r="X25" s="29">
        <f>TKB_LOP_SC!AP15</f>
        <v>0</v>
      </c>
      <c r="Y25" s="29">
        <f>TKB_LOP_SC!AR15</f>
        <v>0</v>
      </c>
      <c r="Z25" s="22"/>
      <c r="AA25" s="114"/>
      <c r="AB25" s="16">
        <v>5</v>
      </c>
      <c r="AC25" s="11" t="str">
        <f t="shared" si="79"/>
        <v/>
      </c>
      <c r="AD25" s="11" t="str">
        <f t="shared" si="0"/>
        <v/>
      </c>
      <c r="AE25" s="11" t="str">
        <f t="shared" si="1"/>
        <v/>
      </c>
      <c r="AF25" s="11" t="str">
        <f t="shared" si="2"/>
        <v/>
      </c>
      <c r="AG25" s="11" t="str">
        <f t="shared" si="3"/>
        <v/>
      </c>
      <c r="AH25" s="11" t="str">
        <f t="shared" si="4"/>
        <v/>
      </c>
      <c r="AI25" s="11" t="str">
        <f t="shared" si="5"/>
        <v/>
      </c>
      <c r="AJ25" s="11" t="str">
        <f t="shared" si="6"/>
        <v/>
      </c>
      <c r="AK25" s="11" t="str">
        <f t="shared" si="7"/>
        <v/>
      </c>
      <c r="AL25" s="11" t="str">
        <f t="shared" si="8"/>
        <v/>
      </c>
      <c r="AM25" s="11" t="str">
        <f t="shared" si="9"/>
        <v/>
      </c>
      <c r="AN25" s="11" t="str">
        <f t="shared" si="10"/>
        <v/>
      </c>
      <c r="AO25" s="11" t="str">
        <f t="shared" si="11"/>
        <v/>
      </c>
      <c r="AP25" s="11" t="str">
        <f t="shared" si="11"/>
        <v/>
      </c>
      <c r="AQ25" s="11" t="str">
        <f t="shared" si="12"/>
        <v/>
      </c>
      <c r="AR25" s="11" t="str">
        <f t="shared" si="13"/>
        <v/>
      </c>
      <c r="AS25" s="11" t="str">
        <f t="shared" si="14"/>
        <v/>
      </c>
      <c r="AT25" s="11" t="str">
        <f t="shared" si="15"/>
        <v/>
      </c>
      <c r="AU25" s="55"/>
      <c r="AV25" s="114"/>
      <c r="AW25" s="16">
        <v>5</v>
      </c>
      <c r="AX25" s="29" t="str">
        <f t="shared" si="80"/>
        <v/>
      </c>
      <c r="AY25" s="29" t="str">
        <f t="shared" si="16"/>
        <v/>
      </c>
      <c r="AZ25" s="29" t="str">
        <f t="shared" si="17"/>
        <v/>
      </c>
      <c r="BA25" s="29" t="str">
        <f t="shared" si="18"/>
        <v/>
      </c>
      <c r="BB25" s="29" t="str">
        <f t="shared" si="19"/>
        <v/>
      </c>
      <c r="BC25" s="29" t="str">
        <f t="shared" si="20"/>
        <v/>
      </c>
      <c r="BD25" s="29" t="str">
        <f t="shared" si="21"/>
        <v/>
      </c>
      <c r="BE25" s="29" t="str">
        <f t="shared" si="22"/>
        <v/>
      </c>
      <c r="BF25" s="29" t="str">
        <f t="shared" si="23"/>
        <v/>
      </c>
      <c r="BG25" s="29" t="str">
        <f t="shared" si="24"/>
        <v/>
      </c>
      <c r="BH25" s="29" t="str">
        <f t="shared" si="25"/>
        <v/>
      </c>
      <c r="BI25" s="29" t="str">
        <f t="shared" si="26"/>
        <v/>
      </c>
      <c r="BJ25" s="29" t="str">
        <f t="shared" si="27"/>
        <v/>
      </c>
      <c r="BK25" s="29" t="str">
        <f t="shared" si="28"/>
        <v/>
      </c>
      <c r="BL25" s="29" t="str">
        <f t="shared" si="29"/>
        <v/>
      </c>
      <c r="BM25" s="29" t="str">
        <f t="shared" si="30"/>
        <v/>
      </c>
      <c r="BN25" s="29" t="str">
        <f t="shared" si="31"/>
        <v/>
      </c>
      <c r="BO25" s="29" t="str">
        <f t="shared" si="32"/>
        <v/>
      </c>
      <c r="BP25" s="55"/>
      <c r="BQ25" s="114"/>
      <c r="BR25" s="16">
        <v>5</v>
      </c>
      <c r="BS25" s="29" t="str">
        <f t="shared" si="81"/>
        <v/>
      </c>
      <c r="BT25" s="29" t="str">
        <f t="shared" si="33"/>
        <v/>
      </c>
      <c r="BU25" s="29" t="str">
        <f t="shared" si="34"/>
        <v/>
      </c>
      <c r="BV25" s="29" t="str">
        <f t="shared" si="35"/>
        <v/>
      </c>
      <c r="BW25" s="29" t="str">
        <f t="shared" si="36"/>
        <v/>
      </c>
      <c r="BX25" s="29" t="str">
        <f t="shared" si="37"/>
        <v/>
      </c>
      <c r="BY25" s="29" t="str">
        <f t="shared" si="38"/>
        <v/>
      </c>
      <c r="BZ25" s="29" t="str">
        <f t="shared" si="39"/>
        <v/>
      </c>
      <c r="CA25" s="29" t="str">
        <f t="shared" si="40"/>
        <v/>
      </c>
      <c r="CB25" s="29" t="str">
        <f t="shared" si="41"/>
        <v/>
      </c>
      <c r="CC25" s="29" t="str">
        <f t="shared" si="42"/>
        <v/>
      </c>
      <c r="CD25" s="29" t="str">
        <f t="shared" si="43"/>
        <v/>
      </c>
      <c r="CE25" s="29" t="str">
        <f t="shared" si="44"/>
        <v/>
      </c>
      <c r="CG25" s="55"/>
      <c r="CH25" s="114"/>
      <c r="CI25" s="16">
        <v>5</v>
      </c>
      <c r="CJ25" s="29" t="str">
        <f t="shared" si="82"/>
        <v/>
      </c>
      <c r="CK25" s="29" t="str">
        <f t="shared" si="45"/>
        <v/>
      </c>
      <c r="CL25" s="29" t="str">
        <f t="shared" si="46"/>
        <v/>
      </c>
      <c r="CM25" s="29" t="str">
        <f t="shared" si="47"/>
        <v/>
      </c>
      <c r="CN25" s="29" t="str">
        <f t="shared" si="48"/>
        <v/>
      </c>
      <c r="CO25" s="29" t="str">
        <f t="shared" si="49"/>
        <v/>
      </c>
      <c r="CP25" s="29" t="str">
        <f t="shared" si="50"/>
        <v/>
      </c>
      <c r="CQ25" s="29" t="str">
        <f t="shared" si="51"/>
        <v/>
      </c>
      <c r="CR25" s="29" t="str">
        <f t="shared" si="52"/>
        <v/>
      </c>
      <c r="CS25" s="29" t="str">
        <f t="shared" si="53"/>
        <v/>
      </c>
      <c r="CT25" s="29" t="str">
        <f t="shared" si="54"/>
        <v/>
      </c>
      <c r="CU25" s="29" t="str">
        <f t="shared" si="55"/>
        <v/>
      </c>
      <c r="CV25" s="29" t="str">
        <f t="shared" si="56"/>
        <v/>
      </c>
      <c r="CW25" s="29" t="str">
        <f t="shared" si="57"/>
        <v/>
      </c>
      <c r="CX25" s="29" t="str">
        <f t="shared" si="58"/>
        <v/>
      </c>
      <c r="CY25" s="29" t="str">
        <f t="shared" si="59"/>
        <v/>
      </c>
      <c r="CZ25" s="29">
        <f t="shared" si="60"/>
        <v>0</v>
      </c>
      <c r="DA25" s="29" t="str">
        <f t="shared" si="61"/>
        <v/>
      </c>
      <c r="DG25" s="66"/>
      <c r="DH25" s="114"/>
      <c r="DI25" s="16">
        <v>5</v>
      </c>
      <c r="DJ25" s="29" t="str">
        <f t="shared" si="83"/>
        <v/>
      </c>
      <c r="DK25" s="29" t="str">
        <f t="shared" si="62"/>
        <v/>
      </c>
      <c r="DL25" s="29" t="str">
        <f t="shared" si="63"/>
        <v/>
      </c>
      <c r="DM25" s="29" t="str">
        <f t="shared" si="64"/>
        <v/>
      </c>
      <c r="DN25" s="29" t="str">
        <f t="shared" si="65"/>
        <v/>
      </c>
      <c r="DO25" s="29" t="str">
        <f t="shared" si="66"/>
        <v/>
      </c>
      <c r="DP25" s="29" t="str">
        <f t="shared" si="67"/>
        <v/>
      </c>
      <c r="DQ25" s="29" t="str">
        <f t="shared" si="68"/>
        <v/>
      </c>
      <c r="DR25" s="29" t="str">
        <f t="shared" si="69"/>
        <v/>
      </c>
      <c r="DS25" s="29" t="str">
        <f t="shared" si="70"/>
        <v/>
      </c>
      <c r="DT25" s="29" t="str">
        <f t="shared" si="71"/>
        <v/>
      </c>
      <c r="DU25" s="29" t="str">
        <f t="shared" si="72"/>
        <v/>
      </c>
      <c r="DV25" s="29" t="str">
        <f t="shared" si="73"/>
        <v/>
      </c>
      <c r="DW25" s="29" t="str">
        <f t="shared" si="74"/>
        <v/>
      </c>
      <c r="DX25" s="29" t="str">
        <f t="shared" si="75"/>
        <v/>
      </c>
      <c r="DY25" s="29" t="str">
        <f t="shared" si="76"/>
        <v/>
      </c>
      <c r="DZ25" s="29" t="str">
        <f t="shared" si="77"/>
        <v/>
      </c>
      <c r="EA25" s="29" t="str">
        <f t="shared" si="78"/>
        <v/>
      </c>
    </row>
    <row r="26" spans="5:131" ht="16.7" customHeight="1" x14ac:dyDescent="0.25">
      <c r="E26" s="109">
        <v>4</v>
      </c>
      <c r="F26" s="112" t="s">
        <v>3</v>
      </c>
      <c r="G26" s="10">
        <v>1</v>
      </c>
      <c r="H26" s="11" t="str">
        <f>TKB_LOP_SC!C16</f>
        <v>TViệt - Ngọc Ánh</v>
      </c>
      <c r="I26" s="11" t="str">
        <f>TKB_LOP_SC!E16</f>
        <v>GVVN - Huyền</v>
      </c>
      <c r="J26" s="5" t="str">
        <f>TKB_LOP_SC!G16</f>
        <v>GVNN - Aziz, Trang</v>
      </c>
      <c r="K26" s="11" t="str">
        <f>TKB_LOP_SC!I16</f>
        <v>GVNN - Tay, Trà</v>
      </c>
      <c r="L26" s="11" t="str">
        <f>TKB_LOP_SC!M16</f>
        <v>Toán - Ngọc</v>
      </c>
      <c r="M26" s="11" t="str">
        <f>TKB_LOP_SC!O16</f>
        <v>Toán - Chi</v>
      </c>
      <c r="N26" s="11" t="str">
        <f>TKB_LOP_SC!Q16</f>
        <v>TViệt - Ly</v>
      </c>
      <c r="O26" s="11" t="str">
        <f>TKB_LOP_SC!S16</f>
        <v>GVVN - Bích</v>
      </c>
      <c r="P26" s="5" t="str">
        <f>TKB_LOP_SC!W16</f>
        <v>Tiếng Trung - Châu</v>
      </c>
      <c r="Q26" s="11" t="str">
        <f>TKB_LOP_SC!Y16</f>
        <v>Văn - Ánh NV</v>
      </c>
      <c r="R26" s="11" t="str">
        <f>TKB_LOP_SC!AA16</f>
        <v>Toán - Tân</v>
      </c>
      <c r="S26" s="11" t="str">
        <f>TKB_LOP_SC!AC16</f>
        <v>Lối sống - Hiền</v>
      </c>
      <c r="T26" s="29" t="str">
        <f>TKB_LOP_SC!AE16</f>
        <v>Lối sống - MN1</v>
      </c>
      <c r="U26" s="29" t="str">
        <f>TKB_LOP_SC!AI16</f>
        <v>Mĩ thuật - Phương</v>
      </c>
      <c r="V26" s="29">
        <f>TKB_LOP_SC!AK16</f>
        <v>0</v>
      </c>
      <c r="W26" s="29">
        <f>TKB_LOP_SC!AM16</f>
        <v>0</v>
      </c>
      <c r="X26" s="29" t="str">
        <f>TKB_LOP_SC!AO16</f>
        <v>GVVN - Linh</v>
      </c>
      <c r="Y26" s="29">
        <f>TKB_LOP_SC!AQ16</f>
        <v>0</v>
      </c>
      <c r="Z26" s="109">
        <v>4</v>
      </c>
      <c r="AA26" s="112" t="s">
        <v>3</v>
      </c>
      <c r="AB26" s="10">
        <v>1</v>
      </c>
      <c r="AC26" s="11" t="str">
        <f t="shared" si="79"/>
        <v/>
      </c>
      <c r="AD26" s="11" t="str">
        <f t="shared" si="0"/>
        <v/>
      </c>
      <c r="AE26" s="11" t="str">
        <f t="shared" si="1"/>
        <v>Aziz</v>
      </c>
      <c r="AF26" s="11" t="str">
        <f t="shared" si="2"/>
        <v>Tay</v>
      </c>
      <c r="AG26" s="11" t="str">
        <f t="shared" si="3"/>
        <v/>
      </c>
      <c r="AH26" s="11" t="str">
        <f t="shared" si="4"/>
        <v/>
      </c>
      <c r="AI26" s="11" t="str">
        <f t="shared" si="5"/>
        <v/>
      </c>
      <c r="AJ26" s="11" t="str">
        <f t="shared" si="6"/>
        <v/>
      </c>
      <c r="AK26" s="11" t="str">
        <f t="shared" si="7"/>
        <v/>
      </c>
      <c r="AL26" s="11" t="str">
        <f t="shared" si="8"/>
        <v/>
      </c>
      <c r="AM26" s="11" t="str">
        <f t="shared" si="9"/>
        <v/>
      </c>
      <c r="AN26" s="11" t="str">
        <f t="shared" si="10"/>
        <v/>
      </c>
      <c r="AO26" s="11" t="str">
        <f t="shared" si="11"/>
        <v/>
      </c>
      <c r="AP26" s="11" t="str">
        <f t="shared" si="11"/>
        <v/>
      </c>
      <c r="AQ26" s="11" t="str">
        <f t="shared" si="12"/>
        <v/>
      </c>
      <c r="AR26" s="11" t="str">
        <f t="shared" si="13"/>
        <v/>
      </c>
      <c r="AS26" s="11" t="str">
        <f t="shared" si="14"/>
        <v/>
      </c>
      <c r="AT26" s="11" t="str">
        <f t="shared" si="15"/>
        <v/>
      </c>
      <c r="AU26" s="109">
        <v>4</v>
      </c>
      <c r="AV26" s="112" t="s">
        <v>3</v>
      </c>
      <c r="AW26" s="10">
        <v>1</v>
      </c>
      <c r="AX26" s="29" t="str">
        <f t="shared" si="80"/>
        <v>Ngọc Ánh</v>
      </c>
      <c r="AY26" s="29" t="str">
        <f t="shared" si="16"/>
        <v>Huyền</v>
      </c>
      <c r="AZ26" s="29" t="str">
        <f t="shared" si="17"/>
        <v>Aziz, Trang</v>
      </c>
      <c r="BA26" s="29" t="str">
        <f t="shared" si="18"/>
        <v>Tay, Trà</v>
      </c>
      <c r="BB26" s="29" t="str">
        <f t="shared" si="19"/>
        <v>Ngọc</v>
      </c>
      <c r="BC26" s="29" t="str">
        <f t="shared" si="20"/>
        <v>Chi</v>
      </c>
      <c r="BD26" s="29" t="str">
        <f t="shared" si="21"/>
        <v>Ly</v>
      </c>
      <c r="BE26" s="29" t="str">
        <f t="shared" si="22"/>
        <v>Bích</v>
      </c>
      <c r="BF26" s="29" t="str">
        <f t="shared" si="23"/>
        <v>Châu</v>
      </c>
      <c r="BG26" s="29" t="str">
        <f t="shared" si="24"/>
        <v>Ánh NV</v>
      </c>
      <c r="BH26" s="29" t="str">
        <f t="shared" si="25"/>
        <v>Tân</v>
      </c>
      <c r="BI26" s="29" t="str">
        <f t="shared" si="26"/>
        <v>Hiền</v>
      </c>
      <c r="BJ26" s="29" t="str">
        <f t="shared" si="27"/>
        <v>MN1</v>
      </c>
      <c r="BK26" s="29" t="str">
        <f t="shared" si="28"/>
        <v>Phương</v>
      </c>
      <c r="BL26" s="29" t="str">
        <f t="shared" si="29"/>
        <v/>
      </c>
      <c r="BM26" s="29" t="str">
        <f t="shared" si="30"/>
        <v/>
      </c>
      <c r="BN26" s="29" t="str">
        <f t="shared" si="31"/>
        <v>Linh</v>
      </c>
      <c r="BO26" s="29" t="str">
        <f t="shared" si="32"/>
        <v/>
      </c>
      <c r="BP26" s="109">
        <v>4</v>
      </c>
      <c r="BQ26" s="112" t="s">
        <v>3</v>
      </c>
      <c r="BR26" s="10">
        <v>1</v>
      </c>
      <c r="BS26" s="29" t="str">
        <f t="shared" si="81"/>
        <v>Ngọc Ánh</v>
      </c>
      <c r="BT26" s="29" t="str">
        <f t="shared" si="33"/>
        <v>Huyền</v>
      </c>
      <c r="BU26" s="29" t="str">
        <f t="shared" si="34"/>
        <v>Trang</v>
      </c>
      <c r="BV26" s="29" t="str">
        <f t="shared" si="35"/>
        <v>Trà</v>
      </c>
      <c r="BW26" s="29" t="str">
        <f t="shared" si="36"/>
        <v>Ngọc</v>
      </c>
      <c r="BX26" s="29" t="str">
        <f t="shared" si="37"/>
        <v>Chi</v>
      </c>
      <c r="BY26" s="29" t="str">
        <f t="shared" si="38"/>
        <v>Ly</v>
      </c>
      <c r="BZ26" s="29" t="str">
        <f t="shared" si="39"/>
        <v>Bích</v>
      </c>
      <c r="CA26" s="29" t="str">
        <f t="shared" si="40"/>
        <v>Châu</v>
      </c>
      <c r="CB26" s="29" t="str">
        <f t="shared" si="41"/>
        <v>Ánh NV</v>
      </c>
      <c r="CC26" s="29" t="str">
        <f t="shared" si="42"/>
        <v>Tân</v>
      </c>
      <c r="CD26" s="29" t="str">
        <f t="shared" si="43"/>
        <v>Hiền</v>
      </c>
      <c r="CE26" s="29" t="str">
        <f t="shared" si="44"/>
        <v>MN1</v>
      </c>
      <c r="CG26" s="109">
        <v>4</v>
      </c>
      <c r="CH26" s="112" t="s">
        <v>3</v>
      </c>
      <c r="CI26" s="10">
        <v>1</v>
      </c>
      <c r="CJ26" s="29">
        <f t="shared" si="82"/>
        <v>1</v>
      </c>
      <c r="CK26" s="29">
        <f t="shared" si="45"/>
        <v>1</v>
      </c>
      <c r="CL26" s="29">
        <f t="shared" si="46"/>
        <v>1</v>
      </c>
      <c r="CM26" s="29">
        <f t="shared" si="47"/>
        <v>1</v>
      </c>
      <c r="CN26" s="29">
        <f t="shared" si="48"/>
        <v>1</v>
      </c>
      <c r="CO26" s="29">
        <f t="shared" si="49"/>
        <v>1</v>
      </c>
      <c r="CP26" s="29">
        <f t="shared" si="50"/>
        <v>1</v>
      </c>
      <c r="CQ26" s="29">
        <f t="shared" si="51"/>
        <v>1</v>
      </c>
      <c r="CR26" s="29">
        <f t="shared" si="52"/>
        <v>1</v>
      </c>
      <c r="CS26" s="29">
        <f t="shared" si="53"/>
        <v>1</v>
      </c>
      <c r="CT26" s="29">
        <f t="shared" si="54"/>
        <v>1</v>
      </c>
      <c r="CU26" s="29">
        <f t="shared" si="55"/>
        <v>1</v>
      </c>
      <c r="CV26" s="29">
        <f t="shared" si="56"/>
        <v>1</v>
      </c>
      <c r="CW26" s="29" t="str">
        <f t="shared" si="57"/>
        <v/>
      </c>
      <c r="CX26" s="29">
        <f t="shared" si="58"/>
        <v>0</v>
      </c>
      <c r="CY26" s="29">
        <f t="shared" si="59"/>
        <v>0</v>
      </c>
      <c r="CZ26" s="29">
        <f t="shared" si="60"/>
        <v>0</v>
      </c>
      <c r="DA26" s="29">
        <f t="shared" si="61"/>
        <v>0</v>
      </c>
      <c r="DG26" s="109">
        <v>4</v>
      </c>
      <c r="DH26" s="112" t="s">
        <v>3</v>
      </c>
      <c r="DI26" s="10">
        <v>1</v>
      </c>
      <c r="DJ26" s="29" t="str">
        <f t="shared" si="83"/>
        <v/>
      </c>
      <c r="DK26" s="29" t="str">
        <f t="shared" si="62"/>
        <v/>
      </c>
      <c r="DL26" s="29">
        <f t="shared" si="63"/>
        <v>1</v>
      </c>
      <c r="DM26" s="29">
        <f t="shared" si="64"/>
        <v>1</v>
      </c>
      <c r="DN26" s="29" t="str">
        <f t="shared" si="65"/>
        <v/>
      </c>
      <c r="DO26" s="29" t="str">
        <f t="shared" si="66"/>
        <v/>
      </c>
      <c r="DP26" s="29" t="str">
        <f t="shared" si="67"/>
        <v/>
      </c>
      <c r="DQ26" s="29" t="str">
        <f t="shared" si="68"/>
        <v/>
      </c>
      <c r="DR26" s="29" t="str">
        <f t="shared" si="69"/>
        <v/>
      </c>
      <c r="DS26" s="29" t="str">
        <f t="shared" si="70"/>
        <v/>
      </c>
      <c r="DT26" s="29" t="str">
        <f t="shared" si="71"/>
        <v/>
      </c>
      <c r="DU26" s="29" t="str">
        <f t="shared" si="72"/>
        <v/>
      </c>
      <c r="DV26" s="29" t="str">
        <f t="shared" si="73"/>
        <v/>
      </c>
      <c r="DW26" s="29" t="str">
        <f t="shared" si="74"/>
        <v/>
      </c>
      <c r="DX26" s="29" t="str">
        <f t="shared" si="75"/>
        <v/>
      </c>
      <c r="DY26" s="29" t="str">
        <f t="shared" si="76"/>
        <v/>
      </c>
      <c r="DZ26" s="29" t="str">
        <f t="shared" si="77"/>
        <v/>
      </c>
      <c r="EA26" s="29" t="str">
        <f t="shared" si="78"/>
        <v/>
      </c>
    </row>
    <row r="27" spans="5:131" ht="16.7" customHeight="1" x14ac:dyDescent="0.25">
      <c r="E27" s="110"/>
      <c r="F27" s="113"/>
      <c r="G27" s="15">
        <v>2</v>
      </c>
      <c r="H27" s="11" t="str">
        <f>TKB_LOP_SC!C17</f>
        <v>TViệt - Ngọc Ánh</v>
      </c>
      <c r="I27" s="11" t="str">
        <f>TKB_LOP_SC!E17</f>
        <v>TViệt - Nhi</v>
      </c>
      <c r="J27" s="5" t="str">
        <f>TKB_LOP_SC!G17</f>
        <v>Viết sáng tạo - Xuân</v>
      </c>
      <c r="K27" s="11" t="str">
        <f>TKB_LOP_SC!I17</f>
        <v>Toán - Chi</v>
      </c>
      <c r="L27" s="11" t="str">
        <f>TKB_LOP_SC!M17</f>
        <v>Robotics - Nguyên</v>
      </c>
      <c r="M27" s="11" t="str">
        <f>TKB_LOP_SC!O17</f>
        <v>GVNN - Tay, Bích</v>
      </c>
      <c r="N27" s="11" t="str">
        <f>TKB_LOP_SC!Q17</f>
        <v>GVVN - Quỳnh</v>
      </c>
      <c r="O27" s="11" t="str">
        <f>TKB_LOP_SC!S17</f>
        <v>TViệt - Ly</v>
      </c>
      <c r="P27" s="5" t="str">
        <f>TKB_LOP_SC!W17</f>
        <v>GVVN - Chánh</v>
      </c>
      <c r="Q27" s="11" t="str">
        <f>TKB_LOP_SC!Y17</f>
        <v>Tiếng Trung - Châu</v>
      </c>
      <c r="R27" s="11" t="str">
        <f>TKB_LOP_SC!AA17</f>
        <v>Nhạc - Trang ÂN</v>
      </c>
      <c r="S27" s="11" t="str">
        <f>TKB_LOP_SC!AC17</f>
        <v>KCST - Hiền</v>
      </c>
      <c r="T27" s="29" t="str">
        <f>TKB_LOP_SC!AE17</f>
        <v>GVNN - Aziz, Huyền</v>
      </c>
      <c r="U27" s="2" t="str">
        <f>TKB_LOP_SC!AI17</f>
        <v>GVNN - Aziz, Huyền</v>
      </c>
      <c r="V27" s="2" t="str">
        <f>TKB_LOP_SC!AK17</f>
        <v>GVVN - Linh</v>
      </c>
      <c r="W27" s="2">
        <f>TKB_LOP_SC!AM17</f>
        <v>0</v>
      </c>
      <c r="X27" s="2">
        <f>TKB_LOP_SC!AO17</f>
        <v>0</v>
      </c>
      <c r="Y27" s="2">
        <f>TKB_LOP_SC!AQ17</f>
        <v>0</v>
      </c>
      <c r="Z27" s="110"/>
      <c r="AA27" s="113"/>
      <c r="AB27" s="15">
        <v>2</v>
      </c>
      <c r="AC27" s="11" t="str">
        <f t="shared" si="79"/>
        <v/>
      </c>
      <c r="AD27" s="11" t="str">
        <f t="shared" si="0"/>
        <v/>
      </c>
      <c r="AE27" s="11" t="str">
        <f t="shared" si="1"/>
        <v/>
      </c>
      <c r="AF27" s="11" t="str">
        <f t="shared" si="2"/>
        <v/>
      </c>
      <c r="AG27" s="11" t="str">
        <f t="shared" si="3"/>
        <v/>
      </c>
      <c r="AH27" s="11" t="str">
        <f t="shared" si="4"/>
        <v>Tay</v>
      </c>
      <c r="AI27" s="11" t="str">
        <f t="shared" si="5"/>
        <v/>
      </c>
      <c r="AJ27" s="11" t="str">
        <f t="shared" si="6"/>
        <v/>
      </c>
      <c r="AK27" s="11" t="str">
        <f t="shared" si="7"/>
        <v/>
      </c>
      <c r="AL27" s="11" t="str">
        <f t="shared" si="8"/>
        <v/>
      </c>
      <c r="AM27" s="11" t="str">
        <f t="shared" si="9"/>
        <v/>
      </c>
      <c r="AN27" s="11" t="str">
        <f t="shared" si="10"/>
        <v/>
      </c>
      <c r="AO27" s="11" t="str">
        <f t="shared" si="11"/>
        <v>Aziz</v>
      </c>
      <c r="AP27" s="11" t="str">
        <f t="shared" si="11"/>
        <v>Aziz</v>
      </c>
      <c r="AQ27" s="11" t="str">
        <f t="shared" si="12"/>
        <v/>
      </c>
      <c r="AR27" s="11" t="str">
        <f t="shared" si="13"/>
        <v/>
      </c>
      <c r="AS27" s="11" t="str">
        <f t="shared" si="14"/>
        <v/>
      </c>
      <c r="AT27" s="11" t="str">
        <f t="shared" si="15"/>
        <v/>
      </c>
      <c r="AU27" s="110"/>
      <c r="AV27" s="113"/>
      <c r="AW27" s="15">
        <v>2</v>
      </c>
      <c r="AX27" s="29" t="str">
        <f t="shared" si="80"/>
        <v>Ngọc Ánh</v>
      </c>
      <c r="AY27" s="29" t="str">
        <f t="shared" si="16"/>
        <v>Nhi</v>
      </c>
      <c r="AZ27" s="29" t="str">
        <f t="shared" si="17"/>
        <v>Xuân</v>
      </c>
      <c r="BA27" s="29" t="str">
        <f t="shared" si="18"/>
        <v>Chi</v>
      </c>
      <c r="BB27" s="29" t="str">
        <f t="shared" si="19"/>
        <v>Nguyên</v>
      </c>
      <c r="BC27" s="29" t="str">
        <f t="shared" si="20"/>
        <v>Tay, Bích</v>
      </c>
      <c r="BD27" s="29" t="str">
        <f t="shared" si="21"/>
        <v>Quỳnh</v>
      </c>
      <c r="BE27" s="29" t="str">
        <f t="shared" si="22"/>
        <v>Ly</v>
      </c>
      <c r="BF27" s="29" t="str">
        <f t="shared" si="23"/>
        <v>Chánh</v>
      </c>
      <c r="BG27" s="29" t="str">
        <f t="shared" si="24"/>
        <v>Châu</v>
      </c>
      <c r="BH27" s="29" t="str">
        <f t="shared" si="25"/>
        <v>Trang ÂN</v>
      </c>
      <c r="BI27" s="29" t="str">
        <f t="shared" si="26"/>
        <v>Hiền</v>
      </c>
      <c r="BJ27" s="29" t="str">
        <f t="shared" si="27"/>
        <v>Aziz, Huyền</v>
      </c>
      <c r="BK27" s="29" t="str">
        <f t="shared" si="28"/>
        <v>Aziz, Huyền</v>
      </c>
      <c r="BL27" s="29" t="str">
        <f t="shared" si="29"/>
        <v>Linh</v>
      </c>
      <c r="BM27" s="29" t="str">
        <f t="shared" si="30"/>
        <v/>
      </c>
      <c r="BN27" s="29" t="str">
        <f t="shared" si="31"/>
        <v/>
      </c>
      <c r="BO27" s="29" t="str">
        <f t="shared" si="32"/>
        <v/>
      </c>
      <c r="BP27" s="110"/>
      <c r="BQ27" s="113"/>
      <c r="BR27" s="15">
        <v>2</v>
      </c>
      <c r="BS27" s="29" t="str">
        <f t="shared" si="81"/>
        <v>Ngọc Ánh</v>
      </c>
      <c r="BT27" s="29" t="str">
        <f t="shared" si="33"/>
        <v>Nhi</v>
      </c>
      <c r="BU27" s="29" t="str">
        <f t="shared" si="34"/>
        <v>Xuân</v>
      </c>
      <c r="BV27" s="29" t="str">
        <f t="shared" si="35"/>
        <v>Chi</v>
      </c>
      <c r="BW27" s="29" t="str">
        <f t="shared" si="36"/>
        <v>Nguyên</v>
      </c>
      <c r="BX27" s="29" t="str">
        <f t="shared" si="37"/>
        <v>Bích</v>
      </c>
      <c r="BY27" s="29" t="str">
        <f t="shared" si="38"/>
        <v>Quỳnh</v>
      </c>
      <c r="BZ27" s="29" t="str">
        <f t="shared" si="39"/>
        <v>Ly</v>
      </c>
      <c r="CA27" s="29" t="str">
        <f t="shared" si="40"/>
        <v>Chánh</v>
      </c>
      <c r="CB27" s="29" t="str">
        <f t="shared" si="41"/>
        <v>Châu</v>
      </c>
      <c r="CC27" s="29" t="str">
        <f t="shared" si="42"/>
        <v>Trang ÂN</v>
      </c>
      <c r="CD27" s="29" t="str">
        <f t="shared" si="43"/>
        <v>Hiền</v>
      </c>
      <c r="CE27" s="29" t="str">
        <f t="shared" si="44"/>
        <v>Huyền</v>
      </c>
      <c r="CG27" s="110"/>
      <c r="CH27" s="113"/>
      <c r="CI27" s="15">
        <v>2</v>
      </c>
      <c r="CJ27" s="29">
        <f t="shared" si="82"/>
        <v>1</v>
      </c>
      <c r="CK27" s="29">
        <f t="shared" si="45"/>
        <v>1</v>
      </c>
      <c r="CL27" s="29">
        <f t="shared" si="46"/>
        <v>1</v>
      </c>
      <c r="CM27" s="29">
        <f t="shared" si="47"/>
        <v>1</v>
      </c>
      <c r="CN27" s="29">
        <f t="shared" si="48"/>
        <v>1</v>
      </c>
      <c r="CO27" s="29">
        <f t="shared" si="49"/>
        <v>1</v>
      </c>
      <c r="CP27" s="29">
        <f t="shared" si="50"/>
        <v>1</v>
      </c>
      <c r="CQ27" s="29">
        <f t="shared" si="51"/>
        <v>1</v>
      </c>
      <c r="CR27" s="29">
        <f t="shared" si="52"/>
        <v>1</v>
      </c>
      <c r="CS27" s="29">
        <f t="shared" si="53"/>
        <v>1</v>
      </c>
      <c r="CT27" s="29">
        <f t="shared" si="54"/>
        <v>1</v>
      </c>
      <c r="CU27" s="29">
        <f t="shared" si="55"/>
        <v>1</v>
      </c>
      <c r="CV27" s="29">
        <f t="shared" si="56"/>
        <v>1</v>
      </c>
      <c r="CW27" s="29" t="str">
        <f t="shared" si="57"/>
        <v/>
      </c>
      <c r="CX27" s="29" t="str">
        <f t="shared" si="58"/>
        <v/>
      </c>
      <c r="CY27" s="29" t="str">
        <f t="shared" si="59"/>
        <v/>
      </c>
      <c r="CZ27" s="29">
        <f t="shared" si="60"/>
        <v>0</v>
      </c>
      <c r="DA27" s="29">
        <f t="shared" si="61"/>
        <v>0</v>
      </c>
      <c r="DG27" s="110"/>
      <c r="DH27" s="113"/>
      <c r="DI27" s="15">
        <v>2</v>
      </c>
      <c r="DJ27" s="29" t="str">
        <f t="shared" si="83"/>
        <v/>
      </c>
      <c r="DK27" s="29" t="str">
        <f t="shared" si="62"/>
        <v/>
      </c>
      <c r="DL27" s="29" t="str">
        <f t="shared" si="63"/>
        <v/>
      </c>
      <c r="DM27" s="29" t="str">
        <f t="shared" si="64"/>
        <v/>
      </c>
      <c r="DN27" s="29" t="str">
        <f t="shared" si="65"/>
        <v/>
      </c>
      <c r="DO27" s="29">
        <f t="shared" si="66"/>
        <v>1</v>
      </c>
      <c r="DP27" s="29" t="str">
        <f t="shared" si="67"/>
        <v/>
      </c>
      <c r="DQ27" s="29" t="str">
        <f t="shared" si="68"/>
        <v/>
      </c>
      <c r="DR27" s="29" t="str">
        <f t="shared" si="69"/>
        <v/>
      </c>
      <c r="DS27" s="29" t="str">
        <f t="shared" si="70"/>
        <v/>
      </c>
      <c r="DT27" s="29" t="str">
        <f t="shared" si="71"/>
        <v/>
      </c>
      <c r="DU27" s="29" t="str">
        <f t="shared" si="72"/>
        <v/>
      </c>
      <c r="DV27" s="29">
        <f t="shared" si="73"/>
        <v>1</v>
      </c>
      <c r="DW27" s="29">
        <f t="shared" si="74"/>
        <v>1</v>
      </c>
      <c r="DX27" s="29" t="str">
        <f t="shared" si="75"/>
        <v/>
      </c>
      <c r="DY27" s="29" t="str">
        <f t="shared" si="76"/>
        <v/>
      </c>
      <c r="DZ27" s="29" t="str">
        <f t="shared" si="77"/>
        <v/>
      </c>
      <c r="EA27" s="29" t="str">
        <f t="shared" si="78"/>
        <v/>
      </c>
    </row>
    <row r="28" spans="5:131" ht="16.7" customHeight="1" x14ac:dyDescent="0.25">
      <c r="E28" s="110"/>
      <c r="F28" s="113"/>
      <c r="G28" s="15">
        <v>3</v>
      </c>
      <c r="H28" s="11" t="str">
        <f>TKB_LOP_SC!C18</f>
        <v>Toán - Ngọc Ánh</v>
      </c>
      <c r="I28" s="11" t="str">
        <f>TKB_LOP_SC!E18</f>
        <v>TViệt - Nhi</v>
      </c>
      <c r="J28" s="5" t="str">
        <f>TKB_LOP_SC!G18</f>
        <v>GDTC - Hồng</v>
      </c>
      <c r="K28" s="11" t="str">
        <f>TKB_LOP_SC!I18</f>
        <v>TViệt - Xuân</v>
      </c>
      <c r="L28" s="11" t="str">
        <f>TKB_LOP_SC!M18</f>
        <v>GVNN - Aziz, Trà</v>
      </c>
      <c r="M28" s="11" t="str">
        <f>TKB_LOP_SC!O18</f>
        <v>Science - Bích</v>
      </c>
      <c r="N28" s="11" t="str">
        <f>TKB_LOP_SC!Q18</f>
        <v>Mĩ thuật - Phương</v>
      </c>
      <c r="O28" s="11" t="str">
        <f>TKB_LOP_SC!S18</f>
        <v>Nhạc - Trang ÂN</v>
      </c>
      <c r="P28" s="5" t="str">
        <f>TKB_LOP_SC!W18</f>
        <v>Văn - Hà</v>
      </c>
      <c r="Q28" s="11" t="str">
        <f>TKB_LOP_SC!Y18</f>
        <v>GVVN - Chánh</v>
      </c>
      <c r="R28" s="11" t="str">
        <f>TKB_LOP_SC!AA18</f>
        <v>Tiếng Trung - Châu</v>
      </c>
      <c r="S28" s="11" t="str">
        <f>TKB_LOP_SC!AC18</f>
        <v>GVVN - Huyền</v>
      </c>
      <c r="T28" s="29" t="str">
        <f>TKB_LOP_SC!AE18</f>
        <v>GVVN - Trang</v>
      </c>
      <c r="U28" s="2" t="str">
        <f>TKB_LOP_SC!AI18</f>
        <v>GVVN - Trang</v>
      </c>
      <c r="V28" s="2">
        <f>TKB_LOP_SC!AK18</f>
        <v>0</v>
      </c>
      <c r="W28" s="2" t="str">
        <f>TKB_LOP_SC!AM18</f>
        <v>GVVN - Linh</v>
      </c>
      <c r="X28" s="2">
        <f>TKB_LOP_SC!AO18</f>
        <v>0</v>
      </c>
      <c r="Y28" s="2">
        <f>TKB_LOP_SC!AQ18</f>
        <v>0</v>
      </c>
      <c r="Z28" s="110"/>
      <c r="AA28" s="113"/>
      <c r="AB28" s="15">
        <v>3</v>
      </c>
      <c r="AC28" s="11" t="str">
        <f t="shared" si="79"/>
        <v/>
      </c>
      <c r="AD28" s="11" t="str">
        <f t="shared" si="0"/>
        <v/>
      </c>
      <c r="AE28" s="11" t="str">
        <f t="shared" si="1"/>
        <v/>
      </c>
      <c r="AF28" s="11" t="str">
        <f t="shared" si="2"/>
        <v/>
      </c>
      <c r="AG28" s="11" t="str">
        <f t="shared" si="3"/>
        <v>Aziz</v>
      </c>
      <c r="AH28" s="11" t="str">
        <f t="shared" si="4"/>
        <v/>
      </c>
      <c r="AI28" s="11" t="str">
        <f t="shared" si="5"/>
        <v/>
      </c>
      <c r="AJ28" s="11" t="str">
        <f t="shared" si="6"/>
        <v/>
      </c>
      <c r="AK28" s="11" t="str">
        <f t="shared" si="7"/>
        <v/>
      </c>
      <c r="AL28" s="11" t="str">
        <f t="shared" si="8"/>
        <v/>
      </c>
      <c r="AM28" s="11" t="str">
        <f t="shared" si="9"/>
        <v/>
      </c>
      <c r="AN28" s="11" t="str">
        <f t="shared" si="10"/>
        <v/>
      </c>
      <c r="AO28" s="11" t="str">
        <f t="shared" si="11"/>
        <v/>
      </c>
      <c r="AP28" s="11" t="str">
        <f t="shared" si="11"/>
        <v/>
      </c>
      <c r="AQ28" s="11" t="str">
        <f t="shared" si="12"/>
        <v/>
      </c>
      <c r="AR28" s="11" t="str">
        <f t="shared" si="13"/>
        <v/>
      </c>
      <c r="AS28" s="11" t="str">
        <f t="shared" si="14"/>
        <v/>
      </c>
      <c r="AT28" s="11" t="str">
        <f t="shared" si="15"/>
        <v/>
      </c>
      <c r="AU28" s="110"/>
      <c r="AV28" s="113"/>
      <c r="AW28" s="15">
        <v>3</v>
      </c>
      <c r="AX28" s="29" t="str">
        <f t="shared" si="80"/>
        <v>Ngọc Ánh</v>
      </c>
      <c r="AY28" s="29" t="str">
        <f t="shared" si="16"/>
        <v>Nhi</v>
      </c>
      <c r="AZ28" s="29" t="str">
        <f t="shared" si="17"/>
        <v>Hồng</v>
      </c>
      <c r="BA28" s="29" t="str">
        <f t="shared" si="18"/>
        <v>Xuân</v>
      </c>
      <c r="BB28" s="29" t="str">
        <f t="shared" si="19"/>
        <v>Aziz, Trà</v>
      </c>
      <c r="BC28" s="29" t="str">
        <f t="shared" si="20"/>
        <v>Bích</v>
      </c>
      <c r="BD28" s="29" t="str">
        <f t="shared" si="21"/>
        <v>Phương</v>
      </c>
      <c r="BE28" s="29" t="str">
        <f t="shared" si="22"/>
        <v>Trang ÂN</v>
      </c>
      <c r="BF28" s="29" t="str">
        <f t="shared" si="23"/>
        <v>Hà</v>
      </c>
      <c r="BG28" s="29" t="str">
        <f t="shared" si="24"/>
        <v>Chánh</v>
      </c>
      <c r="BH28" s="29" t="str">
        <f t="shared" si="25"/>
        <v>Châu</v>
      </c>
      <c r="BI28" s="29" t="str">
        <f t="shared" si="26"/>
        <v>Huyền</v>
      </c>
      <c r="BJ28" s="29" t="str">
        <f t="shared" si="27"/>
        <v>Trang</v>
      </c>
      <c r="BK28" s="29" t="str">
        <f t="shared" si="28"/>
        <v>Trang</v>
      </c>
      <c r="BL28" s="29" t="str">
        <f t="shared" si="29"/>
        <v/>
      </c>
      <c r="BM28" s="29" t="str">
        <f t="shared" si="30"/>
        <v>Linh</v>
      </c>
      <c r="BN28" s="29" t="str">
        <f t="shared" si="31"/>
        <v/>
      </c>
      <c r="BO28" s="29" t="str">
        <f t="shared" si="32"/>
        <v/>
      </c>
      <c r="BP28" s="110"/>
      <c r="BQ28" s="113"/>
      <c r="BR28" s="15">
        <v>3</v>
      </c>
      <c r="BS28" s="29" t="str">
        <f t="shared" si="81"/>
        <v>Ngọc Ánh</v>
      </c>
      <c r="BT28" s="29" t="str">
        <f t="shared" si="33"/>
        <v>Nhi</v>
      </c>
      <c r="BU28" s="29" t="str">
        <f t="shared" si="34"/>
        <v>Hồng</v>
      </c>
      <c r="BV28" s="29" t="str">
        <f t="shared" si="35"/>
        <v>Xuân</v>
      </c>
      <c r="BW28" s="29" t="str">
        <f t="shared" si="36"/>
        <v>Trà</v>
      </c>
      <c r="BX28" s="29" t="str">
        <f t="shared" si="37"/>
        <v>Bích</v>
      </c>
      <c r="BY28" s="29" t="str">
        <f t="shared" si="38"/>
        <v>Phương</v>
      </c>
      <c r="BZ28" s="29" t="str">
        <f t="shared" si="39"/>
        <v>Trang ÂN</v>
      </c>
      <c r="CA28" s="29" t="str">
        <f t="shared" si="40"/>
        <v>Hà</v>
      </c>
      <c r="CB28" s="29" t="str">
        <f t="shared" si="41"/>
        <v>Chánh</v>
      </c>
      <c r="CC28" s="29" t="str">
        <f t="shared" si="42"/>
        <v>Châu</v>
      </c>
      <c r="CD28" s="29" t="str">
        <f t="shared" si="43"/>
        <v>Huyền</v>
      </c>
      <c r="CE28" s="29" t="str">
        <f t="shared" si="44"/>
        <v>Trang</v>
      </c>
      <c r="CG28" s="110"/>
      <c r="CH28" s="113"/>
      <c r="CI28" s="15">
        <v>3</v>
      </c>
      <c r="CJ28" s="29">
        <f t="shared" si="82"/>
        <v>1</v>
      </c>
      <c r="CK28" s="29">
        <f t="shared" si="45"/>
        <v>1</v>
      </c>
      <c r="CL28" s="29">
        <f t="shared" si="46"/>
        <v>1</v>
      </c>
      <c r="CM28" s="29">
        <f t="shared" si="47"/>
        <v>1</v>
      </c>
      <c r="CN28" s="29">
        <f t="shared" si="48"/>
        <v>1</v>
      </c>
      <c r="CO28" s="29">
        <f t="shared" si="49"/>
        <v>1</v>
      </c>
      <c r="CP28" s="29">
        <f t="shared" si="50"/>
        <v>1</v>
      </c>
      <c r="CQ28" s="29">
        <f t="shared" si="51"/>
        <v>1</v>
      </c>
      <c r="CR28" s="29">
        <f t="shared" si="52"/>
        <v>1</v>
      </c>
      <c r="CS28" s="29">
        <f t="shared" si="53"/>
        <v>1</v>
      </c>
      <c r="CT28" s="29">
        <f t="shared" si="54"/>
        <v>1</v>
      </c>
      <c r="CU28" s="29">
        <f t="shared" si="55"/>
        <v>1</v>
      </c>
      <c r="CV28" s="29">
        <f t="shared" si="56"/>
        <v>1</v>
      </c>
      <c r="CW28" s="29" t="str">
        <f t="shared" si="57"/>
        <v/>
      </c>
      <c r="CX28" s="29" t="str">
        <f t="shared" si="58"/>
        <v/>
      </c>
      <c r="CY28" s="29" t="str">
        <f t="shared" si="59"/>
        <v/>
      </c>
      <c r="CZ28" s="29">
        <f t="shared" si="60"/>
        <v>0</v>
      </c>
      <c r="DA28" s="29">
        <f t="shared" si="61"/>
        <v>0</v>
      </c>
      <c r="DG28" s="110"/>
      <c r="DH28" s="113"/>
      <c r="DI28" s="15">
        <v>3</v>
      </c>
      <c r="DJ28" s="29" t="str">
        <f t="shared" si="83"/>
        <v/>
      </c>
      <c r="DK28" s="29" t="str">
        <f t="shared" si="62"/>
        <v/>
      </c>
      <c r="DL28" s="29" t="str">
        <f t="shared" si="63"/>
        <v/>
      </c>
      <c r="DM28" s="29" t="str">
        <f t="shared" si="64"/>
        <v/>
      </c>
      <c r="DN28" s="29">
        <f t="shared" si="65"/>
        <v>1</v>
      </c>
      <c r="DO28" s="29" t="str">
        <f t="shared" si="66"/>
        <v/>
      </c>
      <c r="DP28" s="29" t="str">
        <f t="shared" si="67"/>
        <v/>
      </c>
      <c r="DQ28" s="29" t="str">
        <f t="shared" si="68"/>
        <v/>
      </c>
      <c r="DR28" s="29" t="str">
        <f t="shared" si="69"/>
        <v/>
      </c>
      <c r="DS28" s="29" t="str">
        <f t="shared" si="70"/>
        <v/>
      </c>
      <c r="DT28" s="29" t="str">
        <f t="shared" si="71"/>
        <v/>
      </c>
      <c r="DU28" s="29" t="str">
        <f t="shared" si="72"/>
        <v/>
      </c>
      <c r="DV28" s="29" t="str">
        <f t="shared" si="73"/>
        <v/>
      </c>
      <c r="DW28" s="29" t="str">
        <f t="shared" si="74"/>
        <v/>
      </c>
      <c r="DX28" s="29" t="str">
        <f t="shared" si="75"/>
        <v/>
      </c>
      <c r="DY28" s="29" t="str">
        <f t="shared" si="76"/>
        <v/>
      </c>
      <c r="DZ28" s="29" t="str">
        <f t="shared" si="77"/>
        <v/>
      </c>
      <c r="EA28" s="29" t="str">
        <f t="shared" si="78"/>
        <v/>
      </c>
    </row>
    <row r="29" spans="5:131" ht="16.7" customHeight="1" x14ac:dyDescent="0.25">
      <c r="E29" s="110"/>
      <c r="F29" s="113"/>
      <c r="G29" s="15">
        <v>4</v>
      </c>
      <c r="H29" s="11" t="str">
        <f>TKB_LOP_SC!C19</f>
        <v>GVNN - Aziz, Trang</v>
      </c>
      <c r="I29" s="11" t="str">
        <f>TKB_LOP_SC!E19</f>
        <v>KCST - Nhi</v>
      </c>
      <c r="J29" s="5" t="str">
        <f>TKB_LOP_SC!G19</f>
        <v>GDTC - Hồng</v>
      </c>
      <c r="K29" s="11" t="str">
        <f>TKB_LOP_SC!I19</f>
        <v>TViệt - Xuân</v>
      </c>
      <c r="L29" s="11" t="str">
        <f>TKB_LOP_SC!M19</f>
        <v>TViệt - Ngọc</v>
      </c>
      <c r="M29" s="11" t="str">
        <f>TKB_LOP_SC!O19</f>
        <v>Tin - Nguyên</v>
      </c>
      <c r="N29" s="11" t="str">
        <f>TKB_LOP_SC!Q19</f>
        <v>Toán - Phương Anh</v>
      </c>
      <c r="O29" s="11" t="str">
        <f>TKB_LOP_SC!S19</f>
        <v>Toán - Chi</v>
      </c>
      <c r="P29" s="5" t="str">
        <f>TKB_LOP_SC!W19</f>
        <v>Văn - Hà</v>
      </c>
      <c r="Q29" s="11" t="str">
        <f>TKB_LOP_SC!Y19</f>
        <v>Văn - Ánh NV</v>
      </c>
      <c r="R29" s="11" t="str">
        <f>TKB_LOP_SC!AA19</f>
        <v>GVNN - Tay, Quỳnh</v>
      </c>
      <c r="S29" s="11" t="str">
        <f>TKB_LOP_SC!AC19</f>
        <v>Cảm xúc xã hội - Hiền</v>
      </c>
      <c r="T29" s="29" t="str">
        <f>TKB_LOP_SC!AE19</f>
        <v>Mĩ thuật - Phương</v>
      </c>
      <c r="U29" s="2" t="str">
        <f>TKB_LOP_SC!AI19</f>
        <v>Lối sống - MN2</v>
      </c>
      <c r="V29" s="2">
        <f>TKB_LOP_SC!AK19</f>
        <v>0</v>
      </c>
      <c r="W29" s="2">
        <f>TKB_LOP_SC!AM19</f>
        <v>0</v>
      </c>
      <c r="X29" s="2">
        <f>TKB_LOP_SC!AO19</f>
        <v>0</v>
      </c>
      <c r="Y29" s="2" t="e">
        <f>TKB_LOP_SC!#REF!</f>
        <v>#REF!</v>
      </c>
      <c r="Z29" s="110"/>
      <c r="AA29" s="113"/>
      <c r="AB29" s="15">
        <v>4</v>
      </c>
      <c r="AC29" s="11" t="str">
        <f t="shared" si="79"/>
        <v>Aziz</v>
      </c>
      <c r="AD29" s="11" t="str">
        <f t="shared" si="0"/>
        <v/>
      </c>
      <c r="AE29" s="11" t="str">
        <f t="shared" si="1"/>
        <v/>
      </c>
      <c r="AF29" s="11" t="str">
        <f t="shared" si="2"/>
        <v/>
      </c>
      <c r="AG29" s="11" t="str">
        <f t="shared" si="3"/>
        <v/>
      </c>
      <c r="AH29" s="11" t="str">
        <f t="shared" si="4"/>
        <v/>
      </c>
      <c r="AI29" s="11" t="str">
        <f t="shared" si="5"/>
        <v/>
      </c>
      <c r="AJ29" s="11" t="str">
        <f t="shared" si="6"/>
        <v/>
      </c>
      <c r="AK29" s="11" t="str">
        <f t="shared" si="7"/>
        <v/>
      </c>
      <c r="AL29" s="11" t="str">
        <f t="shared" si="8"/>
        <v/>
      </c>
      <c r="AM29" s="11" t="str">
        <f t="shared" si="9"/>
        <v>Tay</v>
      </c>
      <c r="AN29" s="11" t="str">
        <f t="shared" si="10"/>
        <v/>
      </c>
      <c r="AO29" s="11" t="str">
        <f t="shared" si="11"/>
        <v/>
      </c>
      <c r="AP29" s="11" t="str">
        <f t="shared" si="11"/>
        <v/>
      </c>
      <c r="AQ29" s="11" t="str">
        <f t="shared" si="12"/>
        <v/>
      </c>
      <c r="AR29" s="11" t="str">
        <f t="shared" si="13"/>
        <v/>
      </c>
      <c r="AS29" s="11" t="str">
        <f t="shared" si="14"/>
        <v/>
      </c>
      <c r="AT29" s="11" t="str">
        <f t="shared" si="15"/>
        <v/>
      </c>
      <c r="AU29" s="110"/>
      <c r="AV29" s="113"/>
      <c r="AW29" s="15">
        <v>4</v>
      </c>
      <c r="AX29" s="29" t="str">
        <f t="shared" si="80"/>
        <v>Aziz, Trang</v>
      </c>
      <c r="AY29" s="29" t="str">
        <f t="shared" si="16"/>
        <v>Nhi</v>
      </c>
      <c r="AZ29" s="29" t="str">
        <f t="shared" si="17"/>
        <v>Hồng</v>
      </c>
      <c r="BA29" s="29" t="str">
        <f t="shared" si="18"/>
        <v>Xuân</v>
      </c>
      <c r="BB29" s="29" t="str">
        <f t="shared" si="19"/>
        <v>Ngọc</v>
      </c>
      <c r="BC29" s="29" t="str">
        <f t="shared" si="20"/>
        <v>Nguyên</v>
      </c>
      <c r="BD29" s="29" t="str">
        <f t="shared" si="21"/>
        <v>Phương Anh</v>
      </c>
      <c r="BE29" s="29" t="str">
        <f t="shared" si="22"/>
        <v>Chi</v>
      </c>
      <c r="BF29" s="29" t="str">
        <f t="shared" si="23"/>
        <v>Hà</v>
      </c>
      <c r="BG29" s="29" t="str">
        <f t="shared" si="24"/>
        <v>Ánh NV</v>
      </c>
      <c r="BH29" s="29" t="str">
        <f t="shared" si="25"/>
        <v>Tay, Quỳnh</v>
      </c>
      <c r="BI29" s="29" t="str">
        <f t="shared" si="26"/>
        <v>Hiền</v>
      </c>
      <c r="BJ29" s="29" t="str">
        <f t="shared" si="27"/>
        <v>Phương</v>
      </c>
      <c r="BK29" s="29" t="str">
        <f t="shared" si="28"/>
        <v>MN2</v>
      </c>
      <c r="BL29" s="29" t="str">
        <f t="shared" si="29"/>
        <v/>
      </c>
      <c r="BM29" s="29" t="str">
        <f t="shared" si="30"/>
        <v/>
      </c>
      <c r="BN29" s="29" t="str">
        <f t="shared" si="31"/>
        <v/>
      </c>
      <c r="BO29" s="29" t="str">
        <f t="shared" si="32"/>
        <v/>
      </c>
      <c r="BP29" s="110"/>
      <c r="BQ29" s="113"/>
      <c r="BR29" s="15">
        <v>4</v>
      </c>
      <c r="BS29" s="29" t="str">
        <f t="shared" si="81"/>
        <v>Trang</v>
      </c>
      <c r="BT29" s="29" t="str">
        <f t="shared" si="33"/>
        <v>Nhi</v>
      </c>
      <c r="BU29" s="29" t="str">
        <f t="shared" si="34"/>
        <v>Hồng</v>
      </c>
      <c r="BV29" s="29" t="str">
        <f t="shared" si="35"/>
        <v>Xuân</v>
      </c>
      <c r="BW29" s="29" t="str">
        <f t="shared" si="36"/>
        <v>Ngọc</v>
      </c>
      <c r="BX29" s="29" t="str">
        <f t="shared" si="37"/>
        <v>Nguyên</v>
      </c>
      <c r="BY29" s="29" t="str">
        <f t="shared" si="38"/>
        <v>Phương Anh</v>
      </c>
      <c r="BZ29" s="29" t="str">
        <f t="shared" si="39"/>
        <v>Chi</v>
      </c>
      <c r="CA29" s="29" t="str">
        <f t="shared" si="40"/>
        <v>Hà</v>
      </c>
      <c r="CB29" s="29" t="str">
        <f t="shared" si="41"/>
        <v>Ánh NV</v>
      </c>
      <c r="CC29" s="29" t="str">
        <f t="shared" si="42"/>
        <v>Quỳnh</v>
      </c>
      <c r="CD29" s="29" t="str">
        <f t="shared" si="43"/>
        <v>Hiền</v>
      </c>
      <c r="CE29" s="29" t="str">
        <f t="shared" si="44"/>
        <v>Phương</v>
      </c>
      <c r="CG29" s="110"/>
      <c r="CH29" s="113"/>
      <c r="CI29" s="15">
        <v>4</v>
      </c>
      <c r="CJ29" s="29">
        <f t="shared" si="82"/>
        <v>1</v>
      </c>
      <c r="CK29" s="29">
        <f t="shared" si="45"/>
        <v>1</v>
      </c>
      <c r="CL29" s="29">
        <f t="shared" si="46"/>
        <v>1</v>
      </c>
      <c r="CM29" s="29">
        <f t="shared" si="47"/>
        <v>1</v>
      </c>
      <c r="CN29" s="29">
        <f t="shared" si="48"/>
        <v>1</v>
      </c>
      <c r="CO29" s="29">
        <f t="shared" si="49"/>
        <v>1</v>
      </c>
      <c r="CP29" s="29">
        <f t="shared" si="50"/>
        <v>1</v>
      </c>
      <c r="CQ29" s="29">
        <f t="shared" si="51"/>
        <v>1</v>
      </c>
      <c r="CR29" s="29">
        <f t="shared" si="52"/>
        <v>1</v>
      </c>
      <c r="CS29" s="29">
        <f t="shared" si="53"/>
        <v>1</v>
      </c>
      <c r="CT29" s="29">
        <f t="shared" si="54"/>
        <v>1</v>
      </c>
      <c r="CU29" s="29">
        <f t="shared" si="55"/>
        <v>1</v>
      </c>
      <c r="CV29" s="29">
        <f t="shared" si="56"/>
        <v>1</v>
      </c>
      <c r="CW29" s="29" t="str">
        <f t="shared" si="57"/>
        <v/>
      </c>
      <c r="CX29" s="29" t="str">
        <f t="shared" si="58"/>
        <v/>
      </c>
      <c r="CY29" s="29" t="str">
        <f t="shared" si="59"/>
        <v/>
      </c>
      <c r="CZ29" s="29">
        <f t="shared" si="60"/>
        <v>0</v>
      </c>
      <c r="DA29" s="29">
        <f t="shared" si="61"/>
        <v>0</v>
      </c>
      <c r="DG29" s="110"/>
      <c r="DH29" s="113"/>
      <c r="DI29" s="15">
        <v>4</v>
      </c>
      <c r="DJ29" s="29">
        <f t="shared" si="83"/>
        <v>1</v>
      </c>
      <c r="DK29" s="29" t="str">
        <f t="shared" si="62"/>
        <v/>
      </c>
      <c r="DL29" s="29" t="str">
        <f t="shared" si="63"/>
        <v/>
      </c>
      <c r="DM29" s="29" t="str">
        <f t="shared" si="64"/>
        <v/>
      </c>
      <c r="DN29" s="29" t="str">
        <f t="shared" si="65"/>
        <v/>
      </c>
      <c r="DO29" s="29" t="str">
        <f t="shared" si="66"/>
        <v/>
      </c>
      <c r="DP29" s="29" t="str">
        <f t="shared" si="67"/>
        <v/>
      </c>
      <c r="DQ29" s="29" t="str">
        <f t="shared" si="68"/>
        <v/>
      </c>
      <c r="DR29" s="29" t="str">
        <f t="shared" si="69"/>
        <v/>
      </c>
      <c r="DS29" s="29" t="str">
        <f t="shared" si="70"/>
        <v/>
      </c>
      <c r="DT29" s="29">
        <f t="shared" si="71"/>
        <v>1</v>
      </c>
      <c r="DU29" s="29" t="str">
        <f t="shared" si="72"/>
        <v/>
      </c>
      <c r="DV29" s="29" t="str">
        <f t="shared" si="73"/>
        <v/>
      </c>
      <c r="DW29" s="29" t="str">
        <f t="shared" si="74"/>
        <v/>
      </c>
      <c r="DX29" s="29" t="str">
        <f t="shared" si="75"/>
        <v/>
      </c>
      <c r="DY29" s="29" t="str">
        <f t="shared" si="76"/>
        <v/>
      </c>
      <c r="DZ29" s="29" t="str">
        <f t="shared" si="77"/>
        <v/>
      </c>
      <c r="EA29" s="29" t="str">
        <f t="shared" si="78"/>
        <v/>
      </c>
    </row>
    <row r="30" spans="5:131" ht="16.7" customHeight="1" x14ac:dyDescent="0.25">
      <c r="E30" s="111"/>
      <c r="F30" s="114"/>
      <c r="G30" s="16">
        <v>5</v>
      </c>
      <c r="H30" s="11">
        <f>TKB_LOP_SC!C20</f>
        <v>0</v>
      </c>
      <c r="I30" s="11">
        <f>TKB_LOP_SC!E20</f>
        <v>0</v>
      </c>
      <c r="J30" s="5">
        <f>TKB_LOP_SC!G20</f>
        <v>0</v>
      </c>
      <c r="K30" s="11">
        <f>TKB_LOP_SC!I20</f>
        <v>0</v>
      </c>
      <c r="L30" s="11">
        <f>TKB_LOP_SC!M20</f>
        <v>0</v>
      </c>
      <c r="M30" s="11">
        <f>TKB_LOP_SC!O20</f>
        <v>0</v>
      </c>
      <c r="N30" s="11">
        <f>TKB_LOP_SC!Q20</f>
        <v>0</v>
      </c>
      <c r="O30" s="11">
        <f>TKB_LOP_SC!S20</f>
        <v>0</v>
      </c>
      <c r="P30" s="5" t="str">
        <f>TKB_LOP_SC!W20</f>
        <v>Mĩ thuật - Phương</v>
      </c>
      <c r="Q30" s="11" t="str">
        <f>TKB_LOP_SC!Y20</f>
        <v>GVNN - Tay, Chánh</v>
      </c>
      <c r="R30" s="11" t="str">
        <f>TKB_LOP_SC!AA20</f>
        <v>Đọc sách - Ánh NV</v>
      </c>
      <c r="S30" s="11">
        <f>TKB_LOP_SC!AC20</f>
        <v>0</v>
      </c>
      <c r="T30" s="29">
        <f>TKB_LOP_SC!AE20</f>
        <v>0</v>
      </c>
      <c r="U30" s="29">
        <f>TKB_LOP_SC!AI20</f>
        <v>0</v>
      </c>
      <c r="V30" s="29">
        <f>TKB_LOP_SC!AK20</f>
        <v>0</v>
      </c>
      <c r="W30" s="29">
        <f>TKB_LOP_SC!AM20</f>
        <v>0</v>
      </c>
      <c r="X30" s="29">
        <f>TKB_LOP_SC!AO20</f>
        <v>0</v>
      </c>
      <c r="Y30" s="29">
        <f>TKB_LOP_SC!AQ20</f>
        <v>0</v>
      </c>
      <c r="Z30" s="111"/>
      <c r="AA30" s="114"/>
      <c r="AB30" s="16">
        <v>5</v>
      </c>
      <c r="AC30" s="11" t="str">
        <f t="shared" si="79"/>
        <v/>
      </c>
      <c r="AD30" s="11" t="str">
        <f t="shared" si="0"/>
        <v/>
      </c>
      <c r="AE30" s="11" t="str">
        <f t="shared" si="1"/>
        <v/>
      </c>
      <c r="AF30" s="11" t="str">
        <f t="shared" si="2"/>
        <v/>
      </c>
      <c r="AG30" s="11" t="str">
        <f t="shared" si="3"/>
        <v/>
      </c>
      <c r="AH30" s="11" t="str">
        <f t="shared" si="4"/>
        <v/>
      </c>
      <c r="AI30" s="11" t="str">
        <f t="shared" si="5"/>
        <v/>
      </c>
      <c r="AJ30" s="11" t="str">
        <f t="shared" si="6"/>
        <v/>
      </c>
      <c r="AK30" s="11" t="str">
        <f t="shared" si="7"/>
        <v/>
      </c>
      <c r="AL30" s="11" t="str">
        <f t="shared" si="8"/>
        <v>Tay</v>
      </c>
      <c r="AM30" s="11" t="str">
        <f t="shared" si="9"/>
        <v/>
      </c>
      <c r="AN30" s="11" t="str">
        <f t="shared" si="10"/>
        <v/>
      </c>
      <c r="AO30" s="11" t="str">
        <f t="shared" si="11"/>
        <v/>
      </c>
      <c r="AP30" s="11" t="str">
        <f t="shared" si="11"/>
        <v/>
      </c>
      <c r="AQ30" s="11" t="str">
        <f t="shared" si="12"/>
        <v/>
      </c>
      <c r="AR30" s="11" t="str">
        <f t="shared" si="13"/>
        <v/>
      </c>
      <c r="AS30" s="11" t="str">
        <f t="shared" si="14"/>
        <v/>
      </c>
      <c r="AT30" s="11" t="str">
        <f t="shared" si="15"/>
        <v/>
      </c>
      <c r="AU30" s="111"/>
      <c r="AV30" s="114"/>
      <c r="AW30" s="16">
        <v>5</v>
      </c>
      <c r="AX30" s="29" t="str">
        <f t="shared" si="80"/>
        <v/>
      </c>
      <c r="AY30" s="29" t="str">
        <f t="shared" si="16"/>
        <v/>
      </c>
      <c r="AZ30" s="29" t="str">
        <f t="shared" si="17"/>
        <v/>
      </c>
      <c r="BA30" s="29" t="str">
        <f t="shared" si="18"/>
        <v/>
      </c>
      <c r="BB30" s="29" t="str">
        <f t="shared" si="19"/>
        <v/>
      </c>
      <c r="BC30" s="29" t="str">
        <f t="shared" si="20"/>
        <v/>
      </c>
      <c r="BD30" s="29" t="str">
        <f t="shared" si="21"/>
        <v/>
      </c>
      <c r="BE30" s="29" t="str">
        <f t="shared" si="22"/>
        <v/>
      </c>
      <c r="BF30" s="29" t="str">
        <f t="shared" si="23"/>
        <v>Phương</v>
      </c>
      <c r="BG30" s="29" t="str">
        <f t="shared" si="24"/>
        <v>Tay, Chánh</v>
      </c>
      <c r="BH30" s="29" t="str">
        <f t="shared" si="25"/>
        <v>Ánh NV</v>
      </c>
      <c r="BI30" s="29" t="str">
        <f t="shared" si="26"/>
        <v/>
      </c>
      <c r="BJ30" s="29" t="str">
        <f t="shared" si="27"/>
        <v/>
      </c>
      <c r="BK30" s="29" t="str">
        <f t="shared" si="28"/>
        <v/>
      </c>
      <c r="BL30" s="29" t="str">
        <f t="shared" si="29"/>
        <v/>
      </c>
      <c r="BM30" s="29" t="str">
        <f t="shared" si="30"/>
        <v/>
      </c>
      <c r="BN30" s="29" t="str">
        <f t="shared" si="31"/>
        <v/>
      </c>
      <c r="BO30" s="29" t="str">
        <f t="shared" si="32"/>
        <v/>
      </c>
      <c r="BP30" s="111"/>
      <c r="BQ30" s="114"/>
      <c r="BR30" s="16">
        <v>5</v>
      </c>
      <c r="BS30" s="29" t="str">
        <f t="shared" si="81"/>
        <v/>
      </c>
      <c r="BT30" s="29" t="str">
        <f t="shared" si="33"/>
        <v/>
      </c>
      <c r="BU30" s="29" t="str">
        <f t="shared" si="34"/>
        <v/>
      </c>
      <c r="BV30" s="29" t="str">
        <f t="shared" si="35"/>
        <v/>
      </c>
      <c r="BW30" s="29" t="str">
        <f t="shared" si="36"/>
        <v/>
      </c>
      <c r="BX30" s="29" t="str">
        <f t="shared" si="37"/>
        <v/>
      </c>
      <c r="BY30" s="29" t="str">
        <f t="shared" si="38"/>
        <v/>
      </c>
      <c r="BZ30" s="29" t="str">
        <f t="shared" si="39"/>
        <v/>
      </c>
      <c r="CA30" s="29" t="str">
        <f t="shared" si="40"/>
        <v>Phương</v>
      </c>
      <c r="CB30" s="29" t="str">
        <f t="shared" si="41"/>
        <v>Chánh</v>
      </c>
      <c r="CC30" s="29" t="str">
        <f t="shared" si="42"/>
        <v>Ánh NV</v>
      </c>
      <c r="CD30" s="29" t="str">
        <f t="shared" si="43"/>
        <v/>
      </c>
      <c r="CE30" s="29" t="str">
        <f t="shared" si="44"/>
        <v/>
      </c>
      <c r="CG30" s="111"/>
      <c r="CH30" s="114"/>
      <c r="CI30" s="16">
        <v>5</v>
      </c>
      <c r="CJ30" s="29" t="str">
        <f t="shared" si="82"/>
        <v/>
      </c>
      <c r="CK30" s="29" t="str">
        <f t="shared" si="45"/>
        <v/>
      </c>
      <c r="CL30" s="29" t="str">
        <f t="shared" si="46"/>
        <v/>
      </c>
      <c r="CM30" s="29" t="str">
        <f t="shared" si="47"/>
        <v/>
      </c>
      <c r="CN30" s="29" t="str">
        <f t="shared" si="48"/>
        <v/>
      </c>
      <c r="CO30" s="29" t="str">
        <f t="shared" si="49"/>
        <v/>
      </c>
      <c r="CP30" s="29" t="str">
        <f t="shared" si="50"/>
        <v/>
      </c>
      <c r="CQ30" s="29" t="str">
        <f t="shared" si="51"/>
        <v/>
      </c>
      <c r="CR30" s="29">
        <f t="shared" si="52"/>
        <v>1</v>
      </c>
      <c r="CS30" s="29">
        <f t="shared" si="53"/>
        <v>1</v>
      </c>
      <c r="CT30" s="29">
        <f t="shared" si="54"/>
        <v>1</v>
      </c>
      <c r="CU30" s="29" t="str">
        <f t="shared" si="55"/>
        <v/>
      </c>
      <c r="CV30" s="29" t="str">
        <f t="shared" si="56"/>
        <v/>
      </c>
      <c r="CW30" s="29" t="str">
        <f t="shared" si="57"/>
        <v/>
      </c>
      <c r="CX30" s="29" t="str">
        <f t="shared" si="58"/>
        <v/>
      </c>
      <c r="CY30" s="29" t="str">
        <f t="shared" si="59"/>
        <v/>
      </c>
      <c r="CZ30" s="29">
        <f t="shared" si="60"/>
        <v>0</v>
      </c>
      <c r="DA30" s="29" t="str">
        <f t="shared" si="61"/>
        <v/>
      </c>
      <c r="DG30" s="111"/>
      <c r="DH30" s="114"/>
      <c r="DI30" s="16">
        <v>5</v>
      </c>
      <c r="DJ30" s="29" t="str">
        <f t="shared" si="83"/>
        <v/>
      </c>
      <c r="DK30" s="29" t="str">
        <f t="shared" si="62"/>
        <v/>
      </c>
      <c r="DL30" s="29" t="str">
        <f t="shared" si="63"/>
        <v/>
      </c>
      <c r="DM30" s="29" t="str">
        <f t="shared" si="64"/>
        <v/>
      </c>
      <c r="DN30" s="29" t="str">
        <f t="shared" si="65"/>
        <v/>
      </c>
      <c r="DO30" s="29" t="str">
        <f t="shared" si="66"/>
        <v/>
      </c>
      <c r="DP30" s="29" t="str">
        <f t="shared" si="67"/>
        <v/>
      </c>
      <c r="DQ30" s="29" t="str">
        <f t="shared" si="68"/>
        <v/>
      </c>
      <c r="DR30" s="29" t="str">
        <f t="shared" si="69"/>
        <v/>
      </c>
      <c r="DS30" s="29">
        <f t="shared" si="70"/>
        <v>1</v>
      </c>
      <c r="DT30" s="29" t="str">
        <f t="shared" si="71"/>
        <v/>
      </c>
      <c r="DU30" s="29" t="str">
        <f t="shared" si="72"/>
        <v/>
      </c>
      <c r="DV30" s="29" t="str">
        <f t="shared" si="73"/>
        <v/>
      </c>
      <c r="DW30" s="29" t="str">
        <f t="shared" si="74"/>
        <v/>
      </c>
      <c r="DX30" s="29" t="str">
        <f t="shared" si="75"/>
        <v/>
      </c>
      <c r="DY30" s="29" t="str">
        <f t="shared" si="76"/>
        <v/>
      </c>
      <c r="DZ30" s="29" t="str">
        <f t="shared" si="77"/>
        <v/>
      </c>
      <c r="EA30" s="29" t="str">
        <f t="shared" si="78"/>
        <v/>
      </c>
    </row>
    <row r="31" spans="5:131" ht="16.7" customHeight="1" x14ac:dyDescent="0.25">
      <c r="E31" s="22"/>
      <c r="F31" s="112" t="s">
        <v>4</v>
      </c>
      <c r="G31" s="10">
        <v>1</v>
      </c>
      <c r="H31" s="5" t="str">
        <f>TKB_LOP_SC!D16</f>
        <v>TNXH - Ngọc Ánh</v>
      </c>
      <c r="I31" s="5" t="str">
        <f>TKB_LOP_SC!F16</f>
        <v>Science - Trà</v>
      </c>
      <c r="J31" s="5" t="str">
        <f>TKB_LOP_SC!H16</f>
        <v>GVNN - Aziz, Trang</v>
      </c>
      <c r="K31" s="5" t="str">
        <f>TKB_LOP_SC!J16</f>
        <v>Toán - Chi</v>
      </c>
      <c r="L31" s="5" t="str">
        <f>TKB_LOP_SC!N16</f>
        <v>Tiếng Trung - Thanh</v>
      </c>
      <c r="M31" s="5" t="str">
        <f>TKB_LOP_SC!P16</f>
        <v>Mĩ thuật - Phương</v>
      </c>
      <c r="N31" s="5" t="str">
        <f>TKB_LOP_SC!R16</f>
        <v>Toán - Phương Anh</v>
      </c>
      <c r="O31" s="5" t="str">
        <f>TKB_LOP_SC!T16</f>
        <v>GVNN - Tay, Bích</v>
      </c>
      <c r="P31" s="5" t="str">
        <f>TKB_LOP_SC!X16</f>
        <v>GVNN - Tay, Chánh</v>
      </c>
      <c r="Q31" s="5" t="str">
        <f>TKB_LOP_SC!Z16</f>
        <v>Toán - Tân</v>
      </c>
      <c r="R31" s="31" t="str">
        <f>TKB_LOP_SC!AB16</f>
        <v>Văn - Ánh NV</v>
      </c>
      <c r="S31" s="31" t="str">
        <f>TKB_LOP_SC!AD16</f>
        <v>HĐ tự chọn - Hiền</v>
      </c>
      <c r="T31" s="29" t="str">
        <f>TKB_LOP_SC!AF16</f>
        <v>HĐ tự chọn - MN1</v>
      </c>
      <c r="U31" s="29" t="str">
        <f>TKB_LOP_SC!AJ16</f>
        <v>HĐ tự chọn - MN2</v>
      </c>
      <c r="V31" s="29">
        <f>TKB_LOP_SC!AL16</f>
        <v>0</v>
      </c>
      <c r="W31" s="29">
        <f>TKB_LOP_SC!AN16</f>
        <v>0</v>
      </c>
      <c r="X31" s="29">
        <f>TKB_LOP_SC!AP16</f>
        <v>0</v>
      </c>
      <c r="Y31" s="29">
        <f>TKB_LOP_SC!AR16</f>
        <v>0</v>
      </c>
      <c r="Z31" s="22"/>
      <c r="AA31" s="112" t="s">
        <v>4</v>
      </c>
      <c r="AB31" s="10">
        <v>1</v>
      </c>
      <c r="AC31" s="11" t="str">
        <f t="shared" si="79"/>
        <v/>
      </c>
      <c r="AD31" s="11" t="str">
        <f t="shared" si="0"/>
        <v/>
      </c>
      <c r="AE31" s="11" t="str">
        <f t="shared" si="1"/>
        <v>Aziz</v>
      </c>
      <c r="AF31" s="11" t="str">
        <f t="shared" si="2"/>
        <v/>
      </c>
      <c r="AG31" s="11" t="str">
        <f t="shared" si="3"/>
        <v/>
      </c>
      <c r="AH31" s="11" t="str">
        <f t="shared" si="4"/>
        <v/>
      </c>
      <c r="AI31" s="11" t="str">
        <f t="shared" si="5"/>
        <v/>
      </c>
      <c r="AJ31" s="11" t="str">
        <f t="shared" si="6"/>
        <v>Tay</v>
      </c>
      <c r="AK31" s="11" t="str">
        <f t="shared" si="7"/>
        <v>Tay</v>
      </c>
      <c r="AL31" s="11" t="str">
        <f t="shared" si="8"/>
        <v/>
      </c>
      <c r="AM31" s="11" t="str">
        <f t="shared" si="9"/>
        <v/>
      </c>
      <c r="AN31" s="11" t="str">
        <f t="shared" si="10"/>
        <v/>
      </c>
      <c r="AO31" s="11" t="str">
        <f t="shared" si="11"/>
        <v/>
      </c>
      <c r="AP31" s="11" t="str">
        <f t="shared" si="11"/>
        <v/>
      </c>
      <c r="AQ31" s="11" t="str">
        <f t="shared" si="12"/>
        <v/>
      </c>
      <c r="AR31" s="11" t="str">
        <f t="shared" si="13"/>
        <v/>
      </c>
      <c r="AS31" s="11" t="str">
        <f t="shared" si="14"/>
        <v/>
      </c>
      <c r="AT31" s="11" t="str">
        <f t="shared" si="15"/>
        <v/>
      </c>
      <c r="AU31" s="55"/>
      <c r="AV31" s="112" t="s">
        <v>4</v>
      </c>
      <c r="AW31" s="10">
        <v>1</v>
      </c>
      <c r="AX31" s="29" t="str">
        <f t="shared" si="80"/>
        <v>Ngọc Ánh</v>
      </c>
      <c r="AY31" s="29" t="str">
        <f t="shared" si="16"/>
        <v>Trà</v>
      </c>
      <c r="AZ31" s="29" t="str">
        <f t="shared" si="17"/>
        <v>Aziz, Trang</v>
      </c>
      <c r="BA31" s="29" t="str">
        <f t="shared" si="18"/>
        <v>Chi</v>
      </c>
      <c r="BB31" s="29" t="str">
        <f t="shared" si="19"/>
        <v>Thanh</v>
      </c>
      <c r="BC31" s="29" t="str">
        <f t="shared" si="20"/>
        <v>Phương</v>
      </c>
      <c r="BD31" s="29" t="str">
        <f t="shared" si="21"/>
        <v>Phương Anh</v>
      </c>
      <c r="BE31" s="29" t="str">
        <f t="shared" si="22"/>
        <v>Tay, Bích</v>
      </c>
      <c r="BF31" s="29" t="str">
        <f t="shared" si="23"/>
        <v>Tay, Chánh</v>
      </c>
      <c r="BG31" s="29" t="str">
        <f t="shared" si="24"/>
        <v>Tân</v>
      </c>
      <c r="BH31" s="29" t="str">
        <f t="shared" si="25"/>
        <v>Ánh NV</v>
      </c>
      <c r="BI31" s="29" t="str">
        <f t="shared" si="26"/>
        <v>Hiền</v>
      </c>
      <c r="BJ31" s="29" t="str">
        <f t="shared" si="27"/>
        <v>MN1</v>
      </c>
      <c r="BK31" s="29" t="str">
        <f t="shared" si="28"/>
        <v>MN2</v>
      </c>
      <c r="BL31" s="29" t="str">
        <f t="shared" si="29"/>
        <v/>
      </c>
      <c r="BM31" s="29" t="str">
        <f t="shared" si="30"/>
        <v/>
      </c>
      <c r="BN31" s="29" t="str">
        <f t="shared" si="31"/>
        <v/>
      </c>
      <c r="BO31" s="29" t="str">
        <f t="shared" si="32"/>
        <v/>
      </c>
      <c r="BP31" s="55"/>
      <c r="BQ31" s="112" t="s">
        <v>4</v>
      </c>
      <c r="BR31" s="10">
        <v>1</v>
      </c>
      <c r="BS31" s="29" t="str">
        <f t="shared" si="81"/>
        <v>Ngọc Ánh</v>
      </c>
      <c r="BT31" s="29" t="str">
        <f t="shared" si="33"/>
        <v>Trà</v>
      </c>
      <c r="BU31" s="29" t="str">
        <f t="shared" si="34"/>
        <v>Trang</v>
      </c>
      <c r="BV31" s="29" t="str">
        <f t="shared" si="35"/>
        <v>Chi</v>
      </c>
      <c r="BW31" s="29" t="str">
        <f t="shared" si="36"/>
        <v>Thanh</v>
      </c>
      <c r="BX31" s="29" t="str">
        <f t="shared" si="37"/>
        <v>Phương</v>
      </c>
      <c r="BY31" s="29" t="str">
        <f t="shared" si="38"/>
        <v>Phương Anh</v>
      </c>
      <c r="BZ31" s="29" t="str">
        <f t="shared" si="39"/>
        <v>Bích</v>
      </c>
      <c r="CA31" s="29" t="str">
        <f t="shared" si="40"/>
        <v>Chánh</v>
      </c>
      <c r="CB31" s="29" t="str">
        <f t="shared" si="41"/>
        <v>Tân</v>
      </c>
      <c r="CC31" s="29" t="str">
        <f t="shared" si="42"/>
        <v>Ánh NV</v>
      </c>
      <c r="CD31" s="29" t="str">
        <f t="shared" si="43"/>
        <v>Hiền</v>
      </c>
      <c r="CE31" s="29" t="str">
        <f t="shared" si="44"/>
        <v>MN1</v>
      </c>
      <c r="CG31" s="55"/>
      <c r="CH31" s="112" t="s">
        <v>4</v>
      </c>
      <c r="CI31" s="10">
        <v>1</v>
      </c>
      <c r="CJ31" s="29">
        <f t="shared" si="82"/>
        <v>1</v>
      </c>
      <c r="CK31" s="29">
        <f t="shared" si="45"/>
        <v>1</v>
      </c>
      <c r="CL31" s="29">
        <f t="shared" si="46"/>
        <v>1</v>
      </c>
      <c r="CM31" s="29">
        <f t="shared" si="47"/>
        <v>1</v>
      </c>
      <c r="CN31" s="29">
        <f t="shared" si="48"/>
        <v>1</v>
      </c>
      <c r="CO31" s="29">
        <f t="shared" si="49"/>
        <v>1</v>
      </c>
      <c r="CP31" s="29">
        <f t="shared" si="50"/>
        <v>1</v>
      </c>
      <c r="CQ31" s="29">
        <f t="shared" si="51"/>
        <v>1</v>
      </c>
      <c r="CR31" s="29">
        <f t="shared" si="52"/>
        <v>1</v>
      </c>
      <c r="CS31" s="29">
        <f t="shared" si="53"/>
        <v>1</v>
      </c>
      <c r="CT31" s="29">
        <f t="shared" si="54"/>
        <v>1</v>
      </c>
      <c r="CU31" s="29">
        <f t="shared" si="55"/>
        <v>1</v>
      </c>
      <c r="CV31" s="29">
        <f t="shared" si="56"/>
        <v>1</v>
      </c>
      <c r="CW31" s="29" t="str">
        <f t="shared" si="57"/>
        <v/>
      </c>
      <c r="CX31" s="29" t="str">
        <f t="shared" si="58"/>
        <v/>
      </c>
      <c r="CY31" s="29">
        <f t="shared" si="59"/>
        <v>0</v>
      </c>
      <c r="CZ31" s="29">
        <f t="shared" si="60"/>
        <v>0</v>
      </c>
      <c r="DA31" s="29">
        <f t="shared" si="61"/>
        <v>0</v>
      </c>
      <c r="DG31" s="66"/>
      <c r="DH31" s="112" t="s">
        <v>4</v>
      </c>
      <c r="DI31" s="10">
        <v>1</v>
      </c>
      <c r="DJ31" s="29" t="str">
        <f t="shared" si="83"/>
        <v/>
      </c>
      <c r="DK31" s="29" t="str">
        <f t="shared" si="62"/>
        <v/>
      </c>
      <c r="DL31" s="29">
        <f t="shared" si="63"/>
        <v>1</v>
      </c>
      <c r="DM31" s="29" t="str">
        <f t="shared" si="64"/>
        <v/>
      </c>
      <c r="DN31" s="29" t="str">
        <f t="shared" si="65"/>
        <v/>
      </c>
      <c r="DO31" s="29" t="str">
        <f t="shared" si="66"/>
        <v/>
      </c>
      <c r="DP31" s="29" t="str">
        <f t="shared" si="67"/>
        <v/>
      </c>
      <c r="DQ31" s="29">
        <f t="shared" si="68"/>
        <v>2</v>
      </c>
      <c r="DR31" s="29">
        <f t="shared" si="69"/>
        <v>2</v>
      </c>
      <c r="DS31" s="29" t="str">
        <f t="shared" si="70"/>
        <v/>
      </c>
      <c r="DT31" s="29" t="str">
        <f t="shared" si="71"/>
        <v/>
      </c>
      <c r="DU31" s="29" t="str">
        <f t="shared" si="72"/>
        <v/>
      </c>
      <c r="DV31" s="29" t="str">
        <f t="shared" si="73"/>
        <v/>
      </c>
      <c r="DW31" s="29" t="str">
        <f t="shared" si="74"/>
        <v/>
      </c>
      <c r="DX31" s="29" t="str">
        <f t="shared" si="75"/>
        <v/>
      </c>
      <c r="DY31" s="29" t="str">
        <f t="shared" si="76"/>
        <v/>
      </c>
      <c r="DZ31" s="29" t="str">
        <f t="shared" si="77"/>
        <v/>
      </c>
      <c r="EA31" s="29" t="str">
        <f t="shared" si="78"/>
        <v/>
      </c>
    </row>
    <row r="32" spans="5:131" ht="16.7" customHeight="1" x14ac:dyDescent="0.25">
      <c r="E32" s="22"/>
      <c r="F32" s="113"/>
      <c r="G32" s="15">
        <v>2</v>
      </c>
      <c r="H32" s="5" t="str">
        <f>TKB_LOP_SC!D17</f>
        <v>GVNN - Aziz, Trang</v>
      </c>
      <c r="I32" s="5" t="str">
        <f>TKB_LOP_SC!F17</f>
        <v>Tiếng Trung - Thanh</v>
      </c>
      <c r="J32" s="5" t="str">
        <f>TKB_LOP_SC!H17</f>
        <v>TViệt - Linh TH</v>
      </c>
      <c r="K32" s="5" t="str">
        <f>TKB_LOP_SC!J17</f>
        <v>GVVN - Trà</v>
      </c>
      <c r="L32" s="5" t="str">
        <f>TKB_LOP_SC!N17</f>
        <v>TNXH - Nhi</v>
      </c>
      <c r="M32" s="5" t="str">
        <f>TKB_LOP_SC!P17</f>
        <v>TViệt - Ly</v>
      </c>
      <c r="N32" s="5" t="str">
        <f>TKB_LOP_SC!R17</f>
        <v>Science - Quỳnh</v>
      </c>
      <c r="O32" s="5" t="str">
        <f>TKB_LOP_SC!T17</f>
        <v>Toán - Chi</v>
      </c>
      <c r="P32" s="5" t="str">
        <f>TKB_LOP_SC!X17</f>
        <v>GVVN - Chánh</v>
      </c>
      <c r="Q32" s="5" t="str">
        <f>TKB_LOP_SC!Z17</f>
        <v>LS&amp;ĐL - Hà</v>
      </c>
      <c r="R32" s="31" t="str">
        <f>TKB_LOP_SC!AB17</f>
        <v>Mĩ thuật - Phương</v>
      </c>
      <c r="S32" s="31" t="str">
        <f>TKB_LOP_SC!AD17</f>
        <v>GVVN - Huyền</v>
      </c>
      <c r="T32" s="29" t="str">
        <f>TKB_LOP_SC!AF17</f>
        <v>Toán - MN1</v>
      </c>
      <c r="U32" s="2" t="str">
        <f>TKB_LOP_SC!AJ17</f>
        <v>Toán - MN2</v>
      </c>
      <c r="V32" s="2">
        <f>TKB_LOP_SC!AL17</f>
        <v>0</v>
      </c>
      <c r="W32" s="2">
        <f>TKB_LOP_SC!AN17</f>
        <v>0</v>
      </c>
      <c r="X32" s="2" t="str">
        <f>TKB_LOP_SC!AP17</f>
        <v>GVVN - Linh</v>
      </c>
      <c r="Y32" s="2">
        <f>TKB_LOP_SC!AR17</f>
        <v>0</v>
      </c>
      <c r="Z32" s="22"/>
      <c r="AA32" s="113"/>
      <c r="AB32" s="15">
        <v>2</v>
      </c>
      <c r="AC32" s="11" t="str">
        <f t="shared" si="79"/>
        <v>Aziz</v>
      </c>
      <c r="AD32" s="11" t="str">
        <f t="shared" si="0"/>
        <v/>
      </c>
      <c r="AE32" s="11" t="str">
        <f t="shared" si="1"/>
        <v/>
      </c>
      <c r="AF32" s="11" t="str">
        <f t="shared" si="2"/>
        <v/>
      </c>
      <c r="AG32" s="11" t="str">
        <f t="shared" si="3"/>
        <v/>
      </c>
      <c r="AH32" s="11" t="str">
        <f t="shared" si="4"/>
        <v/>
      </c>
      <c r="AI32" s="11" t="str">
        <f t="shared" si="5"/>
        <v/>
      </c>
      <c r="AJ32" s="11" t="str">
        <f t="shared" si="6"/>
        <v/>
      </c>
      <c r="AK32" s="11" t="str">
        <f t="shared" si="7"/>
        <v/>
      </c>
      <c r="AL32" s="11" t="str">
        <f t="shared" si="8"/>
        <v/>
      </c>
      <c r="AM32" s="11" t="str">
        <f t="shared" si="9"/>
        <v/>
      </c>
      <c r="AN32" s="11" t="str">
        <f t="shared" si="10"/>
        <v/>
      </c>
      <c r="AO32" s="11" t="str">
        <f t="shared" si="11"/>
        <v/>
      </c>
      <c r="AP32" s="11" t="str">
        <f t="shared" si="11"/>
        <v/>
      </c>
      <c r="AQ32" s="11" t="str">
        <f t="shared" si="12"/>
        <v/>
      </c>
      <c r="AR32" s="11" t="str">
        <f t="shared" si="13"/>
        <v/>
      </c>
      <c r="AS32" s="11" t="str">
        <f t="shared" si="14"/>
        <v/>
      </c>
      <c r="AT32" s="11" t="str">
        <f t="shared" si="15"/>
        <v/>
      </c>
      <c r="AU32" s="55"/>
      <c r="AV32" s="113"/>
      <c r="AW32" s="15">
        <v>2</v>
      </c>
      <c r="AX32" s="29" t="str">
        <f t="shared" si="80"/>
        <v>Aziz, Trang</v>
      </c>
      <c r="AY32" s="29" t="str">
        <f t="shared" si="16"/>
        <v>Thanh</v>
      </c>
      <c r="AZ32" s="29" t="str">
        <f t="shared" si="17"/>
        <v>Linh TH</v>
      </c>
      <c r="BA32" s="29" t="str">
        <f t="shared" si="18"/>
        <v>Trà</v>
      </c>
      <c r="BB32" s="29" t="str">
        <f t="shared" si="19"/>
        <v>Nhi</v>
      </c>
      <c r="BC32" s="29" t="str">
        <f t="shared" si="20"/>
        <v>Ly</v>
      </c>
      <c r="BD32" s="29" t="str">
        <f t="shared" si="21"/>
        <v>Quỳnh</v>
      </c>
      <c r="BE32" s="29" t="str">
        <f t="shared" si="22"/>
        <v>Chi</v>
      </c>
      <c r="BF32" s="29" t="str">
        <f t="shared" si="23"/>
        <v>Chánh</v>
      </c>
      <c r="BG32" s="29" t="str">
        <f t="shared" si="24"/>
        <v>Hà</v>
      </c>
      <c r="BH32" s="29" t="str">
        <f t="shared" si="25"/>
        <v>Phương</v>
      </c>
      <c r="BI32" s="29" t="str">
        <f t="shared" si="26"/>
        <v>Huyền</v>
      </c>
      <c r="BJ32" s="29" t="str">
        <f t="shared" si="27"/>
        <v>MN1</v>
      </c>
      <c r="BK32" s="29" t="str">
        <f t="shared" si="28"/>
        <v>MN2</v>
      </c>
      <c r="BL32" s="29" t="str">
        <f t="shared" si="29"/>
        <v/>
      </c>
      <c r="BM32" s="29" t="str">
        <f t="shared" si="30"/>
        <v/>
      </c>
      <c r="BN32" s="29" t="str">
        <f t="shared" si="31"/>
        <v>Linh</v>
      </c>
      <c r="BO32" s="29" t="str">
        <f t="shared" si="32"/>
        <v/>
      </c>
      <c r="BP32" s="55"/>
      <c r="BQ32" s="113"/>
      <c r="BR32" s="15">
        <v>2</v>
      </c>
      <c r="BS32" s="29" t="str">
        <f t="shared" si="81"/>
        <v>Trang</v>
      </c>
      <c r="BT32" s="29" t="str">
        <f t="shared" si="33"/>
        <v>Thanh</v>
      </c>
      <c r="BU32" s="29" t="str">
        <f t="shared" si="34"/>
        <v>Linh TH</v>
      </c>
      <c r="BV32" s="29" t="str">
        <f t="shared" si="35"/>
        <v>Trà</v>
      </c>
      <c r="BW32" s="29" t="str">
        <f t="shared" si="36"/>
        <v>Nhi</v>
      </c>
      <c r="BX32" s="29" t="str">
        <f t="shared" si="37"/>
        <v>Ly</v>
      </c>
      <c r="BY32" s="29" t="str">
        <f t="shared" si="38"/>
        <v>Quỳnh</v>
      </c>
      <c r="BZ32" s="29" t="str">
        <f t="shared" si="39"/>
        <v>Chi</v>
      </c>
      <c r="CA32" s="29" t="str">
        <f t="shared" si="40"/>
        <v>Chánh</v>
      </c>
      <c r="CB32" s="29" t="str">
        <f t="shared" si="41"/>
        <v>Hà</v>
      </c>
      <c r="CC32" s="29" t="str">
        <f t="shared" si="42"/>
        <v>Phương</v>
      </c>
      <c r="CD32" s="29" t="str">
        <f t="shared" si="43"/>
        <v>Huyền</v>
      </c>
      <c r="CE32" s="29" t="str">
        <f t="shared" si="44"/>
        <v>MN1</v>
      </c>
      <c r="CG32" s="55"/>
      <c r="CH32" s="113"/>
      <c r="CI32" s="15">
        <v>2</v>
      </c>
      <c r="CJ32" s="29">
        <f t="shared" si="82"/>
        <v>1</v>
      </c>
      <c r="CK32" s="29">
        <f t="shared" si="45"/>
        <v>1</v>
      </c>
      <c r="CL32" s="29">
        <f t="shared" si="46"/>
        <v>1</v>
      </c>
      <c r="CM32" s="29">
        <f t="shared" si="47"/>
        <v>1</v>
      </c>
      <c r="CN32" s="29">
        <f t="shared" si="48"/>
        <v>1</v>
      </c>
      <c r="CO32" s="29">
        <f t="shared" si="49"/>
        <v>1</v>
      </c>
      <c r="CP32" s="29">
        <f t="shared" si="50"/>
        <v>1</v>
      </c>
      <c r="CQ32" s="29">
        <f t="shared" si="51"/>
        <v>1</v>
      </c>
      <c r="CR32" s="29">
        <f t="shared" si="52"/>
        <v>1</v>
      </c>
      <c r="CS32" s="29">
        <f t="shared" si="53"/>
        <v>1</v>
      </c>
      <c r="CT32" s="29">
        <f t="shared" si="54"/>
        <v>1</v>
      </c>
      <c r="CU32" s="29">
        <f t="shared" si="55"/>
        <v>1</v>
      </c>
      <c r="CV32" s="29">
        <f t="shared" si="56"/>
        <v>1</v>
      </c>
      <c r="CW32" s="29" t="str">
        <f t="shared" si="57"/>
        <v/>
      </c>
      <c r="CX32" s="29" t="str">
        <f t="shared" si="58"/>
        <v/>
      </c>
      <c r="CY32" s="29" t="str">
        <f t="shared" si="59"/>
        <v/>
      </c>
      <c r="CZ32" s="29">
        <f t="shared" si="60"/>
        <v>0</v>
      </c>
      <c r="DA32" s="29">
        <f t="shared" si="61"/>
        <v>0</v>
      </c>
      <c r="DG32" s="66"/>
      <c r="DH32" s="113"/>
      <c r="DI32" s="15">
        <v>2</v>
      </c>
      <c r="DJ32" s="29">
        <f t="shared" si="83"/>
        <v>1</v>
      </c>
      <c r="DK32" s="29" t="str">
        <f t="shared" si="62"/>
        <v/>
      </c>
      <c r="DL32" s="29" t="str">
        <f t="shared" si="63"/>
        <v/>
      </c>
      <c r="DM32" s="29" t="str">
        <f t="shared" si="64"/>
        <v/>
      </c>
      <c r="DN32" s="29" t="str">
        <f t="shared" si="65"/>
        <v/>
      </c>
      <c r="DO32" s="29" t="str">
        <f t="shared" si="66"/>
        <v/>
      </c>
      <c r="DP32" s="29" t="str">
        <f t="shared" si="67"/>
        <v/>
      </c>
      <c r="DQ32" s="29" t="str">
        <f t="shared" si="68"/>
        <v/>
      </c>
      <c r="DR32" s="29" t="str">
        <f t="shared" si="69"/>
        <v/>
      </c>
      <c r="DS32" s="29" t="str">
        <f t="shared" si="70"/>
        <v/>
      </c>
      <c r="DT32" s="29" t="str">
        <f t="shared" si="71"/>
        <v/>
      </c>
      <c r="DU32" s="29" t="str">
        <f t="shared" si="72"/>
        <v/>
      </c>
      <c r="DV32" s="29" t="str">
        <f t="shared" si="73"/>
        <v/>
      </c>
      <c r="DW32" s="29" t="str">
        <f t="shared" si="74"/>
        <v/>
      </c>
      <c r="DX32" s="29" t="str">
        <f t="shared" si="75"/>
        <v/>
      </c>
      <c r="DY32" s="29" t="str">
        <f t="shared" si="76"/>
        <v/>
      </c>
      <c r="DZ32" s="29" t="str">
        <f t="shared" si="77"/>
        <v/>
      </c>
      <c r="EA32" s="29" t="str">
        <f t="shared" si="78"/>
        <v/>
      </c>
    </row>
    <row r="33" spans="5:131" ht="16.7" customHeight="1" x14ac:dyDescent="0.25">
      <c r="E33" s="22"/>
      <c r="F33" s="113"/>
      <c r="G33" s="15">
        <v>3</v>
      </c>
      <c r="H33" s="5" t="str">
        <f>TKB_LOP_SC!D18</f>
        <v>Tiếng Trung - Thanh</v>
      </c>
      <c r="I33" s="5" t="str">
        <f>TKB_LOP_SC!F18</f>
        <v>GVNN - Tay, Huyền</v>
      </c>
      <c r="J33" s="5" t="str">
        <f>TKB_LOP_SC!H18</f>
        <v>TViệt - Linh TH</v>
      </c>
      <c r="K33" s="5" t="str">
        <f>TKB_LOP_SC!J18</f>
        <v>GDTC - Hồng</v>
      </c>
      <c r="L33" s="5" t="str">
        <f>TKB_LOP_SC!N18</f>
        <v>GVNN - Aziz, Trà</v>
      </c>
      <c r="M33" s="5" t="str">
        <f>TKB_LOP_SC!P18</f>
        <v>GVVN - Bích</v>
      </c>
      <c r="N33" s="5" t="str">
        <f>TKB_LOP_SC!R18</f>
        <v>Tin - Nguyên</v>
      </c>
      <c r="O33" s="5" t="str">
        <f>TKB_LOP_SC!T18</f>
        <v>Mĩ thuật - Phương</v>
      </c>
      <c r="P33" s="5" t="str">
        <f>TKB_LOP_SC!W23</f>
        <v>GVNN - Tay, Chánh</v>
      </c>
      <c r="Q33" s="5" t="str">
        <f>TKB_LOP_SC!Z18</f>
        <v>GVNN - Tay, Chánh</v>
      </c>
      <c r="R33" s="31" t="str">
        <f>TKB_LOP_SC!AB18</f>
        <v>GVVN - Quỳnh</v>
      </c>
      <c r="S33" s="31" t="str">
        <f>TKB_LOP_SC!AD18</f>
        <v>Toán - Hiền</v>
      </c>
      <c r="T33" s="29" t="str">
        <f>TKB_LOP_SC!AF18</f>
        <v>GVVN - Trang</v>
      </c>
      <c r="U33" s="2" t="str">
        <f>TKB_LOP_SC!AJ18</f>
        <v>GVVN - Trang</v>
      </c>
      <c r="V33" s="2" t="str">
        <f>TKB_LOP_SC!AL18</f>
        <v>GVVN - Linh</v>
      </c>
      <c r="W33" s="2">
        <f>TKB_LOP_SC!AN18</f>
        <v>0</v>
      </c>
      <c r="X33" s="2">
        <f>TKB_LOP_SC!AP18</f>
        <v>0</v>
      </c>
      <c r="Y33" s="2">
        <f>TKB_LOP_SC!AR18</f>
        <v>0</v>
      </c>
      <c r="Z33" s="22"/>
      <c r="AA33" s="113"/>
      <c r="AB33" s="15">
        <v>3</v>
      </c>
      <c r="AC33" s="11" t="str">
        <f t="shared" si="79"/>
        <v/>
      </c>
      <c r="AD33" s="11" t="str">
        <f t="shared" si="0"/>
        <v>Tay</v>
      </c>
      <c r="AE33" s="11" t="str">
        <f t="shared" si="1"/>
        <v/>
      </c>
      <c r="AF33" s="11" t="str">
        <f t="shared" si="2"/>
        <v/>
      </c>
      <c r="AG33" s="11" t="str">
        <f t="shared" si="3"/>
        <v>Aziz</v>
      </c>
      <c r="AH33" s="11" t="str">
        <f t="shared" si="4"/>
        <v/>
      </c>
      <c r="AI33" s="11" t="str">
        <f t="shared" si="5"/>
        <v/>
      </c>
      <c r="AJ33" s="11" t="str">
        <f t="shared" si="6"/>
        <v/>
      </c>
      <c r="AK33" s="11" t="str">
        <f t="shared" si="7"/>
        <v>Tay</v>
      </c>
      <c r="AL33" s="11" t="str">
        <f t="shared" si="8"/>
        <v>Tay</v>
      </c>
      <c r="AM33" s="11" t="str">
        <f t="shared" si="9"/>
        <v/>
      </c>
      <c r="AN33" s="11" t="str">
        <f t="shared" si="10"/>
        <v/>
      </c>
      <c r="AO33" s="11" t="str">
        <f t="shared" si="11"/>
        <v/>
      </c>
      <c r="AP33" s="11" t="str">
        <f t="shared" si="11"/>
        <v/>
      </c>
      <c r="AQ33" s="11" t="str">
        <f t="shared" si="12"/>
        <v/>
      </c>
      <c r="AR33" s="11" t="str">
        <f t="shared" si="13"/>
        <v/>
      </c>
      <c r="AS33" s="11" t="str">
        <f t="shared" si="14"/>
        <v/>
      </c>
      <c r="AT33" s="11" t="str">
        <f t="shared" si="15"/>
        <v/>
      </c>
      <c r="AU33" s="55"/>
      <c r="AV33" s="113"/>
      <c r="AW33" s="15">
        <v>3</v>
      </c>
      <c r="AX33" s="29" t="str">
        <f t="shared" si="80"/>
        <v>Thanh</v>
      </c>
      <c r="AY33" s="29" t="str">
        <f t="shared" si="16"/>
        <v>Tay, Huyền</v>
      </c>
      <c r="AZ33" s="29" t="str">
        <f t="shared" si="17"/>
        <v>Linh TH</v>
      </c>
      <c r="BA33" s="29" t="str">
        <f t="shared" si="18"/>
        <v>Hồng</v>
      </c>
      <c r="BB33" s="29" t="str">
        <f t="shared" si="19"/>
        <v>Aziz, Trà</v>
      </c>
      <c r="BC33" s="29" t="str">
        <f t="shared" si="20"/>
        <v>Bích</v>
      </c>
      <c r="BD33" s="29" t="str">
        <f t="shared" si="21"/>
        <v>Nguyên</v>
      </c>
      <c r="BE33" s="29" t="str">
        <f t="shared" si="22"/>
        <v>Phương</v>
      </c>
      <c r="BF33" s="29" t="str">
        <f t="shared" si="23"/>
        <v>Tay, Chánh</v>
      </c>
      <c r="BG33" s="29" t="str">
        <f t="shared" si="24"/>
        <v>Tay, Chánh</v>
      </c>
      <c r="BH33" s="29" t="str">
        <f t="shared" si="25"/>
        <v>Quỳnh</v>
      </c>
      <c r="BI33" s="29" t="str">
        <f t="shared" si="26"/>
        <v>Hiền</v>
      </c>
      <c r="BJ33" s="29" t="str">
        <f t="shared" si="27"/>
        <v>Trang</v>
      </c>
      <c r="BK33" s="29" t="str">
        <f t="shared" si="28"/>
        <v>Trang</v>
      </c>
      <c r="BL33" s="29" t="str">
        <f t="shared" si="29"/>
        <v>Linh</v>
      </c>
      <c r="BM33" s="29" t="str">
        <f t="shared" si="30"/>
        <v/>
      </c>
      <c r="BN33" s="29" t="str">
        <f t="shared" si="31"/>
        <v/>
      </c>
      <c r="BO33" s="29" t="str">
        <f t="shared" si="32"/>
        <v/>
      </c>
      <c r="BP33" s="55"/>
      <c r="BQ33" s="113"/>
      <c r="BR33" s="15">
        <v>3</v>
      </c>
      <c r="BS33" s="29" t="str">
        <f t="shared" si="81"/>
        <v>Thanh</v>
      </c>
      <c r="BT33" s="29" t="str">
        <f t="shared" si="33"/>
        <v>Huyền</v>
      </c>
      <c r="BU33" s="29" t="str">
        <f t="shared" si="34"/>
        <v>Linh TH</v>
      </c>
      <c r="BV33" s="29" t="str">
        <f t="shared" si="35"/>
        <v>Hồng</v>
      </c>
      <c r="BW33" s="29" t="str">
        <f t="shared" si="36"/>
        <v>Trà</v>
      </c>
      <c r="BX33" s="29" t="str">
        <f t="shared" si="37"/>
        <v>Bích</v>
      </c>
      <c r="BY33" s="29" t="str">
        <f t="shared" si="38"/>
        <v>Nguyên</v>
      </c>
      <c r="BZ33" s="29" t="str">
        <f t="shared" si="39"/>
        <v>Phương</v>
      </c>
      <c r="CA33" s="29" t="str">
        <f t="shared" si="40"/>
        <v>Chánh</v>
      </c>
      <c r="CB33" s="29" t="str">
        <f t="shared" si="41"/>
        <v>Chánh</v>
      </c>
      <c r="CC33" s="29" t="str">
        <f t="shared" si="42"/>
        <v>Quỳnh</v>
      </c>
      <c r="CD33" s="29" t="str">
        <f t="shared" si="43"/>
        <v>Hiền</v>
      </c>
      <c r="CE33" s="29" t="str">
        <f t="shared" si="44"/>
        <v>Trang</v>
      </c>
      <c r="CG33" s="55"/>
      <c r="CH33" s="113"/>
      <c r="CI33" s="15">
        <v>3</v>
      </c>
      <c r="CJ33" s="29">
        <f t="shared" si="82"/>
        <v>1</v>
      </c>
      <c r="CK33" s="29">
        <f t="shared" si="45"/>
        <v>1</v>
      </c>
      <c r="CL33" s="29">
        <f t="shared" si="46"/>
        <v>1</v>
      </c>
      <c r="CM33" s="29">
        <f t="shared" si="47"/>
        <v>1</v>
      </c>
      <c r="CN33" s="29">
        <f t="shared" si="48"/>
        <v>1</v>
      </c>
      <c r="CO33" s="29">
        <f t="shared" si="49"/>
        <v>1</v>
      </c>
      <c r="CP33" s="29">
        <f t="shared" si="50"/>
        <v>1</v>
      </c>
      <c r="CQ33" s="29">
        <f t="shared" si="51"/>
        <v>1</v>
      </c>
      <c r="CR33" s="29">
        <f t="shared" si="52"/>
        <v>2</v>
      </c>
      <c r="CS33" s="29">
        <f t="shared" si="53"/>
        <v>2</v>
      </c>
      <c r="CT33" s="29">
        <f t="shared" si="54"/>
        <v>1</v>
      </c>
      <c r="CU33" s="29">
        <f t="shared" si="55"/>
        <v>1</v>
      </c>
      <c r="CV33" s="29">
        <f t="shared" si="56"/>
        <v>1</v>
      </c>
      <c r="CW33" s="29" t="str">
        <f t="shared" si="57"/>
        <v/>
      </c>
      <c r="CX33" s="29" t="str">
        <f t="shared" si="58"/>
        <v/>
      </c>
      <c r="CY33" s="29" t="str">
        <f t="shared" si="59"/>
        <v/>
      </c>
      <c r="CZ33" s="29">
        <f t="shared" si="60"/>
        <v>0</v>
      </c>
      <c r="DA33" s="29">
        <f t="shared" si="61"/>
        <v>0</v>
      </c>
      <c r="DG33" s="66"/>
      <c r="DH33" s="113"/>
      <c r="DI33" s="15">
        <v>3</v>
      </c>
      <c r="DJ33" s="29" t="str">
        <f t="shared" si="83"/>
        <v/>
      </c>
      <c r="DK33" s="29">
        <f t="shared" si="62"/>
        <v>3</v>
      </c>
      <c r="DL33" s="29" t="str">
        <f t="shared" si="63"/>
        <v/>
      </c>
      <c r="DM33" s="29" t="str">
        <f t="shared" si="64"/>
        <v/>
      </c>
      <c r="DN33" s="29">
        <f t="shared" si="65"/>
        <v>1</v>
      </c>
      <c r="DO33" s="29" t="str">
        <f t="shared" si="66"/>
        <v/>
      </c>
      <c r="DP33" s="29" t="str">
        <f t="shared" si="67"/>
        <v/>
      </c>
      <c r="DQ33" s="29" t="str">
        <f t="shared" si="68"/>
        <v/>
      </c>
      <c r="DR33" s="29">
        <f t="shared" si="69"/>
        <v>3</v>
      </c>
      <c r="DS33" s="29">
        <f t="shared" si="70"/>
        <v>3</v>
      </c>
      <c r="DT33" s="29" t="str">
        <f t="shared" si="71"/>
        <v/>
      </c>
      <c r="DU33" s="29" t="str">
        <f t="shared" si="72"/>
        <v/>
      </c>
      <c r="DV33" s="29" t="str">
        <f t="shared" si="73"/>
        <v/>
      </c>
      <c r="DW33" s="29" t="str">
        <f t="shared" si="74"/>
        <v/>
      </c>
      <c r="DX33" s="29" t="str">
        <f t="shared" si="75"/>
        <v/>
      </c>
      <c r="DY33" s="29" t="str">
        <f t="shared" si="76"/>
        <v/>
      </c>
      <c r="DZ33" s="29" t="str">
        <f t="shared" si="77"/>
        <v/>
      </c>
      <c r="EA33" s="29" t="str">
        <f t="shared" si="78"/>
        <v/>
      </c>
    </row>
    <row r="34" spans="5:131" ht="16.7" customHeight="1" x14ac:dyDescent="0.25">
      <c r="E34" s="22"/>
      <c r="F34" s="113"/>
      <c r="G34" s="15">
        <v>4</v>
      </c>
      <c r="H34" s="5" t="str">
        <f>TKB_LOP_SC!D19</f>
        <v>Mĩ thuật - Phương</v>
      </c>
      <c r="I34" s="5" t="str">
        <f>TKB_LOP_SC!F19</f>
        <v>Toán - Phương Anh</v>
      </c>
      <c r="J34" s="5" t="str">
        <f>TKB_LOP_SC!H19</f>
        <v>Robotics - Nguyên</v>
      </c>
      <c r="K34" s="5" t="str">
        <f>TKB_LOP_SC!J19</f>
        <v>GDTC - Hồng</v>
      </c>
      <c r="L34" s="5" t="str">
        <f>TKB_LOP_SC!N19</f>
        <v>Toán - Ngọc</v>
      </c>
      <c r="M34" s="5" t="str">
        <f>TKB_LOP_SC!P19</f>
        <v>TNXH - Nhi</v>
      </c>
      <c r="N34" s="5" t="str">
        <f>TKB_LOP_SC!R19</f>
        <v>GVNN - Tay, Quỳnh</v>
      </c>
      <c r="O34" s="5" t="str">
        <f>TKB_LOP_SC!T19</f>
        <v>Tiếng Trung - Thanh</v>
      </c>
      <c r="P34" s="5" t="str">
        <f>TKB_LOP_SC!W24</f>
        <v>LS&amp;ĐL - Hà</v>
      </c>
      <c r="Q34" s="5" t="str">
        <f>TKB_LOP_SC!Z19</f>
        <v>Đọc sách - Ánh NV</v>
      </c>
      <c r="R34" s="31" t="str">
        <f>TKB_LOP_SC!AB19</f>
        <v>LS&amp;ĐL - Hà</v>
      </c>
      <c r="S34" s="31" t="str">
        <f>TKB_LOP_SC!AD19</f>
        <v>VĐ Ngoài trời - Hiền</v>
      </c>
      <c r="T34" s="29" t="str">
        <f>TKB_LOP_SC!AF19</f>
        <v>VĐ Ngoài trời - MN1</v>
      </c>
      <c r="U34" s="2" t="str">
        <f>TKB_LOP_SC!AJ19</f>
        <v>VĐ Ngoài trời - MN2</v>
      </c>
      <c r="V34" s="2">
        <f>TKB_LOP_SC!AL19</f>
        <v>0</v>
      </c>
      <c r="W34" s="2" t="str">
        <f>TKB_LOP_SC!AN19</f>
        <v>GVVN - Linh</v>
      </c>
      <c r="X34" s="2">
        <f>TKB_LOP_SC!AP19</f>
        <v>0</v>
      </c>
      <c r="Y34" s="2" t="str">
        <f>TKB_LOP_SC!AR19</f>
        <v>GVNN - Aziz, Phượng</v>
      </c>
      <c r="Z34" s="22"/>
      <c r="AA34" s="113"/>
      <c r="AB34" s="15">
        <v>4</v>
      </c>
      <c r="AC34" s="11" t="str">
        <f t="shared" si="79"/>
        <v/>
      </c>
      <c r="AD34" s="11" t="str">
        <f t="shared" si="0"/>
        <v/>
      </c>
      <c r="AE34" s="11" t="str">
        <f t="shared" si="1"/>
        <v/>
      </c>
      <c r="AF34" s="11" t="str">
        <f t="shared" si="2"/>
        <v/>
      </c>
      <c r="AG34" s="11" t="str">
        <f t="shared" si="3"/>
        <v/>
      </c>
      <c r="AH34" s="11" t="str">
        <f t="shared" si="4"/>
        <v/>
      </c>
      <c r="AI34" s="11" t="str">
        <f t="shared" si="5"/>
        <v>Tay</v>
      </c>
      <c r="AJ34" s="11" t="str">
        <f t="shared" si="6"/>
        <v/>
      </c>
      <c r="AK34" s="11" t="str">
        <f t="shared" si="7"/>
        <v/>
      </c>
      <c r="AL34" s="11" t="str">
        <f t="shared" si="8"/>
        <v/>
      </c>
      <c r="AM34" s="11" t="str">
        <f t="shared" si="9"/>
        <v/>
      </c>
      <c r="AN34" s="11" t="str">
        <f t="shared" si="10"/>
        <v/>
      </c>
      <c r="AO34" s="11" t="str">
        <f t="shared" si="11"/>
        <v/>
      </c>
      <c r="AP34" s="11" t="str">
        <f t="shared" si="11"/>
        <v/>
      </c>
      <c r="AQ34" s="11" t="str">
        <f t="shared" si="12"/>
        <v/>
      </c>
      <c r="AR34" s="11" t="str">
        <f t="shared" si="13"/>
        <v/>
      </c>
      <c r="AS34" s="11" t="str">
        <f t="shared" si="14"/>
        <v/>
      </c>
      <c r="AT34" s="11" t="str">
        <f t="shared" si="15"/>
        <v/>
      </c>
      <c r="AU34" s="55"/>
      <c r="AV34" s="113"/>
      <c r="AW34" s="15">
        <v>4</v>
      </c>
      <c r="AX34" s="29" t="str">
        <f t="shared" si="80"/>
        <v>Phương</v>
      </c>
      <c r="AY34" s="29" t="str">
        <f t="shared" si="16"/>
        <v>Phương Anh</v>
      </c>
      <c r="AZ34" s="29" t="str">
        <f t="shared" si="17"/>
        <v>Nguyên</v>
      </c>
      <c r="BA34" s="29" t="str">
        <f t="shared" si="18"/>
        <v>Hồng</v>
      </c>
      <c r="BB34" s="29" t="str">
        <f t="shared" si="19"/>
        <v>Ngọc</v>
      </c>
      <c r="BC34" s="29" t="str">
        <f t="shared" si="20"/>
        <v>Nhi</v>
      </c>
      <c r="BD34" s="29" t="str">
        <f t="shared" si="21"/>
        <v>Tay, Quỳnh</v>
      </c>
      <c r="BE34" s="29" t="str">
        <f t="shared" si="22"/>
        <v>Thanh</v>
      </c>
      <c r="BF34" s="29" t="str">
        <f t="shared" si="23"/>
        <v>Hà</v>
      </c>
      <c r="BG34" s="29" t="str">
        <f t="shared" si="24"/>
        <v>Ánh NV</v>
      </c>
      <c r="BH34" s="29" t="str">
        <f t="shared" si="25"/>
        <v>Hà</v>
      </c>
      <c r="BI34" s="29" t="str">
        <f t="shared" si="26"/>
        <v>Hiền</v>
      </c>
      <c r="BJ34" s="29" t="str">
        <f t="shared" si="27"/>
        <v>MN1</v>
      </c>
      <c r="BK34" s="29" t="str">
        <f t="shared" si="28"/>
        <v>MN2</v>
      </c>
      <c r="BL34" s="29" t="str">
        <f t="shared" si="29"/>
        <v/>
      </c>
      <c r="BM34" s="29" t="str">
        <f t="shared" si="30"/>
        <v>Linh</v>
      </c>
      <c r="BN34" s="29" t="str">
        <f t="shared" si="31"/>
        <v/>
      </c>
      <c r="BO34" s="29" t="str">
        <f t="shared" si="32"/>
        <v>Aziz, Phượng</v>
      </c>
      <c r="BP34" s="55"/>
      <c r="BQ34" s="113"/>
      <c r="BR34" s="15">
        <v>4</v>
      </c>
      <c r="BS34" s="29" t="str">
        <f t="shared" si="81"/>
        <v>Phương</v>
      </c>
      <c r="BT34" s="29" t="str">
        <f t="shared" si="33"/>
        <v>Phương Anh</v>
      </c>
      <c r="BU34" s="29" t="str">
        <f t="shared" si="34"/>
        <v>Nguyên</v>
      </c>
      <c r="BV34" s="29" t="str">
        <f t="shared" si="35"/>
        <v>Hồng</v>
      </c>
      <c r="BW34" s="29" t="str">
        <f t="shared" si="36"/>
        <v>Ngọc</v>
      </c>
      <c r="BX34" s="29" t="str">
        <f t="shared" si="37"/>
        <v>Nhi</v>
      </c>
      <c r="BY34" s="29" t="str">
        <f t="shared" si="38"/>
        <v>Quỳnh</v>
      </c>
      <c r="BZ34" s="29" t="str">
        <f t="shared" si="39"/>
        <v>Thanh</v>
      </c>
      <c r="CA34" s="29" t="str">
        <f t="shared" si="40"/>
        <v>Hà</v>
      </c>
      <c r="CB34" s="29" t="str">
        <f t="shared" si="41"/>
        <v>Ánh NV</v>
      </c>
      <c r="CC34" s="29" t="str">
        <f t="shared" si="42"/>
        <v>Hà</v>
      </c>
      <c r="CD34" s="29" t="str">
        <f t="shared" si="43"/>
        <v>Hiền</v>
      </c>
      <c r="CE34" s="29" t="str">
        <f t="shared" si="44"/>
        <v>MN1</v>
      </c>
      <c r="CG34" s="55"/>
      <c r="CH34" s="113"/>
      <c r="CI34" s="15">
        <v>4</v>
      </c>
      <c r="CJ34" s="29">
        <f t="shared" si="82"/>
        <v>1</v>
      </c>
      <c r="CK34" s="29">
        <f t="shared" si="45"/>
        <v>1</v>
      </c>
      <c r="CL34" s="29">
        <f t="shared" si="46"/>
        <v>1</v>
      </c>
      <c r="CM34" s="29">
        <f t="shared" si="47"/>
        <v>1</v>
      </c>
      <c r="CN34" s="29">
        <f t="shared" si="48"/>
        <v>1</v>
      </c>
      <c r="CO34" s="29">
        <f t="shared" si="49"/>
        <v>1</v>
      </c>
      <c r="CP34" s="29">
        <f t="shared" si="50"/>
        <v>1</v>
      </c>
      <c r="CQ34" s="29">
        <f t="shared" si="51"/>
        <v>1</v>
      </c>
      <c r="CR34" s="29">
        <f t="shared" si="52"/>
        <v>2</v>
      </c>
      <c r="CS34" s="29">
        <f t="shared" si="53"/>
        <v>1</v>
      </c>
      <c r="CT34" s="29">
        <f t="shared" si="54"/>
        <v>2</v>
      </c>
      <c r="CU34" s="29">
        <f t="shared" si="55"/>
        <v>1</v>
      </c>
      <c r="CV34" s="29">
        <f t="shared" si="56"/>
        <v>1</v>
      </c>
      <c r="CW34" s="29" t="str">
        <f t="shared" si="57"/>
        <v/>
      </c>
      <c r="CX34" s="29" t="str">
        <f t="shared" si="58"/>
        <v/>
      </c>
      <c r="CY34" s="29" t="str">
        <f t="shared" si="59"/>
        <v/>
      </c>
      <c r="CZ34" s="29">
        <f t="shared" si="60"/>
        <v>0</v>
      </c>
      <c r="DA34" s="29">
        <f t="shared" si="61"/>
        <v>0</v>
      </c>
      <c r="DG34" s="66"/>
      <c r="DH34" s="113"/>
      <c r="DI34" s="15">
        <v>4</v>
      </c>
      <c r="DJ34" s="29" t="str">
        <f t="shared" si="83"/>
        <v/>
      </c>
      <c r="DK34" s="29" t="str">
        <f t="shared" si="62"/>
        <v/>
      </c>
      <c r="DL34" s="29" t="str">
        <f t="shared" si="63"/>
        <v/>
      </c>
      <c r="DM34" s="29" t="str">
        <f t="shared" si="64"/>
        <v/>
      </c>
      <c r="DN34" s="29" t="str">
        <f t="shared" si="65"/>
        <v/>
      </c>
      <c r="DO34" s="29" t="str">
        <f t="shared" si="66"/>
        <v/>
      </c>
      <c r="DP34" s="29">
        <f t="shared" si="67"/>
        <v>1</v>
      </c>
      <c r="DQ34" s="29" t="str">
        <f t="shared" si="68"/>
        <v/>
      </c>
      <c r="DR34" s="29" t="str">
        <f t="shared" si="69"/>
        <v/>
      </c>
      <c r="DS34" s="29" t="str">
        <f t="shared" si="70"/>
        <v/>
      </c>
      <c r="DT34" s="29" t="str">
        <f t="shared" si="71"/>
        <v/>
      </c>
      <c r="DU34" s="29" t="str">
        <f t="shared" si="72"/>
        <v/>
      </c>
      <c r="DV34" s="29" t="str">
        <f t="shared" si="73"/>
        <v/>
      </c>
      <c r="DW34" s="29" t="str">
        <f t="shared" si="74"/>
        <v/>
      </c>
      <c r="DX34" s="29" t="str">
        <f t="shared" si="75"/>
        <v/>
      </c>
      <c r="DY34" s="29" t="str">
        <f t="shared" si="76"/>
        <v/>
      </c>
      <c r="DZ34" s="29" t="str">
        <f t="shared" si="77"/>
        <v/>
      </c>
      <c r="EA34" s="29" t="str">
        <f t="shared" si="78"/>
        <v/>
      </c>
    </row>
    <row r="35" spans="5:131" ht="16.7" customHeight="1" x14ac:dyDescent="0.25">
      <c r="E35" s="22"/>
      <c r="F35" s="114"/>
      <c r="G35" s="16">
        <v>5</v>
      </c>
      <c r="H35" s="5">
        <f>TKB_LOP_SC!D20</f>
        <v>0</v>
      </c>
      <c r="I35" s="5">
        <f>TKB_LOP_SC!F20</f>
        <v>0</v>
      </c>
      <c r="J35" s="5">
        <f>TKB_LOP_SC!H20</f>
        <v>0</v>
      </c>
      <c r="K35" s="5">
        <f>TKB_LOP_SC!J20</f>
        <v>0</v>
      </c>
      <c r="L35" s="5">
        <f>TKB_LOP_SC!N20</f>
        <v>0</v>
      </c>
      <c r="M35" s="5">
        <f>TKB_LOP_SC!P20</f>
        <v>0</v>
      </c>
      <c r="N35" s="5">
        <f>TKB_LOP_SC!R20</f>
        <v>0</v>
      </c>
      <c r="O35" s="5">
        <f>TKB_LOP_SC!T20</f>
        <v>0</v>
      </c>
      <c r="P35" s="5">
        <f>TKB_LOP_SC!X20</f>
        <v>0</v>
      </c>
      <c r="Q35" s="5">
        <f>TKB_LOP_SC!Z20</f>
        <v>0</v>
      </c>
      <c r="R35" s="31">
        <f>TKB_LOP_SC!AB20</f>
        <v>0</v>
      </c>
      <c r="S35" s="31">
        <f>TKB_LOP_SC!AD20</f>
        <v>0</v>
      </c>
      <c r="T35" s="29">
        <f>TKB_LOP_SC!AF20</f>
        <v>0</v>
      </c>
      <c r="U35" s="29">
        <f>TKB_LOP_SC!AJ20</f>
        <v>0</v>
      </c>
      <c r="V35" s="29">
        <f>TKB_LOP_SC!AL20</f>
        <v>0</v>
      </c>
      <c r="W35" s="29">
        <f>TKB_LOP_SC!AN20</f>
        <v>0</v>
      </c>
      <c r="X35" s="29">
        <f>TKB_LOP_SC!AP20</f>
        <v>0</v>
      </c>
      <c r="Y35" s="29">
        <f>TKB_LOP_SC!AR20</f>
        <v>0</v>
      </c>
      <c r="Z35" s="22"/>
      <c r="AA35" s="114"/>
      <c r="AB35" s="16">
        <v>5</v>
      </c>
      <c r="AC35" s="11" t="str">
        <f t="shared" si="79"/>
        <v/>
      </c>
      <c r="AD35" s="11" t="str">
        <f t="shared" si="0"/>
        <v/>
      </c>
      <c r="AE35" s="11" t="str">
        <f t="shared" si="1"/>
        <v/>
      </c>
      <c r="AF35" s="11" t="str">
        <f t="shared" si="2"/>
        <v/>
      </c>
      <c r="AG35" s="11" t="str">
        <f t="shared" si="3"/>
        <v/>
      </c>
      <c r="AH35" s="11" t="str">
        <f t="shared" si="4"/>
        <v/>
      </c>
      <c r="AI35" s="11" t="str">
        <f t="shared" si="5"/>
        <v/>
      </c>
      <c r="AJ35" s="11" t="str">
        <f t="shared" si="6"/>
        <v/>
      </c>
      <c r="AK35" s="11" t="str">
        <f t="shared" si="7"/>
        <v/>
      </c>
      <c r="AL35" s="11" t="str">
        <f t="shared" si="8"/>
        <v/>
      </c>
      <c r="AM35" s="11" t="str">
        <f t="shared" si="9"/>
        <v/>
      </c>
      <c r="AN35" s="11" t="str">
        <f t="shared" si="10"/>
        <v/>
      </c>
      <c r="AO35" s="11" t="str">
        <f t="shared" si="11"/>
        <v/>
      </c>
      <c r="AP35" s="11" t="str">
        <f t="shared" si="11"/>
        <v/>
      </c>
      <c r="AQ35" s="11" t="str">
        <f t="shared" si="12"/>
        <v/>
      </c>
      <c r="AR35" s="11" t="str">
        <f t="shared" si="13"/>
        <v/>
      </c>
      <c r="AS35" s="11" t="str">
        <f t="shared" si="14"/>
        <v/>
      </c>
      <c r="AT35" s="11" t="str">
        <f t="shared" si="15"/>
        <v/>
      </c>
      <c r="AU35" s="55"/>
      <c r="AV35" s="114"/>
      <c r="AW35" s="16">
        <v>5</v>
      </c>
      <c r="AX35" s="29" t="str">
        <f t="shared" si="80"/>
        <v/>
      </c>
      <c r="AY35" s="29" t="str">
        <f t="shared" si="16"/>
        <v/>
      </c>
      <c r="AZ35" s="29" t="str">
        <f t="shared" si="17"/>
        <v/>
      </c>
      <c r="BA35" s="29" t="str">
        <f t="shared" si="18"/>
        <v/>
      </c>
      <c r="BB35" s="29" t="str">
        <f t="shared" si="19"/>
        <v/>
      </c>
      <c r="BC35" s="29" t="str">
        <f t="shared" si="20"/>
        <v/>
      </c>
      <c r="BD35" s="29" t="str">
        <f t="shared" si="21"/>
        <v/>
      </c>
      <c r="BE35" s="29" t="str">
        <f t="shared" si="22"/>
        <v/>
      </c>
      <c r="BF35" s="29" t="str">
        <f t="shared" si="23"/>
        <v/>
      </c>
      <c r="BG35" s="29" t="str">
        <f t="shared" si="24"/>
        <v/>
      </c>
      <c r="BH35" s="29" t="str">
        <f t="shared" si="25"/>
        <v/>
      </c>
      <c r="BI35" s="29" t="str">
        <f t="shared" si="26"/>
        <v/>
      </c>
      <c r="BJ35" s="29" t="str">
        <f t="shared" si="27"/>
        <v/>
      </c>
      <c r="BK35" s="29" t="str">
        <f t="shared" si="28"/>
        <v/>
      </c>
      <c r="BL35" s="29" t="str">
        <f t="shared" si="29"/>
        <v/>
      </c>
      <c r="BM35" s="29" t="str">
        <f t="shared" si="30"/>
        <v/>
      </c>
      <c r="BN35" s="29" t="str">
        <f t="shared" si="31"/>
        <v/>
      </c>
      <c r="BO35" s="29" t="str">
        <f t="shared" si="32"/>
        <v/>
      </c>
      <c r="BP35" s="55"/>
      <c r="BQ35" s="114"/>
      <c r="BR35" s="16">
        <v>5</v>
      </c>
      <c r="BS35" s="29" t="str">
        <f t="shared" si="81"/>
        <v/>
      </c>
      <c r="BT35" s="29" t="str">
        <f t="shared" si="33"/>
        <v/>
      </c>
      <c r="BU35" s="29" t="str">
        <f t="shared" si="34"/>
        <v/>
      </c>
      <c r="BV35" s="29" t="str">
        <f t="shared" si="35"/>
        <v/>
      </c>
      <c r="BW35" s="29" t="str">
        <f t="shared" si="36"/>
        <v/>
      </c>
      <c r="BX35" s="29" t="str">
        <f t="shared" si="37"/>
        <v/>
      </c>
      <c r="BY35" s="29" t="str">
        <f t="shared" si="38"/>
        <v/>
      </c>
      <c r="BZ35" s="29" t="str">
        <f t="shared" si="39"/>
        <v/>
      </c>
      <c r="CA35" s="29" t="str">
        <f t="shared" si="40"/>
        <v/>
      </c>
      <c r="CB35" s="29" t="str">
        <f t="shared" si="41"/>
        <v/>
      </c>
      <c r="CC35" s="29" t="str">
        <f t="shared" si="42"/>
        <v/>
      </c>
      <c r="CD35" s="29" t="str">
        <f t="shared" si="43"/>
        <v/>
      </c>
      <c r="CE35" s="29" t="str">
        <f t="shared" si="44"/>
        <v/>
      </c>
      <c r="CG35" s="55"/>
      <c r="CH35" s="114"/>
      <c r="CI35" s="16">
        <v>5</v>
      </c>
      <c r="CJ35" s="29" t="str">
        <f t="shared" si="82"/>
        <v/>
      </c>
      <c r="CK35" s="29" t="str">
        <f t="shared" si="45"/>
        <v/>
      </c>
      <c r="CL35" s="29" t="str">
        <f t="shared" si="46"/>
        <v/>
      </c>
      <c r="CM35" s="29" t="str">
        <f t="shared" si="47"/>
        <v/>
      </c>
      <c r="CN35" s="29" t="str">
        <f t="shared" si="48"/>
        <v/>
      </c>
      <c r="CO35" s="29" t="str">
        <f t="shared" si="49"/>
        <v/>
      </c>
      <c r="CP35" s="29" t="str">
        <f t="shared" si="50"/>
        <v/>
      </c>
      <c r="CQ35" s="29" t="str">
        <f t="shared" si="51"/>
        <v/>
      </c>
      <c r="CR35" s="29" t="str">
        <f t="shared" si="52"/>
        <v/>
      </c>
      <c r="CS35" s="29" t="str">
        <f t="shared" si="53"/>
        <v/>
      </c>
      <c r="CT35" s="29" t="str">
        <f t="shared" si="54"/>
        <v/>
      </c>
      <c r="CU35" s="29" t="str">
        <f t="shared" si="55"/>
        <v/>
      </c>
      <c r="CV35" s="29" t="str">
        <f t="shared" si="56"/>
        <v/>
      </c>
      <c r="CW35" s="29" t="str">
        <f t="shared" si="57"/>
        <v/>
      </c>
      <c r="CX35" s="29" t="str">
        <f t="shared" si="58"/>
        <v/>
      </c>
      <c r="CY35" s="29" t="str">
        <f t="shared" si="59"/>
        <v/>
      </c>
      <c r="CZ35" s="29">
        <f t="shared" si="60"/>
        <v>0</v>
      </c>
      <c r="DA35" s="29" t="str">
        <f t="shared" si="61"/>
        <v/>
      </c>
      <c r="DG35" s="66"/>
      <c r="DH35" s="114"/>
      <c r="DI35" s="16">
        <v>5</v>
      </c>
      <c r="DJ35" s="29" t="str">
        <f t="shared" si="83"/>
        <v/>
      </c>
      <c r="DK35" s="29" t="str">
        <f t="shared" si="62"/>
        <v/>
      </c>
      <c r="DL35" s="29" t="str">
        <f t="shared" si="63"/>
        <v/>
      </c>
      <c r="DM35" s="29" t="str">
        <f t="shared" si="64"/>
        <v/>
      </c>
      <c r="DN35" s="29" t="str">
        <f t="shared" si="65"/>
        <v/>
      </c>
      <c r="DO35" s="29" t="str">
        <f t="shared" si="66"/>
        <v/>
      </c>
      <c r="DP35" s="29" t="str">
        <f t="shared" si="67"/>
        <v/>
      </c>
      <c r="DQ35" s="29" t="str">
        <f t="shared" si="68"/>
        <v/>
      </c>
      <c r="DR35" s="29" t="str">
        <f t="shared" si="69"/>
        <v/>
      </c>
      <c r="DS35" s="29" t="str">
        <f t="shared" si="70"/>
        <v/>
      </c>
      <c r="DT35" s="29" t="str">
        <f t="shared" si="71"/>
        <v/>
      </c>
      <c r="DU35" s="29" t="str">
        <f t="shared" si="72"/>
        <v/>
      </c>
      <c r="DV35" s="29" t="str">
        <f t="shared" si="73"/>
        <v/>
      </c>
      <c r="DW35" s="29" t="str">
        <f t="shared" si="74"/>
        <v/>
      </c>
      <c r="DX35" s="29" t="str">
        <f t="shared" si="75"/>
        <v/>
      </c>
      <c r="DY35" s="29" t="str">
        <f t="shared" si="76"/>
        <v/>
      </c>
      <c r="DZ35" s="29" t="str">
        <f t="shared" si="77"/>
        <v/>
      </c>
      <c r="EA35" s="29" t="str">
        <f t="shared" si="78"/>
        <v/>
      </c>
    </row>
    <row r="36" spans="5:131" ht="16.7" customHeight="1" x14ac:dyDescent="0.25">
      <c r="E36" s="109">
        <v>5</v>
      </c>
      <c r="F36" s="112" t="s">
        <v>3</v>
      </c>
      <c r="G36" s="10">
        <v>1</v>
      </c>
      <c r="H36" s="11" t="str">
        <f>TKB_LOP_SC!C21</f>
        <v>GVNN - Aziz, Trang</v>
      </c>
      <c r="I36" s="11" t="str">
        <f>TKB_LOP_SC!E21</f>
        <v>GVVN - Huyền</v>
      </c>
      <c r="J36" s="5" t="str">
        <f>TKB_LOP_SC!G21</f>
        <v>Nhạc - Trang ÂN</v>
      </c>
      <c r="K36" s="11" t="str">
        <f>TKB_LOP_SC!I21</f>
        <v>GVVN - Trà</v>
      </c>
      <c r="L36" s="11" t="str">
        <f>TKB_LOP_SC!M21</f>
        <v>Toán - Ngọc</v>
      </c>
      <c r="M36" s="11" t="str">
        <f>TKB_LOP_SC!O21</f>
        <v>GVNN - Tay, Bích</v>
      </c>
      <c r="N36" s="11" t="str">
        <f>TKB_LOP_SC!Q21</f>
        <v>Toán - Phương Anh</v>
      </c>
      <c r="O36" s="11" t="str">
        <f>TKB_LOP_SC!S21</f>
        <v>GDTC - Hồng</v>
      </c>
      <c r="P36" s="5" t="str">
        <f>TKB_LOP_SC!W21</f>
        <v>KHTN - Nhung</v>
      </c>
      <c r="Q36" s="11" t="str">
        <f>TKB_LOP_SC!Y21</f>
        <v>GVNN - Tay, Chánh</v>
      </c>
      <c r="R36" s="11" t="str">
        <f>TKB_LOP_SC!AA21</f>
        <v>GVVN - Quỳnh</v>
      </c>
      <c r="S36" s="11" t="str">
        <f>TKB_LOP_SC!AC21</f>
        <v>TViệt - Hiền</v>
      </c>
      <c r="T36" s="29" t="str">
        <f>TKB_LOP_SC!AE21</f>
        <v>TViệt - MN1</v>
      </c>
      <c r="U36" s="29" t="str">
        <f>TKB_LOP_SC!AI21</f>
        <v>Tin - Nguyên</v>
      </c>
      <c r="V36" s="29">
        <f>TKB_LOP_SC!AK21</f>
        <v>0</v>
      </c>
      <c r="W36" s="29">
        <f>TKB_LOP_SC!AM21</f>
        <v>0</v>
      </c>
      <c r="X36" s="29" t="str">
        <f>TKB_LOP_SC!AO21</f>
        <v>GVVN - Linh</v>
      </c>
      <c r="Y36" s="29">
        <f>TKB_LOP_SC!AQ21</f>
        <v>0</v>
      </c>
      <c r="Z36" s="109">
        <v>5</v>
      </c>
      <c r="AA36" s="112" t="s">
        <v>3</v>
      </c>
      <c r="AB36" s="10">
        <v>1</v>
      </c>
      <c r="AC36" s="11" t="str">
        <f t="shared" si="79"/>
        <v>Aziz</v>
      </c>
      <c r="AD36" s="11" t="str">
        <f t="shared" si="0"/>
        <v/>
      </c>
      <c r="AE36" s="11" t="str">
        <f t="shared" si="1"/>
        <v/>
      </c>
      <c r="AF36" s="11" t="str">
        <f t="shared" si="2"/>
        <v/>
      </c>
      <c r="AG36" s="11" t="str">
        <f t="shared" si="3"/>
        <v/>
      </c>
      <c r="AH36" s="11" t="str">
        <f t="shared" si="4"/>
        <v>Tay</v>
      </c>
      <c r="AI36" s="11" t="str">
        <f t="shared" si="5"/>
        <v/>
      </c>
      <c r="AJ36" s="11" t="str">
        <f t="shared" si="6"/>
        <v/>
      </c>
      <c r="AK36" s="11" t="str">
        <f t="shared" si="7"/>
        <v/>
      </c>
      <c r="AL36" s="11" t="str">
        <f t="shared" si="8"/>
        <v>Tay</v>
      </c>
      <c r="AM36" s="11" t="str">
        <f t="shared" si="9"/>
        <v/>
      </c>
      <c r="AN36" s="11" t="str">
        <f t="shared" si="10"/>
        <v/>
      </c>
      <c r="AO36" s="11" t="str">
        <f t="shared" si="11"/>
        <v/>
      </c>
      <c r="AP36" s="11" t="str">
        <f t="shared" si="11"/>
        <v/>
      </c>
      <c r="AQ36" s="11" t="str">
        <f t="shared" si="12"/>
        <v/>
      </c>
      <c r="AR36" s="11" t="str">
        <f t="shared" si="13"/>
        <v/>
      </c>
      <c r="AS36" s="11" t="str">
        <f t="shared" si="14"/>
        <v/>
      </c>
      <c r="AT36" s="11" t="str">
        <f t="shared" si="15"/>
        <v/>
      </c>
      <c r="AU36" s="109">
        <v>5</v>
      </c>
      <c r="AV36" s="112" t="s">
        <v>3</v>
      </c>
      <c r="AW36" s="10">
        <v>1</v>
      </c>
      <c r="AX36" s="29" t="str">
        <f t="shared" si="80"/>
        <v>Aziz, Trang</v>
      </c>
      <c r="AY36" s="29" t="str">
        <f t="shared" si="16"/>
        <v>Huyền</v>
      </c>
      <c r="AZ36" s="29" t="str">
        <f t="shared" si="17"/>
        <v>Trang ÂN</v>
      </c>
      <c r="BA36" s="29" t="str">
        <f t="shared" si="18"/>
        <v>Trà</v>
      </c>
      <c r="BB36" s="29" t="str">
        <f t="shared" si="19"/>
        <v>Ngọc</v>
      </c>
      <c r="BC36" s="29" t="str">
        <f t="shared" si="20"/>
        <v>Tay, Bích</v>
      </c>
      <c r="BD36" s="29" t="str">
        <f t="shared" si="21"/>
        <v>Phương Anh</v>
      </c>
      <c r="BE36" s="29" t="str">
        <f t="shared" si="22"/>
        <v>Hồng</v>
      </c>
      <c r="BF36" s="29" t="str">
        <f t="shared" si="23"/>
        <v>Nhung</v>
      </c>
      <c r="BG36" s="29" t="str">
        <f t="shared" si="24"/>
        <v>Tay, Chánh</v>
      </c>
      <c r="BH36" s="29" t="str">
        <f t="shared" si="25"/>
        <v>Quỳnh</v>
      </c>
      <c r="BI36" s="29" t="str">
        <f t="shared" si="26"/>
        <v>Hiền</v>
      </c>
      <c r="BJ36" s="29" t="str">
        <f t="shared" si="27"/>
        <v>MN1</v>
      </c>
      <c r="BK36" s="29" t="str">
        <f t="shared" si="28"/>
        <v>Nguyên</v>
      </c>
      <c r="BL36" s="29" t="str">
        <f t="shared" si="29"/>
        <v/>
      </c>
      <c r="BM36" s="29" t="str">
        <f t="shared" si="30"/>
        <v/>
      </c>
      <c r="BN36" s="29" t="str">
        <f t="shared" si="31"/>
        <v>Linh</v>
      </c>
      <c r="BO36" s="29" t="str">
        <f t="shared" si="32"/>
        <v/>
      </c>
      <c r="BP36" s="109">
        <v>5</v>
      </c>
      <c r="BQ36" s="112" t="s">
        <v>3</v>
      </c>
      <c r="BR36" s="10">
        <v>1</v>
      </c>
      <c r="BS36" s="29" t="str">
        <f t="shared" si="81"/>
        <v>Trang</v>
      </c>
      <c r="BT36" s="29" t="str">
        <f t="shared" si="33"/>
        <v>Huyền</v>
      </c>
      <c r="BU36" s="29" t="str">
        <f t="shared" si="34"/>
        <v>Trang ÂN</v>
      </c>
      <c r="BV36" s="29" t="str">
        <f t="shared" si="35"/>
        <v>Trà</v>
      </c>
      <c r="BW36" s="29" t="str">
        <f t="shared" si="36"/>
        <v>Ngọc</v>
      </c>
      <c r="BX36" s="29" t="str">
        <f t="shared" si="37"/>
        <v>Bích</v>
      </c>
      <c r="BY36" s="29" t="str">
        <f t="shared" si="38"/>
        <v>Phương Anh</v>
      </c>
      <c r="BZ36" s="29" t="str">
        <f t="shared" si="39"/>
        <v>Hồng</v>
      </c>
      <c r="CA36" s="29" t="str">
        <f t="shared" si="40"/>
        <v>Nhung</v>
      </c>
      <c r="CB36" s="29" t="str">
        <f t="shared" si="41"/>
        <v>Chánh</v>
      </c>
      <c r="CC36" s="29" t="str">
        <f t="shared" si="42"/>
        <v>Quỳnh</v>
      </c>
      <c r="CD36" s="29" t="str">
        <f t="shared" si="43"/>
        <v>Hiền</v>
      </c>
      <c r="CE36" s="29" t="str">
        <f t="shared" si="44"/>
        <v>MN1</v>
      </c>
      <c r="CG36" s="109">
        <v>5</v>
      </c>
      <c r="CH36" s="112" t="s">
        <v>3</v>
      </c>
      <c r="CI36" s="10">
        <v>1</v>
      </c>
      <c r="CJ36" s="29">
        <f t="shared" si="82"/>
        <v>1</v>
      </c>
      <c r="CK36" s="29">
        <f t="shared" si="45"/>
        <v>1</v>
      </c>
      <c r="CL36" s="29">
        <f t="shared" si="46"/>
        <v>1</v>
      </c>
      <c r="CM36" s="29">
        <f t="shared" si="47"/>
        <v>1</v>
      </c>
      <c r="CN36" s="29">
        <f t="shared" si="48"/>
        <v>1</v>
      </c>
      <c r="CO36" s="29">
        <f t="shared" si="49"/>
        <v>1</v>
      </c>
      <c r="CP36" s="29">
        <f t="shared" si="50"/>
        <v>1</v>
      </c>
      <c r="CQ36" s="29">
        <f t="shared" si="51"/>
        <v>1</v>
      </c>
      <c r="CR36" s="29">
        <f t="shared" si="52"/>
        <v>1</v>
      </c>
      <c r="CS36" s="29">
        <f t="shared" si="53"/>
        <v>1</v>
      </c>
      <c r="CT36" s="29">
        <f t="shared" si="54"/>
        <v>1</v>
      </c>
      <c r="CU36" s="29">
        <f t="shared" si="55"/>
        <v>1</v>
      </c>
      <c r="CV36" s="29">
        <f t="shared" si="56"/>
        <v>1</v>
      </c>
      <c r="CW36" s="29" t="str">
        <f t="shared" si="57"/>
        <v/>
      </c>
      <c r="CX36" s="29">
        <f t="shared" si="58"/>
        <v>0</v>
      </c>
      <c r="CY36" s="29">
        <f t="shared" si="59"/>
        <v>0</v>
      </c>
      <c r="CZ36" s="29">
        <f t="shared" si="60"/>
        <v>0</v>
      </c>
      <c r="DA36" s="29">
        <f t="shared" si="61"/>
        <v>0</v>
      </c>
      <c r="DG36" s="109">
        <v>5</v>
      </c>
      <c r="DH36" s="112" t="s">
        <v>3</v>
      </c>
      <c r="DI36" s="10">
        <v>1</v>
      </c>
      <c r="DJ36" s="29">
        <f t="shared" si="83"/>
        <v>1</v>
      </c>
      <c r="DK36" s="29" t="str">
        <f t="shared" si="62"/>
        <v/>
      </c>
      <c r="DL36" s="29" t="str">
        <f t="shared" si="63"/>
        <v/>
      </c>
      <c r="DM36" s="29" t="str">
        <f t="shared" si="64"/>
        <v/>
      </c>
      <c r="DN36" s="29" t="str">
        <f t="shared" si="65"/>
        <v/>
      </c>
      <c r="DO36" s="29">
        <f t="shared" si="66"/>
        <v>2</v>
      </c>
      <c r="DP36" s="29" t="str">
        <f t="shared" si="67"/>
        <v/>
      </c>
      <c r="DQ36" s="29" t="str">
        <f t="shared" si="68"/>
        <v/>
      </c>
      <c r="DR36" s="29" t="str">
        <f t="shared" si="69"/>
        <v/>
      </c>
      <c r="DS36" s="29">
        <f t="shared" si="70"/>
        <v>2</v>
      </c>
      <c r="DT36" s="29" t="str">
        <f t="shared" si="71"/>
        <v/>
      </c>
      <c r="DU36" s="29" t="str">
        <f t="shared" si="72"/>
        <v/>
      </c>
      <c r="DV36" s="29" t="str">
        <f t="shared" si="73"/>
        <v/>
      </c>
      <c r="DW36" s="29" t="str">
        <f t="shared" si="74"/>
        <v/>
      </c>
      <c r="DX36" s="29" t="str">
        <f t="shared" si="75"/>
        <v/>
      </c>
      <c r="DY36" s="29" t="str">
        <f t="shared" si="76"/>
        <v/>
      </c>
      <c r="DZ36" s="29" t="str">
        <f t="shared" si="77"/>
        <v/>
      </c>
      <c r="EA36" s="29" t="str">
        <f t="shared" si="78"/>
        <v/>
      </c>
    </row>
    <row r="37" spans="5:131" ht="16.7" customHeight="1" x14ac:dyDescent="0.25">
      <c r="E37" s="110"/>
      <c r="F37" s="113"/>
      <c r="G37" s="15">
        <v>2</v>
      </c>
      <c r="H37" s="11" t="str">
        <f>TKB_LOP_SC!C22</f>
        <v>Robotics - Nguyên</v>
      </c>
      <c r="I37" s="11" t="str">
        <f>TKB_LOP_SC!E22</f>
        <v>GVNN - Tay, Huyền</v>
      </c>
      <c r="J37" s="5" t="str">
        <f>TKB_LOP_SC!G22</f>
        <v>GVNN - Aziz, Trang</v>
      </c>
      <c r="K37" s="11" t="str">
        <f>TKB_LOP_SC!I22</f>
        <v>Toán - Chi</v>
      </c>
      <c r="L37" s="11" t="str">
        <f>TKB_LOP_SC!M22</f>
        <v>TViệt - Ngọc</v>
      </c>
      <c r="M37" s="11" t="str">
        <f>TKB_LOP_SC!O22</f>
        <v>Nhạc - Trang ÂN</v>
      </c>
      <c r="N37" s="11" t="str">
        <f>TKB_LOP_SC!Q22</f>
        <v>Science - Quỳnh</v>
      </c>
      <c r="O37" s="11" t="str">
        <f>TKB_LOP_SC!S22</f>
        <v>GDTC - Hồng</v>
      </c>
      <c r="P37" s="5" t="str">
        <f>TKB_LOP_SC!W22</f>
        <v>KHTN - Nhung</v>
      </c>
      <c r="Q37" s="11" t="str">
        <f>TKB_LOP_SC!Y22</f>
        <v>Toán - Tân</v>
      </c>
      <c r="R37" s="11" t="str">
        <f>TKB_LOP_SC!AA22</f>
        <v>LS&amp;ĐL - Hà</v>
      </c>
      <c r="S37" s="11" t="str">
        <f>TKB_LOP_SC!AC22</f>
        <v>Vận động theo nhạc - Hiền</v>
      </c>
      <c r="T37" s="29" t="str">
        <f>TKB_LOP_SC!AE22</f>
        <v>Cảm xúc xã hội - MN1</v>
      </c>
      <c r="U37" s="2" t="str">
        <f>TKB_LOP_SC!AI22</f>
        <v>TViệt - MN2</v>
      </c>
      <c r="V37" s="2">
        <f>TKB_LOP_SC!AK22</f>
        <v>0</v>
      </c>
      <c r="W37" s="2" t="str">
        <f>TKB_LOP_SC!AM22</f>
        <v>GVVN - Linh</v>
      </c>
      <c r="X37" s="2">
        <f>TKB_LOP_SC!AO22</f>
        <v>0</v>
      </c>
      <c r="Y37" s="2">
        <f>TKB_LOP_SC!AQ22</f>
        <v>0</v>
      </c>
      <c r="Z37" s="110"/>
      <c r="AA37" s="113"/>
      <c r="AB37" s="15">
        <v>2</v>
      </c>
      <c r="AC37" s="11" t="str">
        <f t="shared" si="79"/>
        <v/>
      </c>
      <c r="AD37" s="11" t="str">
        <f t="shared" si="0"/>
        <v>Tay</v>
      </c>
      <c r="AE37" s="11" t="str">
        <f t="shared" si="1"/>
        <v>Aziz</v>
      </c>
      <c r="AF37" s="11" t="str">
        <f t="shared" si="2"/>
        <v/>
      </c>
      <c r="AG37" s="11" t="str">
        <f t="shared" si="3"/>
        <v/>
      </c>
      <c r="AH37" s="11" t="str">
        <f t="shared" si="4"/>
        <v/>
      </c>
      <c r="AI37" s="11" t="str">
        <f t="shared" si="5"/>
        <v/>
      </c>
      <c r="AJ37" s="11" t="str">
        <f t="shared" si="6"/>
        <v/>
      </c>
      <c r="AK37" s="11" t="str">
        <f t="shared" si="7"/>
        <v/>
      </c>
      <c r="AL37" s="11" t="str">
        <f t="shared" si="8"/>
        <v/>
      </c>
      <c r="AM37" s="11" t="str">
        <f t="shared" si="9"/>
        <v/>
      </c>
      <c r="AN37" s="11" t="str">
        <f t="shared" si="10"/>
        <v/>
      </c>
      <c r="AO37" s="11" t="str">
        <f t="shared" si="11"/>
        <v/>
      </c>
      <c r="AP37" s="11" t="str">
        <f t="shared" si="11"/>
        <v/>
      </c>
      <c r="AQ37" s="11" t="str">
        <f t="shared" si="12"/>
        <v/>
      </c>
      <c r="AR37" s="11" t="str">
        <f t="shared" si="13"/>
        <v/>
      </c>
      <c r="AS37" s="11" t="str">
        <f t="shared" si="14"/>
        <v/>
      </c>
      <c r="AT37" s="11" t="str">
        <f t="shared" si="15"/>
        <v/>
      </c>
      <c r="AU37" s="110"/>
      <c r="AV37" s="113"/>
      <c r="AW37" s="15">
        <v>2</v>
      </c>
      <c r="AX37" s="29" t="str">
        <f t="shared" si="80"/>
        <v>Nguyên</v>
      </c>
      <c r="AY37" s="29" t="str">
        <f t="shared" si="16"/>
        <v>Tay, Huyền</v>
      </c>
      <c r="AZ37" s="29" t="str">
        <f t="shared" si="17"/>
        <v>Aziz, Trang</v>
      </c>
      <c r="BA37" s="29" t="str">
        <f t="shared" si="18"/>
        <v>Chi</v>
      </c>
      <c r="BB37" s="29" t="str">
        <f t="shared" si="19"/>
        <v>Ngọc</v>
      </c>
      <c r="BC37" s="29" t="str">
        <f t="shared" si="20"/>
        <v>Trang ÂN</v>
      </c>
      <c r="BD37" s="29" t="str">
        <f t="shared" si="21"/>
        <v>Quỳnh</v>
      </c>
      <c r="BE37" s="29" t="str">
        <f t="shared" si="22"/>
        <v>Hồng</v>
      </c>
      <c r="BF37" s="29" t="str">
        <f t="shared" si="23"/>
        <v>Nhung</v>
      </c>
      <c r="BG37" s="29" t="str">
        <f t="shared" si="24"/>
        <v>Tân</v>
      </c>
      <c r="BH37" s="29" t="str">
        <f t="shared" si="25"/>
        <v>Hà</v>
      </c>
      <c r="BI37" s="29" t="str">
        <f t="shared" si="26"/>
        <v>Hiền</v>
      </c>
      <c r="BJ37" s="29" t="str">
        <f t="shared" si="27"/>
        <v>MN1</v>
      </c>
      <c r="BK37" s="29" t="str">
        <f t="shared" si="28"/>
        <v>MN2</v>
      </c>
      <c r="BL37" s="29" t="str">
        <f t="shared" si="29"/>
        <v/>
      </c>
      <c r="BM37" s="29" t="str">
        <f t="shared" si="30"/>
        <v>Linh</v>
      </c>
      <c r="BN37" s="29" t="str">
        <f t="shared" si="31"/>
        <v/>
      </c>
      <c r="BO37" s="29" t="str">
        <f t="shared" si="32"/>
        <v/>
      </c>
      <c r="BP37" s="110"/>
      <c r="BQ37" s="113"/>
      <c r="BR37" s="15">
        <v>2</v>
      </c>
      <c r="BS37" s="29" t="str">
        <f t="shared" si="81"/>
        <v>Nguyên</v>
      </c>
      <c r="BT37" s="29" t="str">
        <f t="shared" si="33"/>
        <v>Huyền</v>
      </c>
      <c r="BU37" s="29" t="str">
        <f t="shared" si="34"/>
        <v>Trang</v>
      </c>
      <c r="BV37" s="29" t="str">
        <f t="shared" si="35"/>
        <v>Chi</v>
      </c>
      <c r="BW37" s="29" t="str">
        <f t="shared" si="36"/>
        <v>Ngọc</v>
      </c>
      <c r="BX37" s="29" t="str">
        <f t="shared" si="37"/>
        <v>Trang ÂN</v>
      </c>
      <c r="BY37" s="29" t="str">
        <f t="shared" si="38"/>
        <v>Quỳnh</v>
      </c>
      <c r="BZ37" s="29" t="str">
        <f t="shared" si="39"/>
        <v>Hồng</v>
      </c>
      <c r="CA37" s="29" t="str">
        <f t="shared" si="40"/>
        <v>Nhung</v>
      </c>
      <c r="CB37" s="29" t="str">
        <f t="shared" si="41"/>
        <v>Tân</v>
      </c>
      <c r="CC37" s="29" t="str">
        <f t="shared" si="42"/>
        <v>Hà</v>
      </c>
      <c r="CD37" s="29" t="str">
        <f t="shared" si="43"/>
        <v>Hiền</v>
      </c>
      <c r="CE37" s="29" t="str">
        <f t="shared" si="44"/>
        <v>MN1</v>
      </c>
      <c r="CG37" s="110"/>
      <c r="CH37" s="113"/>
      <c r="CI37" s="15">
        <v>2</v>
      </c>
      <c r="CJ37" s="29">
        <f t="shared" si="82"/>
        <v>1</v>
      </c>
      <c r="CK37" s="29">
        <f t="shared" si="45"/>
        <v>1</v>
      </c>
      <c r="CL37" s="29">
        <f t="shared" si="46"/>
        <v>1</v>
      </c>
      <c r="CM37" s="29">
        <f t="shared" si="47"/>
        <v>1</v>
      </c>
      <c r="CN37" s="29">
        <f t="shared" si="48"/>
        <v>1</v>
      </c>
      <c r="CO37" s="29">
        <f t="shared" si="49"/>
        <v>1</v>
      </c>
      <c r="CP37" s="29">
        <f t="shared" si="50"/>
        <v>1</v>
      </c>
      <c r="CQ37" s="29">
        <f t="shared" si="51"/>
        <v>1</v>
      </c>
      <c r="CR37" s="29">
        <f t="shared" si="52"/>
        <v>1</v>
      </c>
      <c r="CS37" s="29">
        <f t="shared" si="53"/>
        <v>1</v>
      </c>
      <c r="CT37" s="29">
        <f t="shared" si="54"/>
        <v>1</v>
      </c>
      <c r="CU37" s="29">
        <f t="shared" si="55"/>
        <v>1</v>
      </c>
      <c r="CV37" s="29">
        <f t="shared" si="56"/>
        <v>1</v>
      </c>
      <c r="CW37" s="29" t="str">
        <f t="shared" si="57"/>
        <v/>
      </c>
      <c r="CX37" s="29" t="str">
        <f t="shared" si="58"/>
        <v/>
      </c>
      <c r="CY37" s="29" t="str">
        <f t="shared" si="59"/>
        <v/>
      </c>
      <c r="CZ37" s="29">
        <f t="shared" si="60"/>
        <v>0</v>
      </c>
      <c r="DA37" s="29">
        <f t="shared" si="61"/>
        <v>0</v>
      </c>
      <c r="DG37" s="110"/>
      <c r="DH37" s="113"/>
      <c r="DI37" s="15">
        <v>2</v>
      </c>
      <c r="DJ37" s="29" t="str">
        <f t="shared" si="83"/>
        <v/>
      </c>
      <c r="DK37" s="29">
        <f t="shared" si="62"/>
        <v>1</v>
      </c>
      <c r="DL37" s="29">
        <f t="shared" si="63"/>
        <v>1</v>
      </c>
      <c r="DM37" s="29" t="str">
        <f t="shared" si="64"/>
        <v/>
      </c>
      <c r="DN37" s="29" t="str">
        <f t="shared" si="65"/>
        <v/>
      </c>
      <c r="DO37" s="29" t="str">
        <f t="shared" si="66"/>
        <v/>
      </c>
      <c r="DP37" s="29" t="str">
        <f t="shared" si="67"/>
        <v/>
      </c>
      <c r="DQ37" s="29" t="str">
        <f t="shared" si="68"/>
        <v/>
      </c>
      <c r="DR37" s="29" t="str">
        <f t="shared" si="69"/>
        <v/>
      </c>
      <c r="DS37" s="29" t="str">
        <f t="shared" si="70"/>
        <v/>
      </c>
      <c r="DT37" s="29" t="str">
        <f t="shared" si="71"/>
        <v/>
      </c>
      <c r="DU37" s="29" t="str">
        <f t="shared" si="72"/>
        <v/>
      </c>
      <c r="DV37" s="29" t="str">
        <f t="shared" si="73"/>
        <v/>
      </c>
      <c r="DW37" s="29" t="str">
        <f t="shared" si="74"/>
        <v/>
      </c>
      <c r="DX37" s="29" t="str">
        <f t="shared" si="75"/>
        <v/>
      </c>
      <c r="DY37" s="29" t="str">
        <f t="shared" si="76"/>
        <v/>
      </c>
      <c r="DZ37" s="29" t="str">
        <f t="shared" si="77"/>
        <v/>
      </c>
      <c r="EA37" s="29" t="str">
        <f t="shared" si="78"/>
        <v/>
      </c>
    </row>
    <row r="38" spans="5:131" ht="16.7" customHeight="1" x14ac:dyDescent="0.25">
      <c r="E38" s="110"/>
      <c r="F38" s="113"/>
      <c r="G38" s="15">
        <v>3</v>
      </c>
      <c r="H38" s="11" t="str">
        <f>TKB_LOP_SC!C23</f>
        <v>GDTC - Hồng</v>
      </c>
      <c r="I38" s="11" t="str">
        <f>TKB_LOP_SC!E23</f>
        <v>Toán - Phương Anh</v>
      </c>
      <c r="J38" s="5" t="str">
        <f>TKB_LOP_SC!G23</f>
        <v>TDNN - Linh TH</v>
      </c>
      <c r="K38" s="11" t="str">
        <f>TKB_LOP_SC!I23</f>
        <v>Nhạc - Trang ÂN</v>
      </c>
      <c r="L38" s="11" t="str">
        <f>TKB_LOP_SC!M23</f>
        <v>GVNN - Aziz, Trà</v>
      </c>
      <c r="M38" s="11" t="str">
        <f>TKB_LOP_SC!O23</f>
        <v>Toán - Chi</v>
      </c>
      <c r="N38" s="11" t="str">
        <f>TKB_LOP_SC!Q23</f>
        <v>TViệt - Ly</v>
      </c>
      <c r="O38" s="11" t="str">
        <f>TKB_LOP_SC!S23</f>
        <v>GVVN - Bích</v>
      </c>
      <c r="P38" s="5" t="e">
        <f>TKB_LOP_SC!#REF!</f>
        <v>#REF!</v>
      </c>
      <c r="Q38" s="11" t="str">
        <f>TKB_LOP_SC!Y23</f>
        <v>KHTN - Nhung</v>
      </c>
      <c r="R38" s="11" t="str">
        <f>TKB_LOP_SC!AA23</f>
        <v>Văn - Ánh NV</v>
      </c>
      <c r="S38" s="11" t="str">
        <f>TKB_LOP_SC!AC23</f>
        <v>TViệt - Hiền</v>
      </c>
      <c r="T38" s="29" t="str">
        <f>TKB_LOP_SC!AE23</f>
        <v>GVVN - Trang</v>
      </c>
      <c r="U38" s="2" t="str">
        <f>TKB_LOP_SC!AI23</f>
        <v>GVVN - Trang</v>
      </c>
      <c r="V38" s="2" t="str">
        <f>TKB_LOP_SC!AK23</f>
        <v>GVVN - Linh</v>
      </c>
      <c r="W38" s="2">
        <f>TKB_LOP_SC!AM23</f>
        <v>0</v>
      </c>
      <c r="X38" s="2">
        <f>TKB_LOP_SC!AO23</f>
        <v>0</v>
      </c>
      <c r="Y38" s="2">
        <f>TKB_LOP_SC!AQ23</f>
        <v>0</v>
      </c>
      <c r="Z38" s="110"/>
      <c r="AA38" s="113"/>
      <c r="AB38" s="15">
        <v>3</v>
      </c>
      <c r="AC38" s="11" t="str">
        <f t="shared" si="79"/>
        <v/>
      </c>
      <c r="AD38" s="11" t="str">
        <f t="shared" si="0"/>
        <v/>
      </c>
      <c r="AE38" s="11" t="str">
        <f t="shared" si="1"/>
        <v/>
      </c>
      <c r="AF38" s="11" t="str">
        <f t="shared" si="2"/>
        <v/>
      </c>
      <c r="AG38" s="11" t="str">
        <f t="shared" si="3"/>
        <v>Aziz</v>
      </c>
      <c r="AH38" s="11" t="str">
        <f t="shared" si="4"/>
        <v/>
      </c>
      <c r="AI38" s="11" t="str">
        <f t="shared" si="5"/>
        <v/>
      </c>
      <c r="AJ38" s="11" t="str">
        <f t="shared" si="6"/>
        <v/>
      </c>
      <c r="AK38" s="11" t="str">
        <f t="shared" si="7"/>
        <v/>
      </c>
      <c r="AL38" s="11" t="str">
        <f t="shared" si="8"/>
        <v/>
      </c>
      <c r="AM38" s="11" t="str">
        <f t="shared" si="9"/>
        <v/>
      </c>
      <c r="AN38" s="11" t="str">
        <f t="shared" si="10"/>
        <v/>
      </c>
      <c r="AO38" s="11" t="str">
        <f t="shared" si="11"/>
        <v/>
      </c>
      <c r="AP38" s="11" t="str">
        <f t="shared" si="11"/>
        <v/>
      </c>
      <c r="AQ38" s="11" t="str">
        <f t="shared" si="12"/>
        <v/>
      </c>
      <c r="AR38" s="11" t="str">
        <f t="shared" si="13"/>
        <v/>
      </c>
      <c r="AS38" s="11" t="str">
        <f t="shared" si="14"/>
        <v/>
      </c>
      <c r="AT38" s="11" t="str">
        <f t="shared" si="15"/>
        <v/>
      </c>
      <c r="AU38" s="110"/>
      <c r="AV38" s="113"/>
      <c r="AW38" s="15">
        <v>3</v>
      </c>
      <c r="AX38" s="29" t="str">
        <f t="shared" si="80"/>
        <v>Hồng</v>
      </c>
      <c r="AY38" s="29" t="str">
        <f t="shared" si="16"/>
        <v>Phương Anh</v>
      </c>
      <c r="AZ38" s="29" t="str">
        <f t="shared" si="17"/>
        <v>Linh TH</v>
      </c>
      <c r="BA38" s="29" t="str">
        <f t="shared" si="18"/>
        <v>Trang ÂN</v>
      </c>
      <c r="BB38" s="29" t="str">
        <f t="shared" si="19"/>
        <v>Aziz, Trà</v>
      </c>
      <c r="BC38" s="29" t="str">
        <f t="shared" si="20"/>
        <v>Chi</v>
      </c>
      <c r="BD38" s="29" t="str">
        <f t="shared" si="21"/>
        <v>Ly</v>
      </c>
      <c r="BE38" s="29" t="str">
        <f t="shared" si="22"/>
        <v>Bích</v>
      </c>
      <c r="BF38" s="29" t="str">
        <f t="shared" si="23"/>
        <v/>
      </c>
      <c r="BG38" s="29" t="str">
        <f t="shared" si="24"/>
        <v>Nhung</v>
      </c>
      <c r="BH38" s="29" t="str">
        <f t="shared" si="25"/>
        <v>Ánh NV</v>
      </c>
      <c r="BI38" s="29" t="str">
        <f t="shared" si="26"/>
        <v>Hiền</v>
      </c>
      <c r="BJ38" s="29" t="str">
        <f t="shared" ref="BJ38:BJ55" si="84">IFERROR(RIGHT(T38,LEN(T38)-FIND("-",T38)-1),"")</f>
        <v>Trang</v>
      </c>
      <c r="BK38" s="29" t="str">
        <f t="shared" ref="BK38:BK55" si="85">IFERROR(RIGHT(U38,LEN(U38)-FIND("-",U38)-1),"")</f>
        <v>Trang</v>
      </c>
      <c r="BL38" s="29" t="str">
        <f t="shared" si="29"/>
        <v>Linh</v>
      </c>
      <c r="BM38" s="29" t="str">
        <f t="shared" si="30"/>
        <v/>
      </c>
      <c r="BN38" s="29" t="str">
        <f t="shared" si="31"/>
        <v/>
      </c>
      <c r="BO38" s="29" t="str">
        <f t="shared" si="32"/>
        <v/>
      </c>
      <c r="BP38" s="110"/>
      <c r="BQ38" s="113"/>
      <c r="BR38" s="15">
        <v>3</v>
      </c>
      <c r="BS38" s="29" t="str">
        <f t="shared" si="81"/>
        <v>Hồng</v>
      </c>
      <c r="BT38" s="29" t="str">
        <f t="shared" si="33"/>
        <v>Phương Anh</v>
      </c>
      <c r="BU38" s="29" t="str">
        <f t="shared" si="34"/>
        <v>Linh TH</v>
      </c>
      <c r="BV38" s="29" t="str">
        <f t="shared" si="35"/>
        <v>Trang ÂN</v>
      </c>
      <c r="BW38" s="29" t="str">
        <f t="shared" si="36"/>
        <v>Trà</v>
      </c>
      <c r="BX38" s="29" t="str">
        <f t="shared" si="37"/>
        <v>Chi</v>
      </c>
      <c r="BY38" s="29" t="str">
        <f t="shared" si="38"/>
        <v>Ly</v>
      </c>
      <c r="BZ38" s="29" t="str">
        <f t="shared" si="39"/>
        <v>Bích</v>
      </c>
      <c r="CA38" s="29" t="str">
        <f t="shared" si="40"/>
        <v/>
      </c>
      <c r="CB38" s="29" t="str">
        <f t="shared" si="41"/>
        <v>Nhung</v>
      </c>
      <c r="CC38" s="29" t="str">
        <f t="shared" si="42"/>
        <v>Ánh NV</v>
      </c>
      <c r="CD38" s="29" t="str">
        <f t="shared" si="43"/>
        <v>Hiền</v>
      </c>
      <c r="CE38" s="29" t="str">
        <f t="shared" si="44"/>
        <v>Trang</v>
      </c>
      <c r="CG38" s="110"/>
      <c r="CH38" s="113"/>
      <c r="CI38" s="15">
        <v>3</v>
      </c>
      <c r="CJ38" s="29">
        <f t="shared" si="82"/>
        <v>1</v>
      </c>
      <c r="CK38" s="29">
        <f t="shared" si="45"/>
        <v>1</v>
      </c>
      <c r="CL38" s="29">
        <f t="shared" si="46"/>
        <v>1</v>
      </c>
      <c r="CM38" s="29">
        <f t="shared" si="47"/>
        <v>1</v>
      </c>
      <c r="CN38" s="29">
        <f t="shared" si="48"/>
        <v>1</v>
      </c>
      <c r="CO38" s="29">
        <f t="shared" si="49"/>
        <v>1</v>
      </c>
      <c r="CP38" s="29">
        <f t="shared" si="50"/>
        <v>1</v>
      </c>
      <c r="CQ38" s="29">
        <f t="shared" si="51"/>
        <v>1</v>
      </c>
      <c r="CR38" s="29" t="str">
        <f t="shared" si="52"/>
        <v/>
      </c>
      <c r="CS38" s="29">
        <f t="shared" si="53"/>
        <v>1</v>
      </c>
      <c r="CT38" s="29">
        <f t="shared" si="54"/>
        <v>1</v>
      </c>
      <c r="CU38" s="29">
        <f t="shared" si="55"/>
        <v>1</v>
      </c>
      <c r="CV38" s="29">
        <f t="shared" si="56"/>
        <v>1</v>
      </c>
      <c r="CW38" s="29" t="str">
        <f t="shared" si="57"/>
        <v/>
      </c>
      <c r="CX38" s="29" t="str">
        <f t="shared" si="58"/>
        <v/>
      </c>
      <c r="CY38" s="29" t="str">
        <f t="shared" si="59"/>
        <v/>
      </c>
      <c r="CZ38" s="29">
        <f t="shared" si="60"/>
        <v>0</v>
      </c>
      <c r="DA38" s="29">
        <f t="shared" si="61"/>
        <v>0</v>
      </c>
      <c r="DG38" s="110"/>
      <c r="DH38" s="113"/>
      <c r="DI38" s="15">
        <v>3</v>
      </c>
      <c r="DJ38" s="29" t="str">
        <f t="shared" si="83"/>
        <v/>
      </c>
      <c r="DK38" s="29" t="str">
        <f t="shared" si="62"/>
        <v/>
      </c>
      <c r="DL38" s="29" t="str">
        <f t="shared" si="63"/>
        <v/>
      </c>
      <c r="DM38" s="29" t="str">
        <f t="shared" si="64"/>
        <v/>
      </c>
      <c r="DN38" s="29">
        <f t="shared" si="65"/>
        <v>1</v>
      </c>
      <c r="DO38" s="29" t="str">
        <f t="shared" si="66"/>
        <v/>
      </c>
      <c r="DP38" s="29" t="str">
        <f t="shared" si="67"/>
        <v/>
      </c>
      <c r="DQ38" s="29" t="str">
        <f t="shared" si="68"/>
        <v/>
      </c>
      <c r="DR38" s="29" t="str">
        <f t="shared" si="69"/>
        <v/>
      </c>
      <c r="DS38" s="29" t="str">
        <f t="shared" si="70"/>
        <v/>
      </c>
      <c r="DT38" s="29" t="str">
        <f t="shared" si="71"/>
        <v/>
      </c>
      <c r="DU38" s="29" t="str">
        <f t="shared" si="72"/>
        <v/>
      </c>
      <c r="DV38" s="29" t="str">
        <f t="shared" si="73"/>
        <v/>
      </c>
      <c r="DW38" s="29" t="str">
        <f t="shared" si="74"/>
        <v/>
      </c>
      <c r="DX38" s="29" t="str">
        <f t="shared" si="75"/>
        <v/>
      </c>
      <c r="DY38" s="29" t="str">
        <f t="shared" si="76"/>
        <v/>
      </c>
      <c r="DZ38" s="29" t="str">
        <f t="shared" si="77"/>
        <v/>
      </c>
      <c r="EA38" s="29" t="str">
        <f t="shared" si="78"/>
        <v/>
      </c>
    </row>
    <row r="39" spans="5:131" ht="16.7" customHeight="1" x14ac:dyDescent="0.25">
      <c r="E39" s="110"/>
      <c r="F39" s="113"/>
      <c r="G39" s="15">
        <v>4</v>
      </c>
      <c r="H39" s="11" t="str">
        <f>TKB_LOP_SC!C24</f>
        <v>GDTC - Hồng</v>
      </c>
      <c r="I39" s="11" t="str">
        <f>TKB_LOP_SC!E24</f>
        <v>TNXH - Nhi</v>
      </c>
      <c r="J39" s="5" t="str">
        <f>TKB_LOP_SC!G24</f>
        <v>GVNN - Aziz, Trang</v>
      </c>
      <c r="K39" s="11" t="str">
        <f>TKB_LOP_SC!I24</f>
        <v>Robotics - Nguyên</v>
      </c>
      <c r="L39" s="11" t="str">
        <f>TKB_LOP_SC!M24</f>
        <v>Viết sáng tạo - Xuân</v>
      </c>
      <c r="M39" s="11" t="str">
        <f>TKB_LOP_SC!O24</f>
        <v>GVVN - Bích</v>
      </c>
      <c r="N39" s="11" t="str">
        <f>TKB_LOP_SC!Q24</f>
        <v>GVVN - Quỳnh</v>
      </c>
      <c r="O39" s="11" t="str">
        <f>TKB_LOP_SC!S24</f>
        <v>Toán - Chi</v>
      </c>
      <c r="P39" s="5" t="e">
        <f>TKB_LOP_SC!#REF!</f>
        <v>#REF!</v>
      </c>
      <c r="Q39" s="11" t="str">
        <f>TKB_LOP_SC!Y24</f>
        <v>KHTN - Nhung</v>
      </c>
      <c r="R39" s="11" t="str">
        <f>TKB_LOP_SC!AA24</f>
        <v>Văn - Ánh NV</v>
      </c>
      <c r="S39" s="11" t="str">
        <f>TKB_LOP_SC!AC24</f>
        <v>GVVN - Huyền</v>
      </c>
      <c r="T39" s="29" t="str">
        <f>TKB_LOP_SC!AE24</f>
        <v>KCST - MN1</v>
      </c>
      <c r="U39" s="2" t="str">
        <f>TKB_LOP_SC!AI24</f>
        <v>Cảm xúc xã hội - MN2</v>
      </c>
      <c r="V39" s="2">
        <f>TKB_LOP_SC!AK24</f>
        <v>0</v>
      </c>
      <c r="W39" s="2">
        <f>TKB_LOP_SC!AM24</f>
        <v>0</v>
      </c>
      <c r="X39" s="2">
        <f>TKB_LOP_SC!AO24</f>
        <v>0</v>
      </c>
      <c r="Y39" s="2">
        <f>TKB_LOP_SC!AQ24</f>
        <v>0</v>
      </c>
      <c r="Z39" s="110"/>
      <c r="AA39" s="113"/>
      <c r="AB39" s="15">
        <v>4</v>
      </c>
      <c r="AC39" s="11" t="str">
        <f t="shared" si="79"/>
        <v/>
      </c>
      <c r="AD39" s="11" t="str">
        <f t="shared" si="0"/>
        <v/>
      </c>
      <c r="AE39" s="11" t="str">
        <f t="shared" si="1"/>
        <v>Aziz</v>
      </c>
      <c r="AF39" s="11" t="str">
        <f t="shared" si="2"/>
        <v/>
      </c>
      <c r="AG39" s="11" t="str">
        <f t="shared" si="3"/>
        <v/>
      </c>
      <c r="AH39" s="11" t="str">
        <f t="shared" si="4"/>
        <v/>
      </c>
      <c r="AI39" s="11" t="str">
        <f t="shared" si="5"/>
        <v/>
      </c>
      <c r="AJ39" s="11" t="str">
        <f t="shared" si="6"/>
        <v/>
      </c>
      <c r="AK39" s="11" t="str">
        <f t="shared" si="7"/>
        <v/>
      </c>
      <c r="AL39" s="11" t="str">
        <f t="shared" si="8"/>
        <v/>
      </c>
      <c r="AM39" s="11" t="str">
        <f t="shared" si="9"/>
        <v/>
      </c>
      <c r="AN39" s="11" t="str">
        <f t="shared" si="10"/>
        <v/>
      </c>
      <c r="AO39" s="11" t="str">
        <f t="shared" si="11"/>
        <v/>
      </c>
      <c r="AP39" s="11" t="str">
        <f t="shared" si="11"/>
        <v/>
      </c>
      <c r="AQ39" s="11" t="str">
        <f t="shared" si="12"/>
        <v/>
      </c>
      <c r="AR39" s="11" t="str">
        <f t="shared" si="13"/>
        <v/>
      </c>
      <c r="AS39" s="11" t="str">
        <f t="shared" si="14"/>
        <v/>
      </c>
      <c r="AT39" s="11" t="str">
        <f t="shared" si="15"/>
        <v/>
      </c>
      <c r="AU39" s="110"/>
      <c r="AV39" s="113"/>
      <c r="AW39" s="15">
        <v>4</v>
      </c>
      <c r="AX39" s="29" t="str">
        <f t="shared" si="80"/>
        <v>Hồng</v>
      </c>
      <c r="AY39" s="29" t="str">
        <f t="shared" si="16"/>
        <v>Nhi</v>
      </c>
      <c r="AZ39" s="29" t="str">
        <f t="shared" si="17"/>
        <v>Aziz, Trang</v>
      </c>
      <c r="BA39" s="29" t="str">
        <f t="shared" si="18"/>
        <v>Nguyên</v>
      </c>
      <c r="BB39" s="29" t="str">
        <f t="shared" si="19"/>
        <v>Xuân</v>
      </c>
      <c r="BC39" s="29" t="str">
        <f t="shared" si="20"/>
        <v>Bích</v>
      </c>
      <c r="BD39" s="29" t="str">
        <f t="shared" si="21"/>
        <v>Quỳnh</v>
      </c>
      <c r="BE39" s="29" t="str">
        <f t="shared" si="22"/>
        <v>Chi</v>
      </c>
      <c r="BF39" s="29" t="str">
        <f t="shared" si="23"/>
        <v/>
      </c>
      <c r="BG39" s="29" t="str">
        <f t="shared" si="24"/>
        <v>Nhung</v>
      </c>
      <c r="BH39" s="29" t="str">
        <f t="shared" si="25"/>
        <v>Ánh NV</v>
      </c>
      <c r="BI39" s="29" t="str">
        <f t="shared" si="26"/>
        <v>Huyền</v>
      </c>
      <c r="BJ39" s="29" t="str">
        <f t="shared" si="84"/>
        <v>MN1</v>
      </c>
      <c r="BK39" s="29" t="str">
        <f t="shared" si="85"/>
        <v>MN2</v>
      </c>
      <c r="BL39" s="29" t="str">
        <f t="shared" si="29"/>
        <v/>
      </c>
      <c r="BM39" s="29" t="str">
        <f t="shared" si="30"/>
        <v/>
      </c>
      <c r="BN39" s="29" t="str">
        <f t="shared" si="31"/>
        <v/>
      </c>
      <c r="BO39" s="29" t="str">
        <f t="shared" si="32"/>
        <v/>
      </c>
      <c r="BP39" s="110"/>
      <c r="BQ39" s="113"/>
      <c r="BR39" s="15">
        <v>4</v>
      </c>
      <c r="BS39" s="29" t="str">
        <f t="shared" si="81"/>
        <v>Hồng</v>
      </c>
      <c r="BT39" s="29" t="str">
        <f t="shared" si="33"/>
        <v>Nhi</v>
      </c>
      <c r="BU39" s="29" t="str">
        <f t="shared" si="34"/>
        <v>Trang</v>
      </c>
      <c r="BV39" s="29" t="str">
        <f t="shared" si="35"/>
        <v>Nguyên</v>
      </c>
      <c r="BW39" s="29" t="str">
        <f t="shared" si="36"/>
        <v>Xuân</v>
      </c>
      <c r="BX39" s="29" t="str">
        <f t="shared" si="37"/>
        <v>Bích</v>
      </c>
      <c r="BY39" s="29" t="str">
        <f t="shared" si="38"/>
        <v>Quỳnh</v>
      </c>
      <c r="BZ39" s="29" t="str">
        <f t="shared" si="39"/>
        <v>Chi</v>
      </c>
      <c r="CA39" s="29" t="str">
        <f t="shared" si="40"/>
        <v/>
      </c>
      <c r="CB39" s="29" t="str">
        <f t="shared" si="41"/>
        <v>Nhung</v>
      </c>
      <c r="CC39" s="29" t="str">
        <f t="shared" si="42"/>
        <v>Ánh NV</v>
      </c>
      <c r="CD39" s="29" t="str">
        <f t="shared" si="43"/>
        <v>Huyền</v>
      </c>
      <c r="CE39" s="29" t="str">
        <f t="shared" si="44"/>
        <v>MN1</v>
      </c>
      <c r="CG39" s="110"/>
      <c r="CH39" s="113"/>
      <c r="CI39" s="15">
        <v>4</v>
      </c>
      <c r="CJ39" s="29">
        <f t="shared" si="82"/>
        <v>1</v>
      </c>
      <c r="CK39" s="29">
        <f t="shared" si="45"/>
        <v>1</v>
      </c>
      <c r="CL39" s="29">
        <f t="shared" si="46"/>
        <v>1</v>
      </c>
      <c r="CM39" s="29">
        <f t="shared" si="47"/>
        <v>1</v>
      </c>
      <c r="CN39" s="29">
        <f t="shared" si="48"/>
        <v>1</v>
      </c>
      <c r="CO39" s="29">
        <f t="shared" si="49"/>
        <v>1</v>
      </c>
      <c r="CP39" s="29">
        <f t="shared" si="50"/>
        <v>1</v>
      </c>
      <c r="CQ39" s="29">
        <f t="shared" si="51"/>
        <v>1</v>
      </c>
      <c r="CR39" s="29" t="str">
        <f t="shared" si="52"/>
        <v/>
      </c>
      <c r="CS39" s="29">
        <f t="shared" si="53"/>
        <v>1</v>
      </c>
      <c r="CT39" s="29">
        <f t="shared" si="54"/>
        <v>1</v>
      </c>
      <c r="CU39" s="29">
        <f t="shared" si="55"/>
        <v>1</v>
      </c>
      <c r="CV39" s="29">
        <f t="shared" si="56"/>
        <v>1</v>
      </c>
      <c r="CW39" s="29" t="str">
        <f t="shared" si="57"/>
        <v/>
      </c>
      <c r="CX39" s="29" t="str">
        <f t="shared" si="58"/>
        <v/>
      </c>
      <c r="CY39" s="29" t="str">
        <f t="shared" si="59"/>
        <v/>
      </c>
      <c r="CZ39" s="29">
        <f t="shared" si="60"/>
        <v>0</v>
      </c>
      <c r="DA39" s="29">
        <f t="shared" si="61"/>
        <v>0</v>
      </c>
      <c r="DG39" s="110"/>
      <c r="DH39" s="113"/>
      <c r="DI39" s="15">
        <v>4</v>
      </c>
      <c r="DJ39" s="29" t="str">
        <f t="shared" si="83"/>
        <v/>
      </c>
      <c r="DK39" s="29" t="str">
        <f t="shared" si="62"/>
        <v/>
      </c>
      <c r="DL39" s="29">
        <f t="shared" si="63"/>
        <v>1</v>
      </c>
      <c r="DM39" s="29" t="str">
        <f t="shared" si="64"/>
        <v/>
      </c>
      <c r="DN39" s="29" t="str">
        <f t="shared" si="65"/>
        <v/>
      </c>
      <c r="DO39" s="29" t="str">
        <f t="shared" si="66"/>
        <v/>
      </c>
      <c r="DP39" s="29" t="str">
        <f t="shared" si="67"/>
        <v/>
      </c>
      <c r="DQ39" s="29" t="str">
        <f t="shared" si="68"/>
        <v/>
      </c>
      <c r="DR39" s="29" t="str">
        <f t="shared" si="69"/>
        <v/>
      </c>
      <c r="DS39" s="29" t="str">
        <f t="shared" si="70"/>
        <v/>
      </c>
      <c r="DT39" s="29" t="str">
        <f t="shared" si="71"/>
        <v/>
      </c>
      <c r="DU39" s="29" t="str">
        <f t="shared" si="72"/>
        <v/>
      </c>
      <c r="DV39" s="29" t="str">
        <f t="shared" si="73"/>
        <v/>
      </c>
      <c r="DW39" s="29" t="str">
        <f t="shared" si="74"/>
        <v/>
      </c>
      <c r="DX39" s="29" t="str">
        <f t="shared" si="75"/>
        <v/>
      </c>
      <c r="DY39" s="29" t="str">
        <f t="shared" si="76"/>
        <v/>
      </c>
      <c r="DZ39" s="29" t="str">
        <f t="shared" si="77"/>
        <v/>
      </c>
      <c r="EA39" s="29" t="str">
        <f t="shared" si="78"/>
        <v/>
      </c>
    </row>
    <row r="40" spans="5:131" ht="16.7" customHeight="1" x14ac:dyDescent="0.25">
      <c r="E40" s="111"/>
      <c r="F40" s="114"/>
      <c r="G40" s="16">
        <v>5</v>
      </c>
      <c r="H40" s="11">
        <f>TKB_LOP_SC!C25</f>
        <v>0</v>
      </c>
      <c r="I40" s="11">
        <f>TKB_LOP_SC!E25</f>
        <v>0</v>
      </c>
      <c r="J40" s="5">
        <f>TKB_LOP_SC!G25</f>
        <v>0</v>
      </c>
      <c r="K40" s="11">
        <f>TKB_LOP_SC!I25</f>
        <v>0</v>
      </c>
      <c r="L40" s="11">
        <f>TKB_LOP_SC!M25</f>
        <v>0</v>
      </c>
      <c r="M40" s="11">
        <f>TKB_LOP_SC!O25</f>
        <v>0</v>
      </c>
      <c r="N40" s="11">
        <f>TKB_LOP_SC!Q25</f>
        <v>0</v>
      </c>
      <c r="O40" s="11">
        <f>TKB_LOP_SC!S25</f>
        <v>0</v>
      </c>
      <c r="P40" s="5" t="str">
        <f>TKB_LOP_SC!W25</f>
        <v>Toán - Tân</v>
      </c>
      <c r="Q40" s="11" t="str">
        <f>TKB_LOP_SC!Y25</f>
        <v>GVNN - Tay, Chánh</v>
      </c>
      <c r="R40" s="11" t="str">
        <f>TKB_LOP_SC!AA25</f>
        <v>GDĐP - Ánh NV</v>
      </c>
      <c r="S40" s="11">
        <f>TKB_LOP_SC!AC25</f>
        <v>0</v>
      </c>
      <c r="T40" s="29">
        <f>TKB_LOP_SC!AE25</f>
        <v>0</v>
      </c>
      <c r="U40" s="29">
        <f>TKB_LOP_SC!AI25</f>
        <v>0</v>
      </c>
      <c r="V40" s="29">
        <f>TKB_LOP_SC!AK25</f>
        <v>0</v>
      </c>
      <c r="W40" s="29">
        <f>TKB_LOP_SC!AM25</f>
        <v>0</v>
      </c>
      <c r="X40" s="29">
        <f>TKB_LOP_SC!AO25</f>
        <v>0</v>
      </c>
      <c r="Y40" s="29">
        <f>TKB_LOP_SC!AQ25</f>
        <v>0</v>
      </c>
      <c r="Z40" s="111"/>
      <c r="AA40" s="114"/>
      <c r="AB40" s="16">
        <v>5</v>
      </c>
      <c r="AC40" s="11" t="str">
        <f t="shared" si="79"/>
        <v/>
      </c>
      <c r="AD40" s="11" t="str">
        <f t="shared" si="0"/>
        <v/>
      </c>
      <c r="AE40" s="11" t="str">
        <f t="shared" si="1"/>
        <v/>
      </c>
      <c r="AF40" s="11" t="str">
        <f t="shared" si="2"/>
        <v/>
      </c>
      <c r="AG40" s="11" t="str">
        <f t="shared" si="3"/>
        <v/>
      </c>
      <c r="AH40" s="11" t="str">
        <f t="shared" si="4"/>
        <v/>
      </c>
      <c r="AI40" s="11" t="str">
        <f t="shared" si="5"/>
        <v/>
      </c>
      <c r="AJ40" s="11" t="str">
        <f t="shared" si="6"/>
        <v/>
      </c>
      <c r="AK40" s="11" t="str">
        <f t="shared" si="7"/>
        <v/>
      </c>
      <c r="AL40" s="11" t="str">
        <f t="shared" si="8"/>
        <v>Tay</v>
      </c>
      <c r="AM40" s="11" t="str">
        <f t="shared" si="9"/>
        <v/>
      </c>
      <c r="AN40" s="11" t="str">
        <f t="shared" si="10"/>
        <v/>
      </c>
      <c r="AO40" s="11" t="str">
        <f t="shared" si="11"/>
        <v/>
      </c>
      <c r="AP40" s="11" t="str">
        <f t="shared" si="11"/>
        <v/>
      </c>
      <c r="AQ40" s="11" t="str">
        <f t="shared" si="12"/>
        <v/>
      </c>
      <c r="AR40" s="11" t="str">
        <f t="shared" si="13"/>
        <v/>
      </c>
      <c r="AS40" s="11" t="str">
        <f t="shared" si="14"/>
        <v/>
      </c>
      <c r="AT40" s="11" t="str">
        <f t="shared" si="15"/>
        <v/>
      </c>
      <c r="AU40" s="111"/>
      <c r="AV40" s="114"/>
      <c r="AW40" s="16">
        <v>5</v>
      </c>
      <c r="AX40" s="29" t="str">
        <f t="shared" si="80"/>
        <v/>
      </c>
      <c r="AY40" s="29" t="str">
        <f t="shared" si="16"/>
        <v/>
      </c>
      <c r="AZ40" s="29" t="str">
        <f t="shared" si="17"/>
        <v/>
      </c>
      <c r="BA40" s="29" t="str">
        <f t="shared" si="18"/>
        <v/>
      </c>
      <c r="BB40" s="29" t="str">
        <f t="shared" si="19"/>
        <v/>
      </c>
      <c r="BC40" s="29" t="str">
        <f t="shared" si="20"/>
        <v/>
      </c>
      <c r="BD40" s="29" t="str">
        <f t="shared" si="21"/>
        <v/>
      </c>
      <c r="BE40" s="29" t="str">
        <f t="shared" si="22"/>
        <v/>
      </c>
      <c r="BF40" s="29" t="str">
        <f t="shared" si="23"/>
        <v>Tân</v>
      </c>
      <c r="BG40" s="29" t="str">
        <f t="shared" si="24"/>
        <v>Tay, Chánh</v>
      </c>
      <c r="BH40" s="29" t="str">
        <f t="shared" si="25"/>
        <v>Ánh NV</v>
      </c>
      <c r="BI40" s="29" t="str">
        <f t="shared" si="26"/>
        <v/>
      </c>
      <c r="BJ40" s="29" t="str">
        <f t="shared" si="84"/>
        <v/>
      </c>
      <c r="BK40" s="29" t="str">
        <f t="shared" si="85"/>
        <v/>
      </c>
      <c r="BL40" s="29" t="str">
        <f t="shared" si="29"/>
        <v/>
      </c>
      <c r="BM40" s="29" t="str">
        <f t="shared" si="30"/>
        <v/>
      </c>
      <c r="BN40" s="29" t="str">
        <f t="shared" si="31"/>
        <v/>
      </c>
      <c r="BO40" s="29" t="str">
        <f t="shared" si="32"/>
        <v/>
      </c>
      <c r="BP40" s="111"/>
      <c r="BQ40" s="114"/>
      <c r="BR40" s="16">
        <v>5</v>
      </c>
      <c r="BS40" s="29" t="str">
        <f t="shared" si="81"/>
        <v/>
      </c>
      <c r="BT40" s="29" t="str">
        <f t="shared" si="33"/>
        <v/>
      </c>
      <c r="BU40" s="29" t="str">
        <f t="shared" si="34"/>
        <v/>
      </c>
      <c r="BV40" s="29" t="str">
        <f t="shared" si="35"/>
        <v/>
      </c>
      <c r="BW40" s="29" t="str">
        <f t="shared" si="36"/>
        <v/>
      </c>
      <c r="BX40" s="29" t="str">
        <f t="shared" si="37"/>
        <v/>
      </c>
      <c r="BY40" s="29" t="str">
        <f t="shared" si="38"/>
        <v/>
      </c>
      <c r="BZ40" s="29" t="str">
        <f t="shared" si="39"/>
        <v/>
      </c>
      <c r="CA40" s="29" t="str">
        <f t="shared" si="40"/>
        <v>Tân</v>
      </c>
      <c r="CB40" s="29" t="str">
        <f t="shared" si="41"/>
        <v>Chánh</v>
      </c>
      <c r="CC40" s="29" t="str">
        <f t="shared" si="42"/>
        <v>Ánh NV</v>
      </c>
      <c r="CD40" s="29" t="str">
        <f t="shared" si="43"/>
        <v/>
      </c>
      <c r="CE40" s="29" t="str">
        <f t="shared" si="44"/>
        <v/>
      </c>
      <c r="CG40" s="111"/>
      <c r="CH40" s="114"/>
      <c r="CI40" s="16">
        <v>5</v>
      </c>
      <c r="CJ40" s="29" t="str">
        <f t="shared" si="82"/>
        <v/>
      </c>
      <c r="CK40" s="29" t="str">
        <f t="shared" si="45"/>
        <v/>
      </c>
      <c r="CL40" s="29" t="str">
        <f t="shared" si="46"/>
        <v/>
      </c>
      <c r="CM40" s="29" t="str">
        <f t="shared" si="47"/>
        <v/>
      </c>
      <c r="CN40" s="29" t="str">
        <f t="shared" si="48"/>
        <v/>
      </c>
      <c r="CO40" s="29" t="str">
        <f t="shared" si="49"/>
        <v/>
      </c>
      <c r="CP40" s="29" t="str">
        <f t="shared" si="50"/>
        <v/>
      </c>
      <c r="CQ40" s="29" t="str">
        <f t="shared" si="51"/>
        <v/>
      </c>
      <c r="CR40" s="29">
        <f t="shared" si="52"/>
        <v>1</v>
      </c>
      <c r="CS40" s="29">
        <f t="shared" si="53"/>
        <v>1</v>
      </c>
      <c r="CT40" s="29">
        <f t="shared" si="54"/>
        <v>1</v>
      </c>
      <c r="CU40" s="29" t="str">
        <f t="shared" si="55"/>
        <v/>
      </c>
      <c r="CV40" s="29" t="str">
        <f t="shared" si="56"/>
        <v/>
      </c>
      <c r="CW40" s="29" t="str">
        <f t="shared" si="57"/>
        <v/>
      </c>
      <c r="CX40" s="29" t="str">
        <f t="shared" si="58"/>
        <v/>
      </c>
      <c r="CY40" s="29" t="str">
        <f t="shared" si="59"/>
        <v/>
      </c>
      <c r="CZ40" s="29">
        <f t="shared" si="60"/>
        <v>0</v>
      </c>
      <c r="DA40" s="29" t="str">
        <f t="shared" si="61"/>
        <v/>
      </c>
      <c r="DG40" s="111"/>
      <c r="DH40" s="114"/>
      <c r="DI40" s="16">
        <v>5</v>
      </c>
      <c r="DJ40" s="29" t="str">
        <f t="shared" si="83"/>
        <v/>
      </c>
      <c r="DK40" s="29" t="str">
        <f t="shared" si="62"/>
        <v/>
      </c>
      <c r="DL40" s="29" t="str">
        <f t="shared" si="63"/>
        <v/>
      </c>
      <c r="DM40" s="29" t="str">
        <f t="shared" si="64"/>
        <v/>
      </c>
      <c r="DN40" s="29" t="str">
        <f t="shared" si="65"/>
        <v/>
      </c>
      <c r="DO40" s="29" t="str">
        <f t="shared" si="66"/>
        <v/>
      </c>
      <c r="DP40" s="29" t="str">
        <f t="shared" si="67"/>
        <v/>
      </c>
      <c r="DQ40" s="29" t="str">
        <f t="shared" si="68"/>
        <v/>
      </c>
      <c r="DR40" s="29" t="str">
        <f t="shared" si="69"/>
        <v/>
      </c>
      <c r="DS40" s="29">
        <f t="shared" si="70"/>
        <v>1</v>
      </c>
      <c r="DT40" s="29" t="str">
        <f t="shared" si="71"/>
        <v/>
      </c>
      <c r="DU40" s="29" t="str">
        <f t="shared" si="72"/>
        <v/>
      </c>
      <c r="DV40" s="29" t="str">
        <f t="shared" si="73"/>
        <v/>
      </c>
      <c r="DW40" s="29" t="str">
        <f t="shared" si="74"/>
        <v/>
      </c>
      <c r="DX40" s="29" t="str">
        <f t="shared" si="75"/>
        <v/>
      </c>
      <c r="DY40" s="29" t="str">
        <f t="shared" si="76"/>
        <v/>
      </c>
      <c r="DZ40" s="29" t="str">
        <f t="shared" si="77"/>
        <v/>
      </c>
      <c r="EA40" s="29" t="str">
        <f t="shared" si="78"/>
        <v/>
      </c>
    </row>
    <row r="41" spans="5:131" ht="16.7" customHeight="1" x14ac:dyDescent="0.25">
      <c r="E41" s="22"/>
      <c r="F41" s="112" t="s">
        <v>4</v>
      </c>
      <c r="G41" s="10">
        <v>1</v>
      </c>
      <c r="H41" s="5" t="str">
        <f>TKB_LOP_SC!D21</f>
        <v>GVNN - Aziz, Trang</v>
      </c>
      <c r="I41" s="5" t="str">
        <f>TKB_LOP_SC!F21</f>
        <v>TViệt - Nhi</v>
      </c>
      <c r="J41" s="5" t="str">
        <f>TKB_LOP_SC!H21</f>
        <v>Viết sáng tạo - Xuân</v>
      </c>
      <c r="K41" s="5" t="str">
        <f>TKB_LOP_SC!J21</f>
        <v>Toán - Chi</v>
      </c>
      <c r="L41" s="5" t="str">
        <f>TKB_LOP_SC!N21</f>
        <v>Tin - Nguyên</v>
      </c>
      <c r="M41" s="5" t="str">
        <f>TKB_LOP_SC!P21</f>
        <v>TViệt - Ly</v>
      </c>
      <c r="N41" s="5" t="str">
        <f>TKB_LOP_SC!R21</f>
        <v>Toán - Phương Anh</v>
      </c>
      <c r="O41" s="5" t="str">
        <f>TKB_LOP_SC!T21</f>
        <v>GVNN - Tay, Bích</v>
      </c>
      <c r="P41" s="5" t="str">
        <f>TKB_LOP_SC!X21</f>
        <v>Toán - Tân</v>
      </c>
      <c r="Q41" s="5" t="str">
        <f>TKB_LOP_SC!Z21</f>
        <v>GVVN - Chánh</v>
      </c>
      <c r="R41" s="31" t="str">
        <f>TKB_LOP_SC!AB21</f>
        <v>KHTN - Nhung</v>
      </c>
      <c r="S41" s="31" t="str">
        <f>TKB_LOP_SC!AD21</f>
        <v>HĐ tự chọn - Hiền</v>
      </c>
      <c r="T41" s="29" t="str">
        <f>TKB_LOP_SC!AF21</f>
        <v>HĐ tự chọn - MN1</v>
      </c>
      <c r="U41" s="29" t="str">
        <f>TKB_LOP_SC!AJ21</f>
        <v>HĐ tự chọn - MN2</v>
      </c>
      <c r="V41" s="29">
        <f>TKB_LOP_SC!AL21</f>
        <v>0</v>
      </c>
      <c r="W41" s="29">
        <f>TKB_LOP_SC!AN21</f>
        <v>0</v>
      </c>
      <c r="X41" s="29">
        <f>TKB_LOP_SC!AP21</f>
        <v>0</v>
      </c>
      <c r="Y41" s="29">
        <f>TKB_LOP_SC!AR21</f>
        <v>0</v>
      </c>
      <c r="Z41" s="22"/>
      <c r="AA41" s="112" t="s">
        <v>4</v>
      </c>
      <c r="AB41" s="10">
        <v>1</v>
      </c>
      <c r="AC41" s="11" t="str">
        <f t="shared" si="79"/>
        <v>Aziz</v>
      </c>
      <c r="AD41" s="11" t="str">
        <f t="shared" si="0"/>
        <v/>
      </c>
      <c r="AE41" s="11" t="str">
        <f t="shared" si="1"/>
        <v/>
      </c>
      <c r="AF41" s="11" t="str">
        <f t="shared" si="2"/>
        <v/>
      </c>
      <c r="AG41" s="11" t="str">
        <f t="shared" si="3"/>
        <v/>
      </c>
      <c r="AH41" s="11" t="str">
        <f t="shared" si="4"/>
        <v/>
      </c>
      <c r="AI41" s="11" t="str">
        <f t="shared" si="5"/>
        <v/>
      </c>
      <c r="AJ41" s="11" t="str">
        <f t="shared" si="6"/>
        <v>Tay</v>
      </c>
      <c r="AK41" s="11" t="str">
        <f t="shared" si="7"/>
        <v/>
      </c>
      <c r="AL41" s="11" t="str">
        <f t="shared" si="8"/>
        <v/>
      </c>
      <c r="AM41" s="11" t="str">
        <f t="shared" si="9"/>
        <v/>
      </c>
      <c r="AN41" s="11" t="str">
        <f t="shared" si="10"/>
        <v/>
      </c>
      <c r="AO41" s="11" t="str">
        <f t="shared" si="11"/>
        <v/>
      </c>
      <c r="AP41" s="11" t="str">
        <f t="shared" si="11"/>
        <v/>
      </c>
      <c r="AQ41" s="11" t="str">
        <f t="shared" ref="AQ41:AQ60" si="86">IFERROR(LEFT(BP41,FIND(",",BP41)-1),"")</f>
        <v/>
      </c>
      <c r="AR41" s="11" t="str">
        <f t="shared" ref="AR41:AR60" si="87">IFERROR(LEFT(BQ41,FIND(",",BQ41)-1),"")</f>
        <v/>
      </c>
      <c r="AS41" s="11" t="str">
        <f t="shared" ref="AS41:AS60" si="88">IFERROR(LEFT(BR41,FIND(",",BR41)-1),"")</f>
        <v/>
      </c>
      <c r="AT41" s="11" t="str">
        <f t="shared" si="15"/>
        <v/>
      </c>
      <c r="AU41" s="55"/>
      <c r="AV41" s="112" t="s">
        <v>4</v>
      </c>
      <c r="AW41" s="10">
        <v>1</v>
      </c>
      <c r="AX41" s="29" t="str">
        <f t="shared" si="80"/>
        <v>Aziz, Trang</v>
      </c>
      <c r="AY41" s="29" t="str">
        <f t="shared" si="16"/>
        <v>Nhi</v>
      </c>
      <c r="AZ41" s="29" t="str">
        <f t="shared" si="17"/>
        <v>Xuân</v>
      </c>
      <c r="BA41" s="29" t="str">
        <f t="shared" si="18"/>
        <v>Chi</v>
      </c>
      <c r="BB41" s="29" t="str">
        <f t="shared" si="19"/>
        <v>Nguyên</v>
      </c>
      <c r="BC41" s="29" t="str">
        <f t="shared" si="20"/>
        <v>Ly</v>
      </c>
      <c r="BD41" s="29" t="str">
        <f t="shared" si="21"/>
        <v>Phương Anh</v>
      </c>
      <c r="BE41" s="29" t="str">
        <f t="shared" si="22"/>
        <v>Tay, Bích</v>
      </c>
      <c r="BF41" s="29" t="str">
        <f t="shared" si="23"/>
        <v>Tân</v>
      </c>
      <c r="BG41" s="29" t="str">
        <f t="shared" si="24"/>
        <v>Chánh</v>
      </c>
      <c r="BH41" s="29" t="str">
        <f t="shared" si="25"/>
        <v>Nhung</v>
      </c>
      <c r="BI41" s="29" t="str">
        <f t="shared" si="26"/>
        <v>Hiền</v>
      </c>
      <c r="BJ41" s="29" t="str">
        <f t="shared" si="84"/>
        <v>MN1</v>
      </c>
      <c r="BK41" s="29" t="str">
        <f t="shared" si="85"/>
        <v>MN2</v>
      </c>
      <c r="BL41" s="29" t="str">
        <f t="shared" si="29"/>
        <v/>
      </c>
      <c r="BM41" s="29" t="str">
        <f t="shared" si="30"/>
        <v/>
      </c>
      <c r="BN41" s="29" t="str">
        <f t="shared" si="31"/>
        <v/>
      </c>
      <c r="BO41" s="29" t="str">
        <f t="shared" si="32"/>
        <v/>
      </c>
      <c r="BP41" s="55"/>
      <c r="BQ41" s="112" t="s">
        <v>4</v>
      </c>
      <c r="BR41" s="10">
        <v>1</v>
      </c>
      <c r="BS41" s="29" t="str">
        <f t="shared" si="81"/>
        <v>Trang</v>
      </c>
      <c r="BT41" s="29" t="str">
        <f t="shared" si="33"/>
        <v>Nhi</v>
      </c>
      <c r="BU41" s="29" t="str">
        <f t="shared" si="34"/>
        <v>Xuân</v>
      </c>
      <c r="BV41" s="29" t="str">
        <f t="shared" si="35"/>
        <v>Chi</v>
      </c>
      <c r="BW41" s="29" t="str">
        <f t="shared" si="36"/>
        <v>Nguyên</v>
      </c>
      <c r="BX41" s="29" t="str">
        <f t="shared" si="37"/>
        <v>Ly</v>
      </c>
      <c r="BY41" s="29" t="str">
        <f t="shared" si="38"/>
        <v>Phương Anh</v>
      </c>
      <c r="BZ41" s="29" t="str">
        <f t="shared" si="39"/>
        <v>Bích</v>
      </c>
      <c r="CA41" s="29" t="str">
        <f t="shared" si="40"/>
        <v>Tân</v>
      </c>
      <c r="CB41" s="29" t="str">
        <f t="shared" si="41"/>
        <v>Chánh</v>
      </c>
      <c r="CC41" s="29" t="str">
        <f t="shared" si="42"/>
        <v>Nhung</v>
      </c>
      <c r="CD41" s="29" t="str">
        <f t="shared" si="43"/>
        <v>Hiền</v>
      </c>
      <c r="CE41" s="29" t="str">
        <f t="shared" si="44"/>
        <v>MN1</v>
      </c>
      <c r="CG41" s="55"/>
      <c r="CH41" s="112" t="s">
        <v>4</v>
      </c>
      <c r="CI41" s="10">
        <v>1</v>
      </c>
      <c r="CJ41" s="29">
        <f t="shared" si="82"/>
        <v>1</v>
      </c>
      <c r="CK41" s="29">
        <f t="shared" si="45"/>
        <v>1</v>
      </c>
      <c r="CL41" s="29">
        <f t="shared" si="46"/>
        <v>1</v>
      </c>
      <c r="CM41" s="29">
        <f t="shared" si="47"/>
        <v>1</v>
      </c>
      <c r="CN41" s="29">
        <f t="shared" si="48"/>
        <v>1</v>
      </c>
      <c r="CO41" s="29">
        <f t="shared" si="49"/>
        <v>1</v>
      </c>
      <c r="CP41" s="29">
        <f t="shared" si="50"/>
        <v>1</v>
      </c>
      <c r="CQ41" s="29">
        <f t="shared" si="51"/>
        <v>1</v>
      </c>
      <c r="CR41" s="29">
        <f t="shared" si="52"/>
        <v>1</v>
      </c>
      <c r="CS41" s="29">
        <f t="shared" si="53"/>
        <v>1</v>
      </c>
      <c r="CT41" s="29">
        <f t="shared" si="54"/>
        <v>1</v>
      </c>
      <c r="CU41" s="29">
        <f t="shared" si="55"/>
        <v>1</v>
      </c>
      <c r="CV41" s="29">
        <f t="shared" si="56"/>
        <v>1</v>
      </c>
      <c r="CW41" s="29" t="str">
        <f t="shared" si="57"/>
        <v/>
      </c>
      <c r="CX41" s="29" t="str">
        <f t="shared" si="58"/>
        <v/>
      </c>
      <c r="CY41" s="29">
        <f t="shared" si="59"/>
        <v>0</v>
      </c>
      <c r="CZ41" s="29">
        <f t="shared" si="60"/>
        <v>0</v>
      </c>
      <c r="DA41" s="29">
        <f t="shared" si="61"/>
        <v>0</v>
      </c>
      <c r="DG41" s="66"/>
      <c r="DH41" s="112" t="s">
        <v>4</v>
      </c>
      <c r="DI41" s="10">
        <v>1</v>
      </c>
      <c r="DJ41" s="29">
        <f t="shared" si="83"/>
        <v>1</v>
      </c>
      <c r="DK41" s="29" t="str">
        <f t="shared" si="62"/>
        <v/>
      </c>
      <c r="DL41" s="29" t="str">
        <f t="shared" si="63"/>
        <v/>
      </c>
      <c r="DM41" s="29" t="str">
        <f t="shared" si="64"/>
        <v/>
      </c>
      <c r="DN41" s="29" t="str">
        <f t="shared" si="65"/>
        <v/>
      </c>
      <c r="DO41" s="29" t="str">
        <f t="shared" si="66"/>
        <v/>
      </c>
      <c r="DP41" s="29" t="str">
        <f t="shared" si="67"/>
        <v/>
      </c>
      <c r="DQ41" s="29">
        <f t="shared" si="68"/>
        <v>1</v>
      </c>
      <c r="DR41" s="29" t="str">
        <f t="shared" si="69"/>
        <v/>
      </c>
      <c r="DS41" s="29" t="str">
        <f t="shared" si="70"/>
        <v/>
      </c>
      <c r="DT41" s="29" t="str">
        <f t="shared" si="71"/>
        <v/>
      </c>
      <c r="DU41" s="29" t="str">
        <f t="shared" si="72"/>
        <v/>
      </c>
      <c r="DV41" s="29" t="str">
        <f t="shared" si="73"/>
        <v/>
      </c>
      <c r="DW41" s="29" t="str">
        <f t="shared" si="74"/>
        <v/>
      </c>
      <c r="DX41" s="29" t="str">
        <f t="shared" si="75"/>
        <v/>
      </c>
      <c r="DY41" s="29" t="str">
        <f t="shared" si="76"/>
        <v/>
      </c>
      <c r="DZ41" s="29" t="str">
        <f t="shared" si="77"/>
        <v/>
      </c>
      <c r="EA41" s="29" t="str">
        <f t="shared" si="78"/>
        <v/>
      </c>
    </row>
    <row r="42" spans="5:131" ht="16.7" customHeight="1" x14ac:dyDescent="0.25">
      <c r="E42" s="22"/>
      <c r="F42" s="113"/>
      <c r="G42" s="15">
        <v>2</v>
      </c>
      <c r="H42" s="5" t="str">
        <f>TKB_LOP_SC!D22</f>
        <v>TViệt - Ngọc Ánh</v>
      </c>
      <c r="I42" s="5" t="str">
        <f>TKB_LOP_SC!F22</f>
        <v>TViệt - Nhi</v>
      </c>
      <c r="J42" s="5" t="str">
        <f>TKB_LOP_SC!H22</f>
        <v>Toán - Linh TH</v>
      </c>
      <c r="K42" s="5" t="str">
        <f>TKB_LOP_SC!J22</f>
        <v>GVVN - Trà</v>
      </c>
      <c r="L42" s="5" t="str">
        <f>TKB_LOP_SC!N22</f>
        <v>Toán - Ngọc</v>
      </c>
      <c r="M42" s="5" t="str">
        <f>TKB_LOP_SC!P22</f>
        <v>GVVN - Bích</v>
      </c>
      <c r="N42" s="5" t="str">
        <f>TKB_LOP_SC!R22</f>
        <v>GVNN - Tay, Quỳnh</v>
      </c>
      <c r="O42" s="5" t="str">
        <f>TKB_LOP_SC!T22</f>
        <v>Đạo đức - Xuân</v>
      </c>
      <c r="P42" s="5" t="str">
        <f>TKB_LOP_SC!X22</f>
        <v>GVVN - Chánh</v>
      </c>
      <c r="Q42" s="5" t="str">
        <f>TKB_LOP_SC!Z22</f>
        <v>Toán - Tân</v>
      </c>
      <c r="R42" s="31" t="str">
        <f>TKB_LOP_SC!AB22</f>
        <v>KHTN - Nhung</v>
      </c>
      <c r="S42" s="31" t="str">
        <f>TKB_LOP_SC!AD22</f>
        <v>Tin - Nguyên</v>
      </c>
      <c r="T42" s="29" t="str">
        <f>TKB_LOP_SC!AF22</f>
        <v>GVVN - Trang</v>
      </c>
      <c r="U42" s="2" t="str">
        <f>TKB_LOP_SC!AJ22</f>
        <v>GVVN - Trang</v>
      </c>
      <c r="V42" s="2">
        <f>TKB_LOP_SC!AL22</f>
        <v>0</v>
      </c>
      <c r="W42" s="2" t="str">
        <f>TKB_LOP_SC!AN22</f>
        <v>GVVN - Linh</v>
      </c>
      <c r="X42" s="2" t="str">
        <f>TKB_LOP_SC!AP22</f>
        <v>GVNN - Aziz, Dung</v>
      </c>
      <c r="Y42" s="2">
        <f>TKB_LOP_SC!AR22</f>
        <v>0</v>
      </c>
      <c r="Z42" s="22"/>
      <c r="AA42" s="113"/>
      <c r="AB42" s="15">
        <v>2</v>
      </c>
      <c r="AC42" s="11" t="str">
        <f t="shared" si="79"/>
        <v/>
      </c>
      <c r="AD42" s="11" t="str">
        <f t="shared" si="0"/>
        <v/>
      </c>
      <c r="AE42" s="11" t="str">
        <f t="shared" si="1"/>
        <v/>
      </c>
      <c r="AF42" s="11" t="str">
        <f t="shared" si="2"/>
        <v/>
      </c>
      <c r="AG42" s="11" t="str">
        <f t="shared" si="3"/>
        <v/>
      </c>
      <c r="AH42" s="11" t="str">
        <f t="shared" si="4"/>
        <v/>
      </c>
      <c r="AI42" s="11" t="str">
        <f t="shared" si="5"/>
        <v>Tay</v>
      </c>
      <c r="AJ42" s="11" t="str">
        <f t="shared" si="6"/>
        <v/>
      </c>
      <c r="AK42" s="11" t="str">
        <f t="shared" si="7"/>
        <v/>
      </c>
      <c r="AL42" s="11" t="str">
        <f t="shared" si="8"/>
        <v/>
      </c>
      <c r="AM42" s="11" t="str">
        <f t="shared" si="9"/>
        <v/>
      </c>
      <c r="AN42" s="11" t="str">
        <f t="shared" si="10"/>
        <v/>
      </c>
      <c r="AO42" s="11" t="str">
        <f t="shared" si="11"/>
        <v/>
      </c>
      <c r="AP42" s="11" t="str">
        <f t="shared" si="11"/>
        <v/>
      </c>
      <c r="AQ42" s="11" t="str">
        <f t="shared" si="86"/>
        <v/>
      </c>
      <c r="AR42" s="11" t="str">
        <f t="shared" si="87"/>
        <v/>
      </c>
      <c r="AS42" s="11" t="str">
        <f t="shared" si="88"/>
        <v/>
      </c>
      <c r="AT42" s="11" t="str">
        <f t="shared" si="15"/>
        <v/>
      </c>
      <c r="AU42" s="55"/>
      <c r="AV42" s="113"/>
      <c r="AW42" s="15">
        <v>2</v>
      </c>
      <c r="AX42" s="29" t="str">
        <f t="shared" si="80"/>
        <v>Ngọc Ánh</v>
      </c>
      <c r="AY42" s="29" t="str">
        <f t="shared" si="16"/>
        <v>Nhi</v>
      </c>
      <c r="AZ42" s="29" t="str">
        <f t="shared" si="17"/>
        <v>Linh TH</v>
      </c>
      <c r="BA42" s="29" t="str">
        <f t="shared" si="18"/>
        <v>Trà</v>
      </c>
      <c r="BB42" s="29" t="str">
        <f t="shared" si="19"/>
        <v>Ngọc</v>
      </c>
      <c r="BC42" s="29" t="str">
        <f t="shared" si="20"/>
        <v>Bích</v>
      </c>
      <c r="BD42" s="29" t="str">
        <f t="shared" si="21"/>
        <v>Tay, Quỳnh</v>
      </c>
      <c r="BE42" s="29" t="str">
        <f t="shared" si="22"/>
        <v>Xuân</v>
      </c>
      <c r="BF42" s="29" t="str">
        <f t="shared" si="23"/>
        <v>Chánh</v>
      </c>
      <c r="BG42" s="29" t="str">
        <f t="shared" si="24"/>
        <v>Tân</v>
      </c>
      <c r="BH42" s="29" t="str">
        <f t="shared" si="25"/>
        <v>Nhung</v>
      </c>
      <c r="BI42" s="29" t="str">
        <f t="shared" si="26"/>
        <v>Nguyên</v>
      </c>
      <c r="BJ42" s="29" t="str">
        <f t="shared" si="84"/>
        <v>Trang</v>
      </c>
      <c r="BK42" s="29" t="str">
        <f t="shared" si="85"/>
        <v>Trang</v>
      </c>
      <c r="BL42" s="29" t="str">
        <f t="shared" si="29"/>
        <v/>
      </c>
      <c r="BM42" s="29" t="str">
        <f t="shared" si="30"/>
        <v>Linh</v>
      </c>
      <c r="BN42" s="29" t="str">
        <f t="shared" si="31"/>
        <v>Aziz, Dung</v>
      </c>
      <c r="BO42" s="29" t="str">
        <f t="shared" si="32"/>
        <v/>
      </c>
      <c r="BP42" s="55"/>
      <c r="BQ42" s="113"/>
      <c r="BR42" s="15">
        <v>2</v>
      </c>
      <c r="BS42" s="29" t="str">
        <f t="shared" si="81"/>
        <v>Ngọc Ánh</v>
      </c>
      <c r="BT42" s="29" t="str">
        <f t="shared" si="33"/>
        <v>Nhi</v>
      </c>
      <c r="BU42" s="29" t="str">
        <f t="shared" si="34"/>
        <v>Linh TH</v>
      </c>
      <c r="BV42" s="29" t="str">
        <f t="shared" si="35"/>
        <v>Trà</v>
      </c>
      <c r="BW42" s="29" t="str">
        <f t="shared" si="36"/>
        <v>Ngọc</v>
      </c>
      <c r="BX42" s="29" t="str">
        <f t="shared" si="37"/>
        <v>Bích</v>
      </c>
      <c r="BY42" s="29" t="str">
        <f t="shared" si="38"/>
        <v>Quỳnh</v>
      </c>
      <c r="BZ42" s="29" t="str">
        <f t="shared" si="39"/>
        <v>Xuân</v>
      </c>
      <c r="CA42" s="29" t="str">
        <f t="shared" si="40"/>
        <v>Chánh</v>
      </c>
      <c r="CB42" s="29" t="str">
        <f t="shared" si="41"/>
        <v>Tân</v>
      </c>
      <c r="CC42" s="29" t="str">
        <f t="shared" si="42"/>
        <v>Nhung</v>
      </c>
      <c r="CD42" s="29" t="str">
        <f t="shared" si="43"/>
        <v>Nguyên</v>
      </c>
      <c r="CE42" s="29" t="str">
        <f t="shared" si="44"/>
        <v>Trang</v>
      </c>
      <c r="CG42" s="55"/>
      <c r="CH42" s="113"/>
      <c r="CI42" s="15">
        <v>2</v>
      </c>
      <c r="CJ42" s="29">
        <f t="shared" si="82"/>
        <v>1</v>
      </c>
      <c r="CK42" s="29">
        <f t="shared" si="45"/>
        <v>1</v>
      </c>
      <c r="CL42" s="29">
        <f t="shared" si="46"/>
        <v>1</v>
      </c>
      <c r="CM42" s="29">
        <f t="shared" si="47"/>
        <v>1</v>
      </c>
      <c r="CN42" s="29">
        <f t="shared" si="48"/>
        <v>1</v>
      </c>
      <c r="CO42" s="29">
        <f t="shared" si="49"/>
        <v>1</v>
      </c>
      <c r="CP42" s="29">
        <f t="shared" si="50"/>
        <v>1</v>
      </c>
      <c r="CQ42" s="29">
        <f t="shared" si="51"/>
        <v>1</v>
      </c>
      <c r="CR42" s="29">
        <f t="shared" si="52"/>
        <v>1</v>
      </c>
      <c r="CS42" s="29">
        <f t="shared" si="53"/>
        <v>1</v>
      </c>
      <c r="CT42" s="29">
        <f t="shared" si="54"/>
        <v>1</v>
      </c>
      <c r="CU42" s="29">
        <f t="shared" si="55"/>
        <v>1</v>
      </c>
      <c r="CV42" s="29">
        <f t="shared" si="56"/>
        <v>1</v>
      </c>
      <c r="CW42" s="29" t="str">
        <f t="shared" si="57"/>
        <v/>
      </c>
      <c r="CX42" s="29" t="str">
        <f t="shared" si="58"/>
        <v/>
      </c>
      <c r="CY42" s="29" t="str">
        <f t="shared" si="59"/>
        <v/>
      </c>
      <c r="CZ42" s="29">
        <f t="shared" si="60"/>
        <v>0</v>
      </c>
      <c r="DA42" s="29">
        <f t="shared" si="61"/>
        <v>0</v>
      </c>
      <c r="DG42" s="66"/>
      <c r="DH42" s="113"/>
      <c r="DI42" s="15">
        <v>2</v>
      </c>
      <c r="DJ42" s="29" t="str">
        <f t="shared" si="83"/>
        <v/>
      </c>
      <c r="DK42" s="29" t="str">
        <f t="shared" si="62"/>
        <v/>
      </c>
      <c r="DL42" s="29" t="str">
        <f t="shared" si="63"/>
        <v/>
      </c>
      <c r="DM42" s="29" t="str">
        <f t="shared" si="64"/>
        <v/>
      </c>
      <c r="DN42" s="29" t="str">
        <f t="shared" si="65"/>
        <v/>
      </c>
      <c r="DO42" s="29" t="str">
        <f t="shared" si="66"/>
        <v/>
      </c>
      <c r="DP42" s="29">
        <f t="shared" si="67"/>
        <v>1</v>
      </c>
      <c r="DQ42" s="29" t="str">
        <f t="shared" si="68"/>
        <v/>
      </c>
      <c r="DR42" s="29" t="str">
        <f t="shared" si="69"/>
        <v/>
      </c>
      <c r="DS42" s="29" t="str">
        <f t="shared" si="70"/>
        <v/>
      </c>
      <c r="DT42" s="29" t="str">
        <f t="shared" si="71"/>
        <v/>
      </c>
      <c r="DU42" s="29" t="str">
        <f t="shared" si="72"/>
        <v/>
      </c>
      <c r="DV42" s="29" t="str">
        <f t="shared" si="73"/>
        <v/>
      </c>
      <c r="DW42" s="29" t="str">
        <f t="shared" si="74"/>
        <v/>
      </c>
      <c r="DX42" s="29" t="str">
        <f t="shared" si="75"/>
        <v/>
      </c>
      <c r="DY42" s="29" t="str">
        <f t="shared" si="76"/>
        <v/>
      </c>
      <c r="DZ42" s="29" t="str">
        <f t="shared" si="77"/>
        <v/>
      </c>
      <c r="EA42" s="29" t="str">
        <f t="shared" si="78"/>
        <v/>
      </c>
    </row>
    <row r="43" spans="5:131" ht="16.7" customHeight="1" x14ac:dyDescent="0.25">
      <c r="E43" s="22"/>
      <c r="F43" s="113"/>
      <c r="G43" s="15">
        <v>3</v>
      </c>
      <c r="H43" s="5" t="str">
        <f>TKB_LOP_SC!D23</f>
        <v>TViệt - Ngọc Ánh</v>
      </c>
      <c r="I43" s="5" t="str">
        <f>TKB_LOP_SC!F23</f>
        <v>Toán - Phương Anh</v>
      </c>
      <c r="J43" s="5" t="str">
        <f>TKB_LOP_SC!H23</f>
        <v>TViệt - Linh TH</v>
      </c>
      <c r="K43" s="5" t="str">
        <f>TKB_LOP_SC!J23</f>
        <v>TNXH - Xuân</v>
      </c>
      <c r="L43" s="5" t="str">
        <f>TKB_LOP_SC!N23</f>
        <v>GVNN - Aziz, Trà</v>
      </c>
      <c r="M43" s="5" t="str">
        <f>TKB_LOP_SC!P23</f>
        <v>Toán - Chi</v>
      </c>
      <c r="N43" s="5" t="str">
        <f>TKB_LOP_SC!R23</f>
        <v>GDTC - Hồng</v>
      </c>
      <c r="O43" s="5" t="str">
        <f>TKB_LOP_SC!T23</f>
        <v>TViệt - Ngọc</v>
      </c>
      <c r="P43" s="5" t="str">
        <f>TKB_LOP_SC!X23</f>
        <v>GVNN - Tay, Chánh</v>
      </c>
      <c r="Q43" s="5" t="str">
        <f>TKB_LOP_SC!Z23</f>
        <v>Văn - Ánh NV</v>
      </c>
      <c r="R43" s="31" t="str">
        <f>TKB_LOP_SC!AB23</f>
        <v>GVVN - Quỳnh</v>
      </c>
      <c r="S43" s="31" t="str">
        <f>TKB_LOP_SC!AD23</f>
        <v>GVVN - Huyền</v>
      </c>
      <c r="T43" s="29" t="str">
        <f>TKB_LOP_SC!AF23</f>
        <v>Tin - Nguyên</v>
      </c>
      <c r="U43" s="2" t="str">
        <f>TKB_LOP_SC!AJ23</f>
        <v>Vận động theo nhạc - MN2</v>
      </c>
      <c r="V43" s="2" t="str">
        <f>TKB_LOP_SC!AL23</f>
        <v>GVVN - Linh</v>
      </c>
      <c r="W43" s="2">
        <f>TKB_LOP_SC!AN23</f>
        <v>0</v>
      </c>
      <c r="X43" s="2">
        <f>TKB_LOP_SC!AP23</f>
        <v>0</v>
      </c>
      <c r="Y43" s="2">
        <f>TKB_LOP_SC!AR23</f>
        <v>0</v>
      </c>
      <c r="Z43" s="22"/>
      <c r="AA43" s="113"/>
      <c r="AB43" s="15">
        <v>3</v>
      </c>
      <c r="AC43" s="11" t="str">
        <f t="shared" si="79"/>
        <v/>
      </c>
      <c r="AD43" s="11" t="str">
        <f t="shared" si="0"/>
        <v/>
      </c>
      <c r="AE43" s="11" t="str">
        <f t="shared" si="1"/>
        <v/>
      </c>
      <c r="AF43" s="11" t="str">
        <f t="shared" si="2"/>
        <v/>
      </c>
      <c r="AG43" s="11" t="str">
        <f t="shared" si="3"/>
        <v>Aziz</v>
      </c>
      <c r="AH43" s="11" t="str">
        <f t="shared" si="4"/>
        <v/>
      </c>
      <c r="AI43" s="11" t="str">
        <f t="shared" si="5"/>
        <v/>
      </c>
      <c r="AJ43" s="11" t="str">
        <f t="shared" si="6"/>
        <v/>
      </c>
      <c r="AK43" s="11" t="str">
        <f t="shared" si="7"/>
        <v>Tay</v>
      </c>
      <c r="AL43" s="11" t="str">
        <f t="shared" si="8"/>
        <v/>
      </c>
      <c r="AM43" s="11" t="str">
        <f t="shared" si="9"/>
        <v/>
      </c>
      <c r="AN43" s="11" t="str">
        <f t="shared" si="10"/>
        <v/>
      </c>
      <c r="AO43" s="11" t="str">
        <f t="shared" si="11"/>
        <v/>
      </c>
      <c r="AP43" s="11" t="str">
        <f t="shared" si="11"/>
        <v/>
      </c>
      <c r="AQ43" s="11" t="str">
        <f t="shared" si="86"/>
        <v/>
      </c>
      <c r="AR43" s="11" t="str">
        <f t="shared" si="87"/>
        <v/>
      </c>
      <c r="AS43" s="11" t="str">
        <f t="shared" si="88"/>
        <v/>
      </c>
      <c r="AT43" s="11" t="str">
        <f t="shared" si="15"/>
        <v/>
      </c>
      <c r="AU43" s="55"/>
      <c r="AV43" s="113"/>
      <c r="AW43" s="15">
        <v>3</v>
      </c>
      <c r="AX43" s="29" t="str">
        <f t="shared" si="80"/>
        <v>Ngọc Ánh</v>
      </c>
      <c r="AY43" s="29" t="str">
        <f t="shared" si="16"/>
        <v>Phương Anh</v>
      </c>
      <c r="AZ43" s="29" t="str">
        <f t="shared" si="17"/>
        <v>Linh TH</v>
      </c>
      <c r="BA43" s="29" t="str">
        <f t="shared" si="18"/>
        <v>Xuân</v>
      </c>
      <c r="BB43" s="29" t="str">
        <f t="shared" si="19"/>
        <v>Aziz, Trà</v>
      </c>
      <c r="BC43" s="29" t="str">
        <f t="shared" si="20"/>
        <v>Chi</v>
      </c>
      <c r="BD43" s="29" t="str">
        <f t="shared" si="21"/>
        <v>Hồng</v>
      </c>
      <c r="BE43" s="29" t="str">
        <f t="shared" si="22"/>
        <v>Ngọc</v>
      </c>
      <c r="BF43" s="29" t="str">
        <f t="shared" si="23"/>
        <v>Tay, Chánh</v>
      </c>
      <c r="BG43" s="29" t="str">
        <f t="shared" si="24"/>
        <v>Ánh NV</v>
      </c>
      <c r="BH43" s="29" t="str">
        <f t="shared" si="25"/>
        <v>Quỳnh</v>
      </c>
      <c r="BI43" s="29" t="str">
        <f t="shared" si="26"/>
        <v>Huyền</v>
      </c>
      <c r="BJ43" s="29" t="str">
        <f t="shared" si="84"/>
        <v>Nguyên</v>
      </c>
      <c r="BK43" s="29" t="str">
        <f t="shared" si="85"/>
        <v>MN2</v>
      </c>
      <c r="BL43" s="29" t="str">
        <f t="shared" si="29"/>
        <v>Linh</v>
      </c>
      <c r="BM43" s="29" t="str">
        <f t="shared" si="30"/>
        <v/>
      </c>
      <c r="BN43" s="29" t="str">
        <f t="shared" si="31"/>
        <v/>
      </c>
      <c r="BO43" s="29" t="str">
        <f t="shared" si="32"/>
        <v/>
      </c>
      <c r="BP43" s="55"/>
      <c r="BQ43" s="113"/>
      <c r="BR43" s="15">
        <v>3</v>
      </c>
      <c r="BS43" s="29" t="str">
        <f t="shared" si="81"/>
        <v>Ngọc Ánh</v>
      </c>
      <c r="BT43" s="29" t="str">
        <f t="shared" si="33"/>
        <v>Phương Anh</v>
      </c>
      <c r="BU43" s="29" t="str">
        <f t="shared" si="34"/>
        <v>Linh TH</v>
      </c>
      <c r="BV43" s="29" t="str">
        <f t="shared" si="35"/>
        <v>Xuân</v>
      </c>
      <c r="BW43" s="29" t="str">
        <f t="shared" si="36"/>
        <v>Trà</v>
      </c>
      <c r="BX43" s="29" t="str">
        <f t="shared" si="37"/>
        <v>Chi</v>
      </c>
      <c r="BY43" s="29" t="str">
        <f t="shared" si="38"/>
        <v>Hồng</v>
      </c>
      <c r="BZ43" s="29" t="str">
        <f t="shared" si="39"/>
        <v>Ngọc</v>
      </c>
      <c r="CA43" s="29" t="str">
        <f t="shared" si="40"/>
        <v>Chánh</v>
      </c>
      <c r="CB43" s="29" t="str">
        <f t="shared" si="41"/>
        <v>Ánh NV</v>
      </c>
      <c r="CC43" s="29" t="str">
        <f t="shared" si="42"/>
        <v>Quỳnh</v>
      </c>
      <c r="CD43" s="29" t="str">
        <f t="shared" si="43"/>
        <v>Huyền</v>
      </c>
      <c r="CE43" s="29" t="str">
        <f t="shared" si="44"/>
        <v>Nguyên</v>
      </c>
      <c r="CG43" s="55"/>
      <c r="CH43" s="113"/>
      <c r="CI43" s="15">
        <v>3</v>
      </c>
      <c r="CJ43" s="29">
        <f t="shared" si="82"/>
        <v>1</v>
      </c>
      <c r="CK43" s="29">
        <f t="shared" si="45"/>
        <v>1</v>
      </c>
      <c r="CL43" s="29">
        <f t="shared" si="46"/>
        <v>1</v>
      </c>
      <c r="CM43" s="29">
        <f t="shared" si="47"/>
        <v>1</v>
      </c>
      <c r="CN43" s="29">
        <f t="shared" si="48"/>
        <v>1</v>
      </c>
      <c r="CO43" s="29">
        <f t="shared" si="49"/>
        <v>1</v>
      </c>
      <c r="CP43" s="29">
        <f t="shared" si="50"/>
        <v>1</v>
      </c>
      <c r="CQ43" s="29">
        <f t="shared" si="51"/>
        <v>1</v>
      </c>
      <c r="CR43" s="29">
        <f t="shared" si="52"/>
        <v>1</v>
      </c>
      <c r="CS43" s="29">
        <f t="shared" si="53"/>
        <v>1</v>
      </c>
      <c r="CT43" s="29">
        <f t="shared" si="54"/>
        <v>1</v>
      </c>
      <c r="CU43" s="29">
        <f t="shared" si="55"/>
        <v>1</v>
      </c>
      <c r="CV43" s="29">
        <f t="shared" si="56"/>
        <v>1</v>
      </c>
      <c r="CW43" s="29" t="str">
        <f t="shared" si="57"/>
        <v/>
      </c>
      <c r="CX43" s="29" t="str">
        <f t="shared" si="58"/>
        <v/>
      </c>
      <c r="CY43" s="29" t="str">
        <f t="shared" si="59"/>
        <v/>
      </c>
      <c r="CZ43" s="29">
        <f t="shared" si="60"/>
        <v>0</v>
      </c>
      <c r="DA43" s="29">
        <f t="shared" si="61"/>
        <v>0</v>
      </c>
      <c r="DG43" s="66"/>
      <c r="DH43" s="113"/>
      <c r="DI43" s="15">
        <v>3</v>
      </c>
      <c r="DJ43" s="29" t="str">
        <f t="shared" si="83"/>
        <v/>
      </c>
      <c r="DK43" s="29" t="str">
        <f t="shared" si="62"/>
        <v/>
      </c>
      <c r="DL43" s="29" t="str">
        <f t="shared" si="63"/>
        <v/>
      </c>
      <c r="DM43" s="29" t="str">
        <f t="shared" si="64"/>
        <v/>
      </c>
      <c r="DN43" s="29">
        <f t="shared" si="65"/>
        <v>1</v>
      </c>
      <c r="DO43" s="29" t="str">
        <f t="shared" si="66"/>
        <v/>
      </c>
      <c r="DP43" s="29" t="str">
        <f t="shared" si="67"/>
        <v/>
      </c>
      <c r="DQ43" s="29" t="str">
        <f t="shared" si="68"/>
        <v/>
      </c>
      <c r="DR43" s="29">
        <f t="shared" si="69"/>
        <v>1</v>
      </c>
      <c r="DS43" s="29" t="str">
        <f t="shared" si="70"/>
        <v/>
      </c>
      <c r="DT43" s="29" t="str">
        <f t="shared" si="71"/>
        <v/>
      </c>
      <c r="DU43" s="29" t="str">
        <f t="shared" si="72"/>
        <v/>
      </c>
      <c r="DV43" s="29" t="str">
        <f t="shared" si="73"/>
        <v/>
      </c>
      <c r="DW43" s="29" t="str">
        <f t="shared" si="74"/>
        <v/>
      </c>
      <c r="DX43" s="29" t="str">
        <f t="shared" si="75"/>
        <v/>
      </c>
      <c r="DY43" s="29" t="str">
        <f t="shared" si="76"/>
        <v/>
      </c>
      <c r="DZ43" s="29" t="str">
        <f t="shared" si="77"/>
        <v/>
      </c>
      <c r="EA43" s="29" t="str">
        <f t="shared" si="78"/>
        <v/>
      </c>
    </row>
    <row r="44" spans="5:131" ht="16.7" customHeight="1" x14ac:dyDescent="0.25">
      <c r="E44" s="22"/>
      <c r="F44" s="113"/>
      <c r="G44" s="15">
        <v>4</v>
      </c>
      <c r="H44" s="5" t="str">
        <f>TKB_LOP_SC!D24</f>
        <v>Toán - Ngọc Ánh</v>
      </c>
      <c r="I44" s="5" t="str">
        <f>TKB_LOP_SC!F24</f>
        <v>Robotics - Nguyên</v>
      </c>
      <c r="J44" s="5" t="str">
        <f>TKB_LOP_SC!H24</f>
        <v>TViệt - Linh TH</v>
      </c>
      <c r="K44" s="5" t="str">
        <f>TKB_LOP_SC!J24</f>
        <v>GVNN - Tay, Trà</v>
      </c>
      <c r="L44" s="5" t="str">
        <f>TKB_LOP_SC!N24</f>
        <v>Đọc sách - Xuân</v>
      </c>
      <c r="M44" s="5" t="str">
        <f>TKB_LOP_SC!P24</f>
        <v>Science - Bích</v>
      </c>
      <c r="N44" s="5" t="str">
        <f>TKB_LOP_SC!R24</f>
        <v>GDTC - Hồng</v>
      </c>
      <c r="O44" s="5" t="str">
        <f>TKB_LOP_SC!T24</f>
        <v>Toán - Chi</v>
      </c>
      <c r="P44" s="5" t="str">
        <f>TKB_LOP_SC!X24</f>
        <v>HĐTN - Phương Anh</v>
      </c>
      <c r="Q44" s="5" t="str">
        <f>TKB_LOP_SC!Z24</f>
        <v>Văn - Ánh NV</v>
      </c>
      <c r="R44" s="31" t="str">
        <f>TKB_LOP_SC!AB24</f>
        <v>Toán - Tân</v>
      </c>
      <c r="S44" s="31" t="str">
        <f>TKB_LOP_SC!AD24</f>
        <v>GVNN - Aziz, Huyền</v>
      </c>
      <c r="T44" s="29" t="str">
        <f>TKB_LOP_SC!AF24</f>
        <v>Vận động theo nhạc - MN1</v>
      </c>
      <c r="U44" s="29" t="str">
        <f>TKB_LOP_SC!AJ24</f>
        <v>Cãm xúc xã hội - MN2</v>
      </c>
      <c r="V44" s="29">
        <f>TKB_LOP_SC!AL24</f>
        <v>0</v>
      </c>
      <c r="W44" s="29">
        <f>TKB_LOP_SC!AN24</f>
        <v>0</v>
      </c>
      <c r="X44" s="29">
        <f>TKB_LOP_SC!AP24</f>
        <v>0</v>
      </c>
      <c r="Y44" s="29" t="str">
        <f>TKB_LOP_SC!AR24</f>
        <v>GVVN - Linh</v>
      </c>
      <c r="Z44" s="22"/>
      <c r="AA44" s="113"/>
      <c r="AB44" s="15">
        <v>4</v>
      </c>
      <c r="AC44" s="11" t="str">
        <f t="shared" si="79"/>
        <v/>
      </c>
      <c r="AD44" s="11" t="str">
        <f t="shared" si="0"/>
        <v/>
      </c>
      <c r="AE44" s="11" t="str">
        <f t="shared" si="1"/>
        <v/>
      </c>
      <c r="AF44" s="11" t="str">
        <f t="shared" si="2"/>
        <v>Tay</v>
      </c>
      <c r="AG44" s="11" t="str">
        <f t="shared" si="3"/>
        <v/>
      </c>
      <c r="AH44" s="11" t="str">
        <f t="shared" si="4"/>
        <v/>
      </c>
      <c r="AI44" s="11" t="str">
        <f t="shared" si="5"/>
        <v/>
      </c>
      <c r="AJ44" s="11" t="str">
        <f t="shared" si="6"/>
        <v/>
      </c>
      <c r="AK44" s="11" t="str">
        <f t="shared" si="7"/>
        <v/>
      </c>
      <c r="AL44" s="11" t="str">
        <f t="shared" si="8"/>
        <v/>
      </c>
      <c r="AM44" s="11" t="str">
        <f t="shared" si="9"/>
        <v/>
      </c>
      <c r="AN44" s="11" t="str">
        <f t="shared" si="10"/>
        <v>Aziz</v>
      </c>
      <c r="AO44" s="11" t="str">
        <f t="shared" si="11"/>
        <v/>
      </c>
      <c r="AP44" s="11" t="str">
        <f t="shared" si="11"/>
        <v/>
      </c>
      <c r="AQ44" s="11" t="str">
        <f t="shared" si="86"/>
        <v/>
      </c>
      <c r="AR44" s="11" t="str">
        <f t="shared" si="87"/>
        <v/>
      </c>
      <c r="AS44" s="11" t="str">
        <f t="shared" si="88"/>
        <v/>
      </c>
      <c r="AT44" s="11" t="str">
        <f t="shared" si="15"/>
        <v/>
      </c>
      <c r="AU44" s="55"/>
      <c r="AV44" s="113"/>
      <c r="AW44" s="15">
        <v>4</v>
      </c>
      <c r="AX44" s="29" t="str">
        <f t="shared" si="80"/>
        <v>Ngọc Ánh</v>
      </c>
      <c r="AY44" s="29" t="str">
        <f t="shared" si="16"/>
        <v>Nguyên</v>
      </c>
      <c r="AZ44" s="29" t="str">
        <f t="shared" si="17"/>
        <v>Linh TH</v>
      </c>
      <c r="BA44" s="29" t="str">
        <f t="shared" si="18"/>
        <v>Tay, Trà</v>
      </c>
      <c r="BB44" s="29" t="str">
        <f t="shared" si="19"/>
        <v>Xuân</v>
      </c>
      <c r="BC44" s="29" t="str">
        <f t="shared" si="20"/>
        <v>Bích</v>
      </c>
      <c r="BD44" s="29" t="str">
        <f t="shared" si="21"/>
        <v>Hồng</v>
      </c>
      <c r="BE44" s="29" t="str">
        <f t="shared" si="22"/>
        <v>Chi</v>
      </c>
      <c r="BF44" s="29" t="str">
        <f t="shared" si="23"/>
        <v>Phương Anh</v>
      </c>
      <c r="BG44" s="29" t="str">
        <f t="shared" si="24"/>
        <v>Ánh NV</v>
      </c>
      <c r="BH44" s="29" t="str">
        <f t="shared" si="25"/>
        <v>Tân</v>
      </c>
      <c r="BI44" s="29" t="str">
        <f t="shared" si="26"/>
        <v>Aziz, Huyền</v>
      </c>
      <c r="BJ44" s="29" t="str">
        <f t="shared" si="84"/>
        <v>MN1</v>
      </c>
      <c r="BK44" s="29" t="str">
        <f t="shared" si="85"/>
        <v>MN2</v>
      </c>
      <c r="BL44" s="29" t="str">
        <f t="shared" si="29"/>
        <v/>
      </c>
      <c r="BM44" s="29" t="str">
        <f t="shared" si="30"/>
        <v/>
      </c>
      <c r="BN44" s="29" t="str">
        <f t="shared" si="31"/>
        <v/>
      </c>
      <c r="BO44" s="29" t="str">
        <f t="shared" si="32"/>
        <v>Linh</v>
      </c>
      <c r="BP44" s="55"/>
      <c r="BQ44" s="113"/>
      <c r="BR44" s="15">
        <v>4</v>
      </c>
      <c r="BS44" s="29" t="str">
        <f t="shared" si="81"/>
        <v>Ngọc Ánh</v>
      </c>
      <c r="BT44" s="29" t="str">
        <f t="shared" si="33"/>
        <v>Nguyên</v>
      </c>
      <c r="BU44" s="29" t="str">
        <f t="shared" si="34"/>
        <v>Linh TH</v>
      </c>
      <c r="BV44" s="29" t="str">
        <f t="shared" si="35"/>
        <v>Trà</v>
      </c>
      <c r="BW44" s="29" t="str">
        <f t="shared" si="36"/>
        <v>Xuân</v>
      </c>
      <c r="BX44" s="29" t="str">
        <f t="shared" si="37"/>
        <v>Bích</v>
      </c>
      <c r="BY44" s="29" t="str">
        <f t="shared" si="38"/>
        <v>Hồng</v>
      </c>
      <c r="BZ44" s="29" t="str">
        <f t="shared" si="39"/>
        <v>Chi</v>
      </c>
      <c r="CA44" s="29" t="str">
        <f t="shared" si="40"/>
        <v>Phương Anh</v>
      </c>
      <c r="CB44" s="29" t="str">
        <f t="shared" si="41"/>
        <v>Ánh NV</v>
      </c>
      <c r="CC44" s="29" t="str">
        <f t="shared" si="42"/>
        <v>Tân</v>
      </c>
      <c r="CD44" s="29" t="str">
        <f t="shared" si="43"/>
        <v>Huyền</v>
      </c>
      <c r="CE44" s="29" t="str">
        <f t="shared" si="44"/>
        <v>MN1</v>
      </c>
      <c r="CG44" s="55"/>
      <c r="CH44" s="113"/>
      <c r="CI44" s="15">
        <v>4</v>
      </c>
      <c r="CJ44" s="29">
        <f t="shared" si="82"/>
        <v>1</v>
      </c>
      <c r="CK44" s="29">
        <f t="shared" si="45"/>
        <v>1</v>
      </c>
      <c r="CL44" s="29">
        <f t="shared" si="46"/>
        <v>1</v>
      </c>
      <c r="CM44" s="29">
        <f t="shared" si="47"/>
        <v>1</v>
      </c>
      <c r="CN44" s="29">
        <f t="shared" si="48"/>
        <v>1</v>
      </c>
      <c r="CO44" s="29">
        <f t="shared" si="49"/>
        <v>1</v>
      </c>
      <c r="CP44" s="29">
        <f t="shared" si="50"/>
        <v>1</v>
      </c>
      <c r="CQ44" s="29">
        <f t="shared" si="51"/>
        <v>1</v>
      </c>
      <c r="CR44" s="29">
        <f t="shared" si="52"/>
        <v>1</v>
      </c>
      <c r="CS44" s="29">
        <f t="shared" si="53"/>
        <v>1</v>
      </c>
      <c r="CT44" s="29">
        <f t="shared" si="54"/>
        <v>1</v>
      </c>
      <c r="CU44" s="29">
        <f t="shared" si="55"/>
        <v>1</v>
      </c>
      <c r="CV44" s="29">
        <f t="shared" si="56"/>
        <v>1</v>
      </c>
      <c r="CW44" s="29" t="str">
        <f t="shared" si="57"/>
        <v/>
      </c>
      <c r="CX44" s="29" t="str">
        <f t="shared" si="58"/>
        <v/>
      </c>
      <c r="CY44" s="29" t="str">
        <f t="shared" si="59"/>
        <v/>
      </c>
      <c r="CZ44" s="29">
        <f t="shared" si="60"/>
        <v>0</v>
      </c>
      <c r="DA44" s="29">
        <f t="shared" si="61"/>
        <v>0</v>
      </c>
      <c r="DG44" s="66"/>
      <c r="DH44" s="113"/>
      <c r="DI44" s="15">
        <v>4</v>
      </c>
      <c r="DJ44" s="29" t="str">
        <f t="shared" si="83"/>
        <v/>
      </c>
      <c r="DK44" s="29" t="str">
        <f t="shared" si="62"/>
        <v/>
      </c>
      <c r="DL44" s="29" t="str">
        <f t="shared" si="63"/>
        <v/>
      </c>
      <c r="DM44" s="29">
        <f t="shared" si="64"/>
        <v>1</v>
      </c>
      <c r="DN44" s="29" t="str">
        <f t="shared" si="65"/>
        <v/>
      </c>
      <c r="DO44" s="29" t="str">
        <f t="shared" si="66"/>
        <v/>
      </c>
      <c r="DP44" s="29" t="str">
        <f t="shared" si="67"/>
        <v/>
      </c>
      <c r="DQ44" s="29" t="str">
        <f t="shared" si="68"/>
        <v/>
      </c>
      <c r="DR44" s="29" t="str">
        <f t="shared" si="69"/>
        <v/>
      </c>
      <c r="DS44" s="29" t="str">
        <f t="shared" si="70"/>
        <v/>
      </c>
      <c r="DT44" s="29" t="str">
        <f t="shared" si="71"/>
        <v/>
      </c>
      <c r="DU44" s="29">
        <f t="shared" si="72"/>
        <v>1</v>
      </c>
      <c r="DV44" s="29" t="str">
        <f t="shared" si="73"/>
        <v/>
      </c>
      <c r="DW44" s="29" t="str">
        <f t="shared" si="74"/>
        <v/>
      </c>
      <c r="DX44" s="29" t="str">
        <f t="shared" si="75"/>
        <v/>
      </c>
      <c r="DY44" s="29" t="str">
        <f t="shared" si="76"/>
        <v/>
      </c>
      <c r="DZ44" s="29" t="str">
        <f t="shared" si="77"/>
        <v/>
      </c>
      <c r="EA44" s="29" t="str">
        <f t="shared" si="78"/>
        <v/>
      </c>
    </row>
    <row r="45" spans="5:131" ht="16.7" customHeight="1" x14ac:dyDescent="0.25">
      <c r="E45" s="22"/>
      <c r="F45" s="114"/>
      <c r="G45" s="16">
        <v>5</v>
      </c>
      <c r="H45" s="5">
        <f>TKB_LOP_SC!D25</f>
        <v>0</v>
      </c>
      <c r="I45" s="5">
        <f>TKB_LOP_SC!F25</f>
        <v>0</v>
      </c>
      <c r="J45" s="5">
        <f>TKB_LOP_SC!H25</f>
        <v>0</v>
      </c>
      <c r="K45" s="5">
        <f>TKB_LOP_SC!J25</f>
        <v>0</v>
      </c>
      <c r="L45" s="5">
        <f>TKB_LOP_SC!N25</f>
        <v>0</v>
      </c>
      <c r="M45" s="5">
        <f>TKB_LOP_SC!P25</f>
        <v>0</v>
      </c>
      <c r="N45" s="5">
        <f>TKB_LOP_SC!R25</f>
        <v>0</v>
      </c>
      <c r="O45" s="5">
        <f>TKB_LOP_SC!T25</f>
        <v>0</v>
      </c>
      <c r="P45" s="5">
        <f>TKB_LOP_SC!X25</f>
        <v>0</v>
      </c>
      <c r="Q45" s="5">
        <f>TKB_LOP_SC!Z25</f>
        <v>0</v>
      </c>
      <c r="R45" s="31">
        <f>TKB_LOP_SC!AB25</f>
        <v>0</v>
      </c>
      <c r="S45" s="31">
        <f>TKB_LOP_SC!AD25</f>
        <v>0</v>
      </c>
      <c r="T45" s="29">
        <f>TKB_LOP_SC!AF25</f>
        <v>0</v>
      </c>
      <c r="U45" s="29">
        <f>TKB_LOP_SC!AJ25</f>
        <v>0</v>
      </c>
      <c r="V45" s="29">
        <f>TKB_LOP_SC!AL25</f>
        <v>0</v>
      </c>
      <c r="W45" s="29">
        <f>TKB_LOP_SC!AN25</f>
        <v>0</v>
      </c>
      <c r="X45" s="29">
        <f>TKB_LOP_SC!AP25</f>
        <v>0</v>
      </c>
      <c r="Y45" s="29">
        <f>TKB_LOP_SC!AR25</f>
        <v>0</v>
      </c>
      <c r="Z45" s="22"/>
      <c r="AA45" s="114"/>
      <c r="AB45" s="16">
        <v>5</v>
      </c>
      <c r="AC45" s="11" t="str">
        <f t="shared" si="79"/>
        <v/>
      </c>
      <c r="AD45" s="11" t="str">
        <f t="shared" si="0"/>
        <v/>
      </c>
      <c r="AE45" s="11" t="str">
        <f t="shared" si="1"/>
        <v/>
      </c>
      <c r="AF45" s="11" t="str">
        <f t="shared" si="2"/>
        <v/>
      </c>
      <c r="AG45" s="11" t="str">
        <f t="shared" si="3"/>
        <v/>
      </c>
      <c r="AH45" s="11" t="str">
        <f t="shared" si="4"/>
        <v/>
      </c>
      <c r="AI45" s="11" t="str">
        <f t="shared" si="5"/>
        <v/>
      </c>
      <c r="AJ45" s="11" t="str">
        <f t="shared" si="6"/>
        <v/>
      </c>
      <c r="AK45" s="11" t="str">
        <f t="shared" si="7"/>
        <v/>
      </c>
      <c r="AL45" s="11" t="str">
        <f t="shared" si="8"/>
        <v/>
      </c>
      <c r="AM45" s="11" t="str">
        <f t="shared" si="9"/>
        <v/>
      </c>
      <c r="AN45" s="11" t="str">
        <f t="shared" si="10"/>
        <v/>
      </c>
      <c r="AO45" s="11" t="str">
        <f t="shared" si="11"/>
        <v/>
      </c>
      <c r="AP45" s="11" t="str">
        <f t="shared" si="11"/>
        <v/>
      </c>
      <c r="AQ45" s="11" t="str">
        <f t="shared" si="86"/>
        <v/>
      </c>
      <c r="AR45" s="11" t="str">
        <f t="shared" si="87"/>
        <v/>
      </c>
      <c r="AS45" s="11" t="str">
        <f t="shared" si="88"/>
        <v/>
      </c>
      <c r="AT45" s="11" t="str">
        <f t="shared" si="15"/>
        <v/>
      </c>
      <c r="AU45" s="55"/>
      <c r="AV45" s="114"/>
      <c r="AW45" s="16">
        <v>5</v>
      </c>
      <c r="AX45" s="29" t="str">
        <f t="shared" si="80"/>
        <v/>
      </c>
      <c r="AY45" s="29" t="str">
        <f t="shared" si="16"/>
        <v/>
      </c>
      <c r="AZ45" s="29" t="str">
        <f t="shared" si="17"/>
        <v/>
      </c>
      <c r="BA45" s="29" t="str">
        <f t="shared" si="18"/>
        <v/>
      </c>
      <c r="BB45" s="29" t="str">
        <f t="shared" si="19"/>
        <v/>
      </c>
      <c r="BC45" s="29" t="str">
        <f t="shared" si="20"/>
        <v/>
      </c>
      <c r="BD45" s="29" t="str">
        <f t="shared" si="21"/>
        <v/>
      </c>
      <c r="BE45" s="29" t="str">
        <f t="shared" si="22"/>
        <v/>
      </c>
      <c r="BF45" s="29" t="str">
        <f t="shared" si="23"/>
        <v/>
      </c>
      <c r="BG45" s="29" t="str">
        <f t="shared" si="24"/>
        <v/>
      </c>
      <c r="BH45" s="29" t="str">
        <f t="shared" si="25"/>
        <v/>
      </c>
      <c r="BI45" s="29" t="str">
        <f t="shared" si="26"/>
        <v/>
      </c>
      <c r="BJ45" s="29" t="str">
        <f t="shared" si="84"/>
        <v/>
      </c>
      <c r="BK45" s="29" t="str">
        <f t="shared" si="85"/>
        <v/>
      </c>
      <c r="BL45" s="29" t="str">
        <f t="shared" si="29"/>
        <v/>
      </c>
      <c r="BM45" s="29" t="str">
        <f t="shared" si="30"/>
        <v/>
      </c>
      <c r="BN45" s="29" t="str">
        <f t="shared" si="31"/>
        <v/>
      </c>
      <c r="BO45" s="29" t="str">
        <f t="shared" si="32"/>
        <v/>
      </c>
      <c r="BP45" s="55"/>
      <c r="BQ45" s="114"/>
      <c r="BR45" s="16">
        <v>5</v>
      </c>
      <c r="BS45" s="29" t="str">
        <f t="shared" si="81"/>
        <v/>
      </c>
      <c r="BT45" s="29" t="str">
        <f t="shared" si="33"/>
        <v/>
      </c>
      <c r="BU45" s="29" t="str">
        <f t="shared" si="34"/>
        <v/>
      </c>
      <c r="BV45" s="29" t="str">
        <f t="shared" si="35"/>
        <v/>
      </c>
      <c r="BW45" s="29" t="str">
        <f t="shared" si="36"/>
        <v/>
      </c>
      <c r="BX45" s="29" t="str">
        <f t="shared" si="37"/>
        <v/>
      </c>
      <c r="BY45" s="29" t="str">
        <f t="shared" si="38"/>
        <v/>
      </c>
      <c r="BZ45" s="29" t="str">
        <f t="shared" si="39"/>
        <v/>
      </c>
      <c r="CA45" s="29" t="str">
        <f t="shared" si="40"/>
        <v/>
      </c>
      <c r="CB45" s="29" t="str">
        <f t="shared" si="41"/>
        <v/>
      </c>
      <c r="CC45" s="29" t="str">
        <f t="shared" si="42"/>
        <v/>
      </c>
      <c r="CD45" s="29" t="str">
        <f t="shared" si="43"/>
        <v/>
      </c>
      <c r="CE45" s="29" t="str">
        <f t="shared" si="44"/>
        <v/>
      </c>
      <c r="CG45" s="55"/>
      <c r="CH45" s="114"/>
      <c r="CI45" s="16">
        <v>5</v>
      </c>
      <c r="CJ45" s="29" t="str">
        <f t="shared" si="82"/>
        <v/>
      </c>
      <c r="CK45" s="29" t="str">
        <f t="shared" si="45"/>
        <v/>
      </c>
      <c r="CL45" s="29" t="str">
        <f t="shared" si="46"/>
        <v/>
      </c>
      <c r="CM45" s="29" t="str">
        <f t="shared" si="47"/>
        <v/>
      </c>
      <c r="CN45" s="29" t="str">
        <f t="shared" si="48"/>
        <v/>
      </c>
      <c r="CO45" s="29" t="str">
        <f t="shared" si="49"/>
        <v/>
      </c>
      <c r="CP45" s="29" t="str">
        <f t="shared" si="50"/>
        <v/>
      </c>
      <c r="CQ45" s="29" t="str">
        <f t="shared" si="51"/>
        <v/>
      </c>
      <c r="CR45" s="29" t="str">
        <f t="shared" si="52"/>
        <v/>
      </c>
      <c r="CS45" s="29" t="str">
        <f t="shared" si="53"/>
        <v/>
      </c>
      <c r="CT45" s="29" t="str">
        <f t="shared" si="54"/>
        <v/>
      </c>
      <c r="CU45" s="29" t="str">
        <f t="shared" si="55"/>
        <v/>
      </c>
      <c r="CV45" s="29" t="str">
        <f t="shared" si="56"/>
        <v/>
      </c>
      <c r="CW45" s="29" t="str">
        <f t="shared" si="57"/>
        <v/>
      </c>
      <c r="CX45" s="29" t="str">
        <f t="shared" si="58"/>
        <v/>
      </c>
      <c r="CY45" s="29" t="str">
        <f t="shared" si="59"/>
        <v/>
      </c>
      <c r="CZ45" s="29">
        <f t="shared" si="60"/>
        <v>0</v>
      </c>
      <c r="DA45" s="29" t="str">
        <f t="shared" si="61"/>
        <v/>
      </c>
      <c r="DG45" s="66"/>
      <c r="DH45" s="114"/>
      <c r="DI45" s="16">
        <v>5</v>
      </c>
      <c r="DJ45" s="29" t="str">
        <f t="shared" si="83"/>
        <v/>
      </c>
      <c r="DK45" s="29" t="str">
        <f t="shared" si="62"/>
        <v/>
      </c>
      <c r="DL45" s="29" t="str">
        <f t="shared" si="63"/>
        <v/>
      </c>
      <c r="DM45" s="29" t="str">
        <f t="shared" si="64"/>
        <v/>
      </c>
      <c r="DN45" s="29" t="str">
        <f t="shared" si="65"/>
        <v/>
      </c>
      <c r="DO45" s="29" t="str">
        <f t="shared" si="66"/>
        <v/>
      </c>
      <c r="DP45" s="29" t="str">
        <f t="shared" si="67"/>
        <v/>
      </c>
      <c r="DQ45" s="29" t="str">
        <f t="shared" si="68"/>
        <v/>
      </c>
      <c r="DR45" s="29" t="str">
        <f t="shared" si="69"/>
        <v/>
      </c>
      <c r="DS45" s="29" t="str">
        <f t="shared" si="70"/>
        <v/>
      </c>
      <c r="DT45" s="29" t="str">
        <f t="shared" si="71"/>
        <v/>
      </c>
      <c r="DU45" s="29" t="str">
        <f t="shared" si="72"/>
        <v/>
      </c>
      <c r="DV45" s="29" t="str">
        <f t="shared" si="73"/>
        <v/>
      </c>
      <c r="DW45" s="29" t="str">
        <f t="shared" si="74"/>
        <v/>
      </c>
      <c r="DX45" s="29" t="str">
        <f t="shared" si="75"/>
        <v/>
      </c>
      <c r="DY45" s="29" t="str">
        <f t="shared" si="76"/>
        <v/>
      </c>
      <c r="DZ45" s="29" t="str">
        <f t="shared" si="77"/>
        <v/>
      </c>
      <c r="EA45" s="29" t="str">
        <f t="shared" si="78"/>
        <v/>
      </c>
    </row>
    <row r="46" spans="5:131" ht="16.7" customHeight="1" x14ac:dyDescent="0.25">
      <c r="E46" s="109">
        <v>6</v>
      </c>
      <c r="F46" s="112" t="s">
        <v>3</v>
      </c>
      <c r="G46" s="10">
        <v>1</v>
      </c>
      <c r="H46" s="11" t="str">
        <f>TKB_LOP_SC!C26</f>
        <v>TViệt - Ngọc Ánh</v>
      </c>
      <c r="I46" s="11" t="str">
        <f>TKB_LOP_SC!E26</f>
        <v>TViệt - Nhi</v>
      </c>
      <c r="J46" s="5" t="str">
        <f>TKB_LOP_SC!G26</f>
        <v>TDNN - Linh TH</v>
      </c>
      <c r="K46" s="11" t="str">
        <f>TKB_LOP_SC!I26</f>
        <v>Tin - Nguyên</v>
      </c>
      <c r="L46" s="11" t="str">
        <f>TKB_LOP_SC!M26</f>
        <v>TViệt - Ngọc</v>
      </c>
      <c r="M46" s="11" t="str">
        <f>TKB_LOP_SC!O26</f>
        <v>Toán - Chi</v>
      </c>
      <c r="N46" s="11" t="str">
        <f>TKB_LOP_SC!Q26</f>
        <v>Toán - Phương Anh</v>
      </c>
      <c r="O46" s="11" t="str">
        <f>TKB_LOP_SC!S26</f>
        <v>GVVN - Bích</v>
      </c>
      <c r="P46" s="5" t="str">
        <f>TKB_LOP_SC!W26</f>
        <v>LS&amp;ĐL - Hà</v>
      </c>
      <c r="Q46" s="11" t="str">
        <f>TKB_LOP_SC!Y26</f>
        <v>Mĩ thuật - Phương</v>
      </c>
      <c r="R46" s="11" t="str">
        <f>TKB_LOP_SC!AA26</f>
        <v>GDTC - Hồng</v>
      </c>
      <c r="S46" s="11" t="str">
        <f>TKB_LOP_SC!AC26</f>
        <v>GVNN - Aziz Huyền</v>
      </c>
      <c r="T46" s="2" t="str">
        <f>TKB_LOP_SC!AE26</f>
        <v>Nhạc - Trang ÂN</v>
      </c>
      <c r="U46" s="2" t="str">
        <f>TKB_LOP_SC!AI26</f>
        <v>TViệt - MN2</v>
      </c>
      <c r="V46" s="2">
        <f>TKB_LOP_SC!AK26</f>
        <v>0</v>
      </c>
      <c r="W46" s="2">
        <f>TKB_LOP_SC!AM26</f>
        <v>0</v>
      </c>
      <c r="X46" s="2">
        <f>TKB_LOP_SC!AO26</f>
        <v>0</v>
      </c>
      <c r="Y46" s="2" t="str">
        <f>TKB_LOP_SC!AQ26</f>
        <v>GVVN - Linh</v>
      </c>
      <c r="Z46" s="109">
        <v>6</v>
      </c>
      <c r="AA46" s="112" t="s">
        <v>3</v>
      </c>
      <c r="AB46" s="10">
        <v>1</v>
      </c>
      <c r="AC46" s="11" t="str">
        <f t="shared" si="79"/>
        <v/>
      </c>
      <c r="AD46" s="11" t="str">
        <f t="shared" si="0"/>
        <v/>
      </c>
      <c r="AE46" s="11" t="str">
        <f t="shared" si="1"/>
        <v/>
      </c>
      <c r="AF46" s="11" t="str">
        <f t="shared" si="2"/>
        <v/>
      </c>
      <c r="AG46" s="11" t="str">
        <f t="shared" si="3"/>
        <v/>
      </c>
      <c r="AH46" s="11" t="str">
        <f t="shared" si="4"/>
        <v/>
      </c>
      <c r="AI46" s="11" t="str">
        <f t="shared" si="5"/>
        <v/>
      </c>
      <c r="AJ46" s="11" t="str">
        <f t="shared" si="6"/>
        <v/>
      </c>
      <c r="AK46" s="11" t="str">
        <f t="shared" si="7"/>
        <v/>
      </c>
      <c r="AL46" s="11" t="str">
        <f t="shared" si="8"/>
        <v/>
      </c>
      <c r="AM46" s="11" t="str">
        <f t="shared" si="9"/>
        <v/>
      </c>
      <c r="AN46" s="11" t="str">
        <f t="shared" si="10"/>
        <v/>
      </c>
      <c r="AO46" s="11" t="str">
        <f t="shared" si="11"/>
        <v/>
      </c>
      <c r="AP46" s="11" t="str">
        <f t="shared" si="11"/>
        <v/>
      </c>
      <c r="AQ46" s="11" t="str">
        <f t="shared" si="86"/>
        <v/>
      </c>
      <c r="AR46" s="11" t="str">
        <f t="shared" si="87"/>
        <v/>
      </c>
      <c r="AS46" s="11" t="str">
        <f t="shared" si="88"/>
        <v/>
      </c>
      <c r="AT46" s="11" t="str">
        <f t="shared" si="15"/>
        <v/>
      </c>
      <c r="AU46" s="109">
        <v>6</v>
      </c>
      <c r="AV46" s="112" t="s">
        <v>3</v>
      </c>
      <c r="AW46" s="10">
        <v>1</v>
      </c>
      <c r="AX46" s="29" t="str">
        <f t="shared" si="80"/>
        <v>Ngọc Ánh</v>
      </c>
      <c r="AY46" s="29" t="str">
        <f t="shared" si="16"/>
        <v>Nhi</v>
      </c>
      <c r="AZ46" s="29" t="str">
        <f t="shared" si="17"/>
        <v>Linh TH</v>
      </c>
      <c r="BA46" s="29" t="str">
        <f t="shared" si="18"/>
        <v>Nguyên</v>
      </c>
      <c r="BB46" s="29" t="str">
        <f t="shared" si="19"/>
        <v>Ngọc</v>
      </c>
      <c r="BC46" s="29" t="str">
        <f t="shared" si="20"/>
        <v>Chi</v>
      </c>
      <c r="BD46" s="29" t="str">
        <f t="shared" si="21"/>
        <v>Phương Anh</v>
      </c>
      <c r="BE46" s="29" t="str">
        <f t="shared" si="22"/>
        <v>Bích</v>
      </c>
      <c r="BF46" s="29" t="str">
        <f t="shared" si="23"/>
        <v>Hà</v>
      </c>
      <c r="BG46" s="29" t="str">
        <f t="shared" si="24"/>
        <v>Phương</v>
      </c>
      <c r="BH46" s="29" t="str">
        <f t="shared" si="25"/>
        <v>Hồng</v>
      </c>
      <c r="BI46" s="29" t="str">
        <f t="shared" si="26"/>
        <v>Aziz Huyền</v>
      </c>
      <c r="BJ46" s="29" t="str">
        <f t="shared" si="84"/>
        <v>Trang ÂN</v>
      </c>
      <c r="BK46" s="29" t="str">
        <f t="shared" si="85"/>
        <v>MN2</v>
      </c>
      <c r="BL46" s="29" t="str">
        <f t="shared" si="29"/>
        <v/>
      </c>
      <c r="BM46" s="29" t="str">
        <f t="shared" si="30"/>
        <v/>
      </c>
      <c r="BN46" s="29" t="str">
        <f t="shared" si="31"/>
        <v/>
      </c>
      <c r="BO46" s="29" t="str">
        <f t="shared" si="32"/>
        <v>Linh</v>
      </c>
      <c r="BP46" s="109">
        <v>6</v>
      </c>
      <c r="BQ46" s="112" t="s">
        <v>3</v>
      </c>
      <c r="BR46" s="10">
        <v>1</v>
      </c>
      <c r="BS46" s="29" t="str">
        <f t="shared" si="81"/>
        <v>Ngọc Ánh</v>
      </c>
      <c r="BT46" s="29" t="str">
        <f t="shared" si="33"/>
        <v>Nhi</v>
      </c>
      <c r="BU46" s="29" t="str">
        <f t="shared" si="34"/>
        <v>Linh TH</v>
      </c>
      <c r="BV46" s="29" t="str">
        <f t="shared" si="35"/>
        <v>Nguyên</v>
      </c>
      <c r="BW46" s="29" t="str">
        <f t="shared" si="36"/>
        <v>Ngọc</v>
      </c>
      <c r="BX46" s="29" t="str">
        <f t="shared" si="37"/>
        <v>Chi</v>
      </c>
      <c r="BY46" s="29" t="str">
        <f t="shared" si="38"/>
        <v>Phương Anh</v>
      </c>
      <c r="BZ46" s="29" t="str">
        <f t="shared" si="39"/>
        <v>Bích</v>
      </c>
      <c r="CA46" s="29" t="str">
        <f t="shared" si="40"/>
        <v>Hà</v>
      </c>
      <c r="CB46" s="29" t="str">
        <f t="shared" si="41"/>
        <v>Phương</v>
      </c>
      <c r="CC46" s="29" t="str">
        <f t="shared" si="42"/>
        <v>Hồng</v>
      </c>
      <c r="CD46" s="29" t="str">
        <f t="shared" si="43"/>
        <v>Aziz Huyền</v>
      </c>
      <c r="CE46" s="29" t="str">
        <f t="shared" si="44"/>
        <v>Trang ÂN</v>
      </c>
      <c r="CG46" s="109">
        <v>6</v>
      </c>
      <c r="CH46" s="112" t="s">
        <v>3</v>
      </c>
      <c r="CI46" s="10">
        <v>1</v>
      </c>
      <c r="CJ46" s="29">
        <f t="shared" si="82"/>
        <v>1</v>
      </c>
      <c r="CK46" s="29">
        <f t="shared" si="45"/>
        <v>1</v>
      </c>
      <c r="CL46" s="29">
        <f t="shared" si="46"/>
        <v>1</v>
      </c>
      <c r="CM46" s="29">
        <f t="shared" si="47"/>
        <v>1</v>
      </c>
      <c r="CN46" s="29">
        <f t="shared" si="48"/>
        <v>1</v>
      </c>
      <c r="CO46" s="29">
        <f t="shared" si="49"/>
        <v>1</v>
      </c>
      <c r="CP46" s="29">
        <f t="shared" si="50"/>
        <v>1</v>
      </c>
      <c r="CQ46" s="29">
        <f t="shared" si="51"/>
        <v>1</v>
      </c>
      <c r="CR46" s="29">
        <f t="shared" si="52"/>
        <v>1</v>
      </c>
      <c r="CS46" s="29">
        <f t="shared" si="53"/>
        <v>1</v>
      </c>
      <c r="CT46" s="29">
        <f t="shared" si="54"/>
        <v>1</v>
      </c>
      <c r="CU46" s="29">
        <f t="shared" si="55"/>
        <v>1</v>
      </c>
      <c r="CV46" s="29">
        <f t="shared" si="56"/>
        <v>1</v>
      </c>
      <c r="CW46" s="29" t="str">
        <f t="shared" si="57"/>
        <v/>
      </c>
      <c r="CX46" s="29">
        <f t="shared" si="58"/>
        <v>0</v>
      </c>
      <c r="CY46" s="29">
        <f t="shared" si="59"/>
        <v>0</v>
      </c>
      <c r="CZ46" s="29">
        <f t="shared" si="60"/>
        <v>0</v>
      </c>
      <c r="DA46" s="29">
        <f t="shared" si="61"/>
        <v>0</v>
      </c>
      <c r="DG46" s="109">
        <v>6</v>
      </c>
      <c r="DH46" s="112" t="s">
        <v>3</v>
      </c>
      <c r="DI46" s="10">
        <v>1</v>
      </c>
      <c r="DJ46" s="29" t="str">
        <f t="shared" si="83"/>
        <v/>
      </c>
      <c r="DK46" s="29" t="str">
        <f t="shared" si="62"/>
        <v/>
      </c>
      <c r="DL46" s="29" t="str">
        <f t="shared" si="63"/>
        <v/>
      </c>
      <c r="DM46" s="29" t="str">
        <f t="shared" si="64"/>
        <v/>
      </c>
      <c r="DN46" s="29" t="str">
        <f t="shared" si="65"/>
        <v/>
      </c>
      <c r="DO46" s="29" t="str">
        <f t="shared" si="66"/>
        <v/>
      </c>
      <c r="DP46" s="29" t="str">
        <f t="shared" si="67"/>
        <v/>
      </c>
      <c r="DQ46" s="29" t="str">
        <f t="shared" si="68"/>
        <v/>
      </c>
      <c r="DR46" s="29" t="str">
        <f t="shared" si="69"/>
        <v/>
      </c>
      <c r="DS46" s="29" t="str">
        <f t="shared" si="70"/>
        <v/>
      </c>
      <c r="DT46" s="29" t="str">
        <f t="shared" si="71"/>
        <v/>
      </c>
      <c r="DU46" s="29" t="str">
        <f t="shared" si="72"/>
        <v/>
      </c>
      <c r="DV46" s="29" t="str">
        <f t="shared" si="73"/>
        <v/>
      </c>
      <c r="DW46" s="29" t="str">
        <f t="shared" si="74"/>
        <v/>
      </c>
      <c r="DX46" s="29" t="str">
        <f t="shared" si="75"/>
        <v/>
      </c>
      <c r="DY46" s="29" t="str">
        <f t="shared" si="76"/>
        <v/>
      </c>
      <c r="DZ46" s="29" t="str">
        <f t="shared" si="77"/>
        <v/>
      </c>
      <c r="EA46" s="29" t="str">
        <f t="shared" si="78"/>
        <v/>
      </c>
    </row>
    <row r="47" spans="5:131" ht="16.7" customHeight="1" x14ac:dyDescent="0.25">
      <c r="E47" s="110"/>
      <c r="F47" s="113"/>
      <c r="G47" s="15">
        <v>2</v>
      </c>
      <c r="H47" s="11" t="str">
        <f>TKB_LOP_SC!C27</f>
        <v>TViệt -Ngọc Ánh</v>
      </c>
      <c r="I47" s="11" t="str">
        <f>TKB_LOP_SC!E27</f>
        <v>GVVN - Huyền</v>
      </c>
      <c r="J47" s="5" t="str">
        <f>TKB_LOP_SC!G27</f>
        <v>GVVN - Trang</v>
      </c>
      <c r="K47" s="11" t="str">
        <f>TKB_LOP_SC!I27</f>
        <v>Mĩ thuật - Phương</v>
      </c>
      <c r="L47" s="11" t="str">
        <f>TKB_LOP_SC!M27</f>
        <v>TViệt - Ngọc</v>
      </c>
      <c r="M47" s="11" t="str">
        <f>TKB_LOP_SC!O27</f>
        <v>Robotics - Nguyên</v>
      </c>
      <c r="N47" s="11" t="str">
        <f>TKB_LOP_SC!Q27</f>
        <v>GVVN - Quỳnh</v>
      </c>
      <c r="O47" s="11" t="str">
        <f>TKB_LOP_SC!S27</f>
        <v>Toán - Chi</v>
      </c>
      <c r="P47" s="5" t="str">
        <f>TKB_LOP_SC!W27</f>
        <v>Toán - Tân</v>
      </c>
      <c r="Q47" s="11" t="str">
        <f>TKB_LOP_SC!Y27</f>
        <v>GDCD - Hà</v>
      </c>
      <c r="R47" s="11" t="str">
        <f>TKB_LOP_SC!AA27</f>
        <v>GDTC - Hồng</v>
      </c>
      <c r="S47" s="11" t="str">
        <f>TKB_LOP_SC!AC27</f>
        <v>Cãm xúc xã hội - Hiền</v>
      </c>
      <c r="T47" s="2" t="str">
        <f>TKB_LOP_SC!AE27</f>
        <v>TViệt - MN1</v>
      </c>
      <c r="U47" s="2" t="str">
        <f>TKB_LOP_SC!AI27</f>
        <v>Nhạc - Trang ÂN</v>
      </c>
      <c r="V47" s="2" t="str">
        <f>TKB_LOP_SC!AK27</f>
        <v>GVNN - Aziz, Quỳnh</v>
      </c>
      <c r="W47" s="2">
        <f>TKB_LOP_SC!AM27</f>
        <v>0</v>
      </c>
      <c r="X47" s="2" t="str">
        <f>TKB_LOP_SC!AO27</f>
        <v>GVVN - Linh</v>
      </c>
      <c r="Y47" s="2">
        <f>TKB_LOP_SC!AQ27</f>
        <v>0</v>
      </c>
      <c r="Z47" s="110"/>
      <c r="AA47" s="113"/>
      <c r="AB47" s="15">
        <v>2</v>
      </c>
      <c r="AC47" s="11" t="str">
        <f t="shared" si="79"/>
        <v/>
      </c>
      <c r="AD47" s="11" t="str">
        <f t="shared" si="0"/>
        <v/>
      </c>
      <c r="AE47" s="11" t="str">
        <f t="shared" si="1"/>
        <v/>
      </c>
      <c r="AF47" s="11" t="str">
        <f t="shared" si="2"/>
        <v/>
      </c>
      <c r="AG47" s="11" t="str">
        <f t="shared" si="3"/>
        <v/>
      </c>
      <c r="AH47" s="11" t="str">
        <f t="shared" si="4"/>
        <v/>
      </c>
      <c r="AI47" s="11" t="str">
        <f t="shared" si="5"/>
        <v/>
      </c>
      <c r="AJ47" s="11" t="str">
        <f t="shared" si="6"/>
        <v/>
      </c>
      <c r="AK47" s="11" t="str">
        <f t="shared" si="7"/>
        <v/>
      </c>
      <c r="AL47" s="11" t="str">
        <f t="shared" si="8"/>
        <v/>
      </c>
      <c r="AM47" s="11" t="str">
        <f t="shared" si="9"/>
        <v/>
      </c>
      <c r="AN47" s="11" t="str">
        <f t="shared" si="10"/>
        <v/>
      </c>
      <c r="AO47" s="11" t="str">
        <f t="shared" si="11"/>
        <v/>
      </c>
      <c r="AP47" s="11" t="str">
        <f t="shared" si="11"/>
        <v/>
      </c>
      <c r="AQ47" s="11" t="str">
        <f t="shared" si="86"/>
        <v/>
      </c>
      <c r="AR47" s="11" t="str">
        <f t="shared" si="87"/>
        <v/>
      </c>
      <c r="AS47" s="11" t="str">
        <f t="shared" si="88"/>
        <v/>
      </c>
      <c r="AT47" s="11" t="str">
        <f t="shared" si="15"/>
        <v/>
      </c>
      <c r="AU47" s="110"/>
      <c r="AV47" s="113"/>
      <c r="AW47" s="15">
        <v>2</v>
      </c>
      <c r="AX47" s="29" t="str">
        <f t="shared" si="80"/>
        <v>gọc Ánh</v>
      </c>
      <c r="AY47" s="29" t="str">
        <f t="shared" si="16"/>
        <v>Huyền</v>
      </c>
      <c r="AZ47" s="29" t="str">
        <f t="shared" si="17"/>
        <v>Trang</v>
      </c>
      <c r="BA47" s="29" t="str">
        <f t="shared" si="18"/>
        <v>Phương</v>
      </c>
      <c r="BB47" s="29" t="str">
        <f t="shared" si="19"/>
        <v>Ngọc</v>
      </c>
      <c r="BC47" s="29" t="str">
        <f t="shared" si="20"/>
        <v>Nguyên</v>
      </c>
      <c r="BD47" s="29" t="str">
        <f t="shared" si="21"/>
        <v>Quỳnh</v>
      </c>
      <c r="BE47" s="29" t="str">
        <f t="shared" si="22"/>
        <v>Chi</v>
      </c>
      <c r="BF47" s="29" t="str">
        <f t="shared" si="23"/>
        <v>Tân</v>
      </c>
      <c r="BG47" s="29" t="str">
        <f t="shared" si="24"/>
        <v>Hà</v>
      </c>
      <c r="BH47" s="29" t="str">
        <f t="shared" si="25"/>
        <v>Hồng</v>
      </c>
      <c r="BI47" s="29" t="str">
        <f t="shared" si="26"/>
        <v>Hiền</v>
      </c>
      <c r="BJ47" s="29" t="str">
        <f t="shared" si="84"/>
        <v>MN1</v>
      </c>
      <c r="BK47" s="29" t="str">
        <f t="shared" si="85"/>
        <v>Trang ÂN</v>
      </c>
      <c r="BL47" s="29" t="str">
        <f t="shared" si="29"/>
        <v>Aziz, Quỳnh</v>
      </c>
      <c r="BM47" s="29" t="str">
        <f t="shared" si="30"/>
        <v/>
      </c>
      <c r="BN47" s="29" t="str">
        <f t="shared" si="31"/>
        <v>Linh</v>
      </c>
      <c r="BO47" s="29" t="str">
        <f t="shared" si="32"/>
        <v/>
      </c>
      <c r="BP47" s="110"/>
      <c r="BQ47" s="113"/>
      <c r="BR47" s="15">
        <v>2</v>
      </c>
      <c r="BS47" s="29" t="str">
        <f t="shared" si="81"/>
        <v>gọc Ánh</v>
      </c>
      <c r="BT47" s="29" t="str">
        <f t="shared" si="33"/>
        <v>Huyền</v>
      </c>
      <c r="BU47" s="29" t="str">
        <f t="shared" si="34"/>
        <v>Trang</v>
      </c>
      <c r="BV47" s="29" t="str">
        <f t="shared" si="35"/>
        <v>Phương</v>
      </c>
      <c r="BW47" s="29" t="str">
        <f t="shared" si="36"/>
        <v>Ngọc</v>
      </c>
      <c r="BX47" s="29" t="str">
        <f t="shared" si="37"/>
        <v>Nguyên</v>
      </c>
      <c r="BY47" s="29" t="str">
        <f t="shared" si="38"/>
        <v>Quỳnh</v>
      </c>
      <c r="BZ47" s="29" t="str">
        <f t="shared" si="39"/>
        <v>Chi</v>
      </c>
      <c r="CA47" s="29" t="str">
        <f t="shared" si="40"/>
        <v>Tân</v>
      </c>
      <c r="CB47" s="29" t="str">
        <f t="shared" si="41"/>
        <v>Hà</v>
      </c>
      <c r="CC47" s="29" t="str">
        <f t="shared" si="42"/>
        <v>Hồng</v>
      </c>
      <c r="CD47" s="29" t="str">
        <f t="shared" si="43"/>
        <v>Hiền</v>
      </c>
      <c r="CE47" s="29" t="str">
        <f t="shared" si="44"/>
        <v>MN1</v>
      </c>
      <c r="CG47" s="110"/>
      <c r="CH47" s="113"/>
      <c r="CI47" s="15">
        <v>2</v>
      </c>
      <c r="CJ47" s="29">
        <f t="shared" si="82"/>
        <v>1</v>
      </c>
      <c r="CK47" s="29">
        <f t="shared" si="45"/>
        <v>1</v>
      </c>
      <c r="CL47" s="29">
        <f t="shared" si="46"/>
        <v>1</v>
      </c>
      <c r="CM47" s="29">
        <f t="shared" si="47"/>
        <v>1</v>
      </c>
      <c r="CN47" s="29">
        <f t="shared" si="48"/>
        <v>1</v>
      </c>
      <c r="CO47" s="29">
        <f t="shared" si="49"/>
        <v>1</v>
      </c>
      <c r="CP47" s="29">
        <f t="shared" si="50"/>
        <v>1</v>
      </c>
      <c r="CQ47" s="29">
        <f t="shared" si="51"/>
        <v>1</v>
      </c>
      <c r="CR47" s="29">
        <f t="shared" si="52"/>
        <v>1</v>
      </c>
      <c r="CS47" s="29">
        <f t="shared" si="53"/>
        <v>1</v>
      </c>
      <c r="CT47" s="29">
        <f t="shared" si="54"/>
        <v>1</v>
      </c>
      <c r="CU47" s="29">
        <f t="shared" si="55"/>
        <v>1</v>
      </c>
      <c r="CV47" s="29">
        <f t="shared" si="56"/>
        <v>1</v>
      </c>
      <c r="CW47" s="29" t="str">
        <f t="shared" si="57"/>
        <v/>
      </c>
      <c r="CX47" s="29" t="str">
        <f t="shared" si="58"/>
        <v/>
      </c>
      <c r="CY47" s="29" t="str">
        <f t="shared" si="59"/>
        <v/>
      </c>
      <c r="CZ47" s="29">
        <f t="shared" si="60"/>
        <v>0</v>
      </c>
      <c r="DA47" s="29">
        <f t="shared" si="61"/>
        <v>0</v>
      </c>
      <c r="DG47" s="110"/>
      <c r="DH47" s="113"/>
      <c r="DI47" s="15">
        <v>2</v>
      </c>
      <c r="DJ47" s="29" t="str">
        <f t="shared" si="83"/>
        <v/>
      </c>
      <c r="DK47" s="29" t="str">
        <f t="shared" si="62"/>
        <v/>
      </c>
      <c r="DL47" s="29" t="str">
        <f t="shared" si="63"/>
        <v/>
      </c>
      <c r="DM47" s="29" t="str">
        <f t="shared" si="64"/>
        <v/>
      </c>
      <c r="DN47" s="29" t="str">
        <f t="shared" si="65"/>
        <v/>
      </c>
      <c r="DO47" s="29" t="str">
        <f t="shared" si="66"/>
        <v/>
      </c>
      <c r="DP47" s="29" t="str">
        <f t="shared" si="67"/>
        <v/>
      </c>
      <c r="DQ47" s="29" t="str">
        <f t="shared" si="68"/>
        <v/>
      </c>
      <c r="DR47" s="29" t="str">
        <f t="shared" si="69"/>
        <v/>
      </c>
      <c r="DS47" s="29" t="str">
        <f t="shared" si="70"/>
        <v/>
      </c>
      <c r="DT47" s="29" t="str">
        <f t="shared" si="71"/>
        <v/>
      </c>
      <c r="DU47" s="29" t="str">
        <f t="shared" si="72"/>
        <v/>
      </c>
      <c r="DV47" s="29" t="str">
        <f t="shared" si="73"/>
        <v/>
      </c>
      <c r="DW47" s="29" t="str">
        <f t="shared" si="74"/>
        <v/>
      </c>
      <c r="DX47" s="29" t="str">
        <f t="shared" si="75"/>
        <v/>
      </c>
      <c r="DY47" s="29" t="str">
        <f t="shared" si="76"/>
        <v/>
      </c>
      <c r="DZ47" s="29" t="str">
        <f t="shared" si="77"/>
        <v/>
      </c>
      <c r="EA47" s="29" t="str">
        <f t="shared" si="78"/>
        <v/>
      </c>
    </row>
    <row r="48" spans="5:131" ht="16.7" customHeight="1" x14ac:dyDescent="0.25">
      <c r="E48" s="110"/>
      <c r="F48" s="113"/>
      <c r="G48" s="15">
        <v>3</v>
      </c>
      <c r="H48" s="11" t="str">
        <f>TKB_LOP_SC!C28</f>
        <v>GVVN - Trang</v>
      </c>
      <c r="I48" s="11" t="str">
        <f>TKB_LOP_SC!E28</f>
        <v>Mĩ thuật - Phương</v>
      </c>
      <c r="J48" s="5" t="str">
        <f>TKB_LOP_SC!G28</f>
        <v>Toán - Linh TH</v>
      </c>
      <c r="K48" s="11" t="str">
        <f>TKB_LOP_SC!I28</f>
        <v>TViệt - Xuân</v>
      </c>
      <c r="L48" s="11" t="str">
        <f>TKB_LOP_SC!M28</f>
        <v>GVVN - Trà</v>
      </c>
      <c r="M48" s="11" t="str">
        <f>TKB_LOP_SC!O28</f>
        <v>TNXH - Nhi</v>
      </c>
      <c r="N48" s="11" t="str">
        <f>TKB_LOP_SC!Q28</f>
        <v>TViệt - Ly</v>
      </c>
      <c r="O48" s="11" t="str">
        <f>TKB_LOP_SC!S28</f>
        <v>TViệt - Ngọc</v>
      </c>
      <c r="P48" s="5" t="str">
        <f>TKB_LOP_SC!W28</f>
        <v>Toán - Tân</v>
      </c>
      <c r="Q48" s="11" t="str">
        <f>TKB_LOP_SC!Y28</f>
        <v>LS&amp;ĐL - Hà</v>
      </c>
      <c r="R48" s="11" t="str">
        <f>TKB_LOP_SC!AA28</f>
        <v>GVNN - Tay, Quỳnh</v>
      </c>
      <c r="S48" s="11" t="str">
        <f>TKB_LOP_SC!AC28</f>
        <v>Nhạc - Trang ÂN</v>
      </c>
      <c r="T48" s="2" t="str">
        <f>TKB_LOP_SC!AE28</f>
        <v>TViệt - MN1</v>
      </c>
      <c r="U48" s="2" t="str">
        <f>TKB_LOP_SC!AI28</f>
        <v>TViệt - MN2</v>
      </c>
      <c r="V48" s="2">
        <f>TKB_LOP_SC!AK28</f>
        <v>0</v>
      </c>
      <c r="W48" s="2" t="str">
        <f>TKB_LOP_SC!AM28</f>
        <v>GVNN - Aziz, Ngân</v>
      </c>
      <c r="X48" s="2">
        <f>TKB_LOP_SC!AO28</f>
        <v>0</v>
      </c>
      <c r="Y48" s="2">
        <f>TKB_LOP_SC!AQ28</f>
        <v>0</v>
      </c>
      <c r="Z48" s="110"/>
      <c r="AA48" s="113"/>
      <c r="AB48" s="15">
        <v>3</v>
      </c>
      <c r="AC48" s="11" t="str">
        <f t="shared" si="79"/>
        <v/>
      </c>
      <c r="AD48" s="11" t="str">
        <f t="shared" si="0"/>
        <v/>
      </c>
      <c r="AE48" s="11" t="str">
        <f t="shared" si="1"/>
        <v/>
      </c>
      <c r="AF48" s="11" t="str">
        <f t="shared" si="2"/>
        <v/>
      </c>
      <c r="AG48" s="11" t="str">
        <f t="shared" si="3"/>
        <v/>
      </c>
      <c r="AH48" s="11" t="str">
        <f t="shared" si="4"/>
        <v/>
      </c>
      <c r="AI48" s="11" t="str">
        <f t="shared" si="5"/>
        <v/>
      </c>
      <c r="AJ48" s="11" t="str">
        <f t="shared" si="6"/>
        <v/>
      </c>
      <c r="AK48" s="11" t="str">
        <f t="shared" si="7"/>
        <v/>
      </c>
      <c r="AL48" s="11" t="str">
        <f t="shared" si="8"/>
        <v/>
      </c>
      <c r="AM48" s="11" t="str">
        <f t="shared" si="9"/>
        <v>Tay</v>
      </c>
      <c r="AN48" s="11" t="str">
        <f t="shared" si="10"/>
        <v/>
      </c>
      <c r="AO48" s="11" t="str">
        <f t="shared" si="11"/>
        <v/>
      </c>
      <c r="AP48" s="11" t="str">
        <f t="shared" si="11"/>
        <v/>
      </c>
      <c r="AQ48" s="11" t="str">
        <f t="shared" si="86"/>
        <v/>
      </c>
      <c r="AR48" s="11" t="str">
        <f t="shared" si="87"/>
        <v/>
      </c>
      <c r="AS48" s="11" t="str">
        <f t="shared" si="88"/>
        <v/>
      </c>
      <c r="AT48" s="11" t="str">
        <f t="shared" si="15"/>
        <v/>
      </c>
      <c r="AU48" s="110"/>
      <c r="AV48" s="113"/>
      <c r="AW48" s="15">
        <v>3</v>
      </c>
      <c r="AX48" s="29" t="str">
        <f t="shared" si="80"/>
        <v>Trang</v>
      </c>
      <c r="AY48" s="29" t="str">
        <f t="shared" si="16"/>
        <v>Phương</v>
      </c>
      <c r="AZ48" s="29" t="str">
        <f t="shared" si="17"/>
        <v>Linh TH</v>
      </c>
      <c r="BA48" s="29" t="str">
        <f t="shared" si="18"/>
        <v>Xuân</v>
      </c>
      <c r="BB48" s="29" t="str">
        <f t="shared" si="19"/>
        <v>Trà</v>
      </c>
      <c r="BC48" s="29" t="str">
        <f t="shared" si="20"/>
        <v>Nhi</v>
      </c>
      <c r="BD48" s="29" t="str">
        <f t="shared" si="21"/>
        <v>Ly</v>
      </c>
      <c r="BE48" s="29" t="str">
        <f t="shared" si="22"/>
        <v>Ngọc</v>
      </c>
      <c r="BF48" s="29" t="str">
        <f t="shared" si="23"/>
        <v>Tân</v>
      </c>
      <c r="BG48" s="29" t="str">
        <f t="shared" si="24"/>
        <v>Hà</v>
      </c>
      <c r="BH48" s="29" t="str">
        <f t="shared" si="25"/>
        <v>Tay, Quỳnh</v>
      </c>
      <c r="BI48" s="29" t="str">
        <f t="shared" si="26"/>
        <v>Trang ÂN</v>
      </c>
      <c r="BJ48" s="29" t="str">
        <f t="shared" si="84"/>
        <v>MN1</v>
      </c>
      <c r="BK48" s="29" t="str">
        <f t="shared" si="85"/>
        <v>MN2</v>
      </c>
      <c r="BL48" s="29" t="str">
        <f t="shared" si="29"/>
        <v/>
      </c>
      <c r="BM48" s="29" t="str">
        <f t="shared" si="30"/>
        <v>Aziz, Ngân</v>
      </c>
      <c r="BN48" s="29" t="str">
        <f t="shared" si="31"/>
        <v/>
      </c>
      <c r="BO48" s="29" t="str">
        <f t="shared" si="32"/>
        <v/>
      </c>
      <c r="BP48" s="110"/>
      <c r="BQ48" s="113"/>
      <c r="BR48" s="15">
        <v>3</v>
      </c>
      <c r="BS48" s="29" t="str">
        <f t="shared" si="81"/>
        <v>Trang</v>
      </c>
      <c r="BT48" s="29" t="str">
        <f t="shared" si="33"/>
        <v>Phương</v>
      </c>
      <c r="BU48" s="29" t="str">
        <f t="shared" si="34"/>
        <v>Linh TH</v>
      </c>
      <c r="BV48" s="29" t="str">
        <f t="shared" si="35"/>
        <v>Xuân</v>
      </c>
      <c r="BW48" s="29" t="str">
        <f t="shared" si="36"/>
        <v>Trà</v>
      </c>
      <c r="BX48" s="29" t="str">
        <f t="shared" si="37"/>
        <v>Nhi</v>
      </c>
      <c r="BY48" s="29" t="str">
        <f t="shared" si="38"/>
        <v>Ly</v>
      </c>
      <c r="BZ48" s="29" t="str">
        <f t="shared" si="39"/>
        <v>Ngọc</v>
      </c>
      <c r="CA48" s="29" t="str">
        <f t="shared" si="40"/>
        <v>Tân</v>
      </c>
      <c r="CB48" s="29" t="str">
        <f t="shared" si="41"/>
        <v>Hà</v>
      </c>
      <c r="CC48" s="29" t="str">
        <f t="shared" si="42"/>
        <v>Quỳnh</v>
      </c>
      <c r="CD48" s="29" t="str">
        <f t="shared" si="43"/>
        <v>Trang ÂN</v>
      </c>
      <c r="CE48" s="29" t="str">
        <f t="shared" si="44"/>
        <v>MN1</v>
      </c>
      <c r="CG48" s="110"/>
      <c r="CH48" s="113"/>
      <c r="CI48" s="15">
        <v>3</v>
      </c>
      <c r="CJ48" s="29">
        <f t="shared" si="82"/>
        <v>1</v>
      </c>
      <c r="CK48" s="29">
        <f t="shared" si="45"/>
        <v>1</v>
      </c>
      <c r="CL48" s="29">
        <f t="shared" si="46"/>
        <v>1</v>
      </c>
      <c r="CM48" s="29">
        <f t="shared" si="47"/>
        <v>1</v>
      </c>
      <c r="CN48" s="29">
        <f t="shared" si="48"/>
        <v>1</v>
      </c>
      <c r="CO48" s="29">
        <f t="shared" si="49"/>
        <v>1</v>
      </c>
      <c r="CP48" s="29">
        <f t="shared" si="50"/>
        <v>1</v>
      </c>
      <c r="CQ48" s="29">
        <f t="shared" si="51"/>
        <v>1</v>
      </c>
      <c r="CR48" s="29">
        <f t="shared" si="52"/>
        <v>1</v>
      </c>
      <c r="CS48" s="29">
        <f t="shared" si="53"/>
        <v>1</v>
      </c>
      <c r="CT48" s="29">
        <f t="shared" si="54"/>
        <v>1</v>
      </c>
      <c r="CU48" s="29">
        <f t="shared" si="55"/>
        <v>1</v>
      </c>
      <c r="CV48" s="29">
        <f t="shared" si="56"/>
        <v>1</v>
      </c>
      <c r="CW48" s="29" t="str">
        <f t="shared" si="57"/>
        <v/>
      </c>
      <c r="CX48" s="29" t="str">
        <f t="shared" si="58"/>
        <v/>
      </c>
      <c r="CY48" s="29" t="str">
        <f t="shared" si="59"/>
        <v/>
      </c>
      <c r="CZ48" s="29">
        <f t="shared" si="60"/>
        <v>0</v>
      </c>
      <c r="DA48" s="29">
        <f t="shared" si="61"/>
        <v>0</v>
      </c>
      <c r="DG48" s="110"/>
      <c r="DH48" s="113"/>
      <c r="DI48" s="15">
        <v>3</v>
      </c>
      <c r="DJ48" s="29" t="str">
        <f t="shared" si="83"/>
        <v/>
      </c>
      <c r="DK48" s="29" t="str">
        <f t="shared" si="62"/>
        <v/>
      </c>
      <c r="DL48" s="29" t="str">
        <f t="shared" si="63"/>
        <v/>
      </c>
      <c r="DM48" s="29" t="str">
        <f t="shared" si="64"/>
        <v/>
      </c>
      <c r="DN48" s="29" t="str">
        <f t="shared" si="65"/>
        <v/>
      </c>
      <c r="DO48" s="29" t="str">
        <f t="shared" si="66"/>
        <v/>
      </c>
      <c r="DP48" s="29" t="str">
        <f t="shared" si="67"/>
        <v/>
      </c>
      <c r="DQ48" s="29" t="str">
        <f t="shared" si="68"/>
        <v/>
      </c>
      <c r="DR48" s="29" t="str">
        <f t="shared" si="69"/>
        <v/>
      </c>
      <c r="DS48" s="29" t="str">
        <f t="shared" si="70"/>
        <v/>
      </c>
      <c r="DT48" s="29">
        <f t="shared" si="71"/>
        <v>1</v>
      </c>
      <c r="DU48" s="29" t="str">
        <f t="shared" si="72"/>
        <v/>
      </c>
      <c r="DV48" s="29" t="str">
        <f t="shared" si="73"/>
        <v/>
      </c>
      <c r="DW48" s="29" t="str">
        <f t="shared" si="74"/>
        <v/>
      </c>
      <c r="DX48" s="29" t="str">
        <f t="shared" si="75"/>
        <v/>
      </c>
      <c r="DY48" s="29" t="str">
        <f t="shared" si="76"/>
        <v/>
      </c>
      <c r="DZ48" s="29" t="str">
        <f t="shared" si="77"/>
        <v/>
      </c>
      <c r="EA48" s="29" t="str">
        <f t="shared" si="78"/>
        <v/>
      </c>
    </row>
    <row r="49" spans="5:131" ht="16.7" customHeight="1" x14ac:dyDescent="0.25">
      <c r="E49" s="110"/>
      <c r="F49" s="113"/>
      <c r="G49" s="15">
        <v>4</v>
      </c>
      <c r="H49" s="11" t="str">
        <f>TKB_LOP_SC!C29</f>
        <v>Toán - Ngọc Ánh</v>
      </c>
      <c r="I49" s="11" t="str">
        <f>TKB_LOP_SC!E29</f>
        <v>Toán - Phương Anh</v>
      </c>
      <c r="J49" s="5" t="str">
        <f>TKB_LOP_SC!G29</f>
        <v>Toán - Linh TH</v>
      </c>
      <c r="K49" s="11" t="str">
        <f>TKB_LOP_SC!I29</f>
        <v>TViệt - Xuân</v>
      </c>
      <c r="L49" s="11" t="str">
        <f>TKB_LOP_SC!M29</f>
        <v>Mĩ thuật - Phương</v>
      </c>
      <c r="M49" s="11" t="str">
        <f>TKB_LOP_SC!O29</f>
        <v>GVVN - Bích</v>
      </c>
      <c r="N49" s="11" t="str">
        <f>TKB_LOP_SC!Q29</f>
        <v>LS&amp;ĐL - Ly</v>
      </c>
      <c r="O49" s="11" t="str">
        <f>TKB_LOP_SC!S29</f>
        <v>TViệt - Ngọc</v>
      </c>
      <c r="P49" s="5" t="str">
        <f>TKB_LOP_SC!W29</f>
        <v>Tin - Nguyên</v>
      </c>
      <c r="Q49" s="11" t="str">
        <f>TKB_LOP_SC!Y29</f>
        <v>GDTC - Hồng</v>
      </c>
      <c r="R49" s="11" t="str">
        <f>TKB_LOP_SC!AA29</f>
        <v>GVVN - Quỳnh</v>
      </c>
      <c r="S49" s="11" t="str">
        <f>TKB_LOP_SC!AC29</f>
        <v>TViệt - Hiền</v>
      </c>
      <c r="T49" s="2" t="str">
        <f>TKB_LOP_SC!AE29</f>
        <v>GVNN - Aziz, Huyền</v>
      </c>
      <c r="U49" s="2" t="str">
        <f>TKB_LOP_SC!AI29</f>
        <v>GVNN - Aziz, Huyền</v>
      </c>
      <c r="V49" s="2">
        <f>TKB_LOP_SC!AK29</f>
        <v>0</v>
      </c>
      <c r="W49" s="2">
        <f>TKB_LOP_SC!AM29</f>
        <v>0</v>
      </c>
      <c r="X49" s="2">
        <f>TKB_LOP_SC!AO29</f>
        <v>0</v>
      </c>
      <c r="Y49" s="2">
        <f>TKB_LOP_SC!AQ29</f>
        <v>0</v>
      </c>
      <c r="Z49" s="110"/>
      <c r="AA49" s="113"/>
      <c r="AB49" s="15">
        <v>4</v>
      </c>
      <c r="AC49" s="11" t="str">
        <f t="shared" si="79"/>
        <v/>
      </c>
      <c r="AD49" s="11" t="str">
        <f t="shared" si="0"/>
        <v/>
      </c>
      <c r="AE49" s="11" t="str">
        <f t="shared" si="1"/>
        <v/>
      </c>
      <c r="AF49" s="11" t="str">
        <f t="shared" si="2"/>
        <v/>
      </c>
      <c r="AG49" s="11" t="str">
        <f t="shared" si="3"/>
        <v/>
      </c>
      <c r="AH49" s="11" t="str">
        <f t="shared" si="4"/>
        <v/>
      </c>
      <c r="AI49" s="11" t="str">
        <f t="shared" si="5"/>
        <v/>
      </c>
      <c r="AJ49" s="11" t="str">
        <f t="shared" si="6"/>
        <v/>
      </c>
      <c r="AK49" s="11" t="str">
        <f t="shared" si="7"/>
        <v/>
      </c>
      <c r="AL49" s="11" t="str">
        <f t="shared" si="8"/>
        <v/>
      </c>
      <c r="AM49" s="11" t="str">
        <f t="shared" si="9"/>
        <v/>
      </c>
      <c r="AN49" s="11" t="str">
        <f t="shared" si="10"/>
        <v/>
      </c>
      <c r="AO49" s="11" t="str">
        <f t="shared" si="11"/>
        <v>Aziz</v>
      </c>
      <c r="AP49" s="11" t="str">
        <f t="shared" si="11"/>
        <v>Aziz</v>
      </c>
      <c r="AQ49" s="11" t="str">
        <f t="shared" si="86"/>
        <v/>
      </c>
      <c r="AR49" s="11" t="str">
        <f t="shared" si="87"/>
        <v/>
      </c>
      <c r="AS49" s="11" t="str">
        <f t="shared" si="88"/>
        <v/>
      </c>
      <c r="AT49" s="11" t="str">
        <f t="shared" si="15"/>
        <v/>
      </c>
      <c r="AU49" s="110"/>
      <c r="AV49" s="113"/>
      <c r="AW49" s="15">
        <v>4</v>
      </c>
      <c r="AX49" s="29" t="str">
        <f t="shared" si="80"/>
        <v>Ngọc Ánh</v>
      </c>
      <c r="AY49" s="29" t="str">
        <f t="shared" si="16"/>
        <v>Phương Anh</v>
      </c>
      <c r="AZ49" s="29" t="str">
        <f t="shared" si="17"/>
        <v>Linh TH</v>
      </c>
      <c r="BA49" s="29" t="str">
        <f t="shared" si="18"/>
        <v>Xuân</v>
      </c>
      <c r="BB49" s="29" t="str">
        <f t="shared" si="19"/>
        <v>Phương</v>
      </c>
      <c r="BC49" s="29" t="str">
        <f t="shared" si="20"/>
        <v>Bích</v>
      </c>
      <c r="BD49" s="29" t="str">
        <f t="shared" si="21"/>
        <v>Ly</v>
      </c>
      <c r="BE49" s="29" t="str">
        <f t="shared" si="22"/>
        <v>Ngọc</v>
      </c>
      <c r="BF49" s="29" t="str">
        <f t="shared" si="23"/>
        <v>Nguyên</v>
      </c>
      <c r="BG49" s="29" t="str">
        <f t="shared" si="24"/>
        <v>Hồng</v>
      </c>
      <c r="BH49" s="29" t="str">
        <f t="shared" si="25"/>
        <v>Quỳnh</v>
      </c>
      <c r="BI49" s="29" t="str">
        <f t="shared" si="26"/>
        <v>Hiền</v>
      </c>
      <c r="BJ49" s="29" t="str">
        <f t="shared" si="84"/>
        <v>Aziz, Huyền</v>
      </c>
      <c r="BK49" s="29" t="str">
        <f t="shared" si="85"/>
        <v>Aziz, Huyền</v>
      </c>
      <c r="BL49" s="29" t="str">
        <f t="shared" si="29"/>
        <v/>
      </c>
      <c r="BM49" s="29" t="str">
        <f t="shared" si="30"/>
        <v/>
      </c>
      <c r="BN49" s="29" t="str">
        <f t="shared" si="31"/>
        <v/>
      </c>
      <c r="BO49" s="29" t="str">
        <f t="shared" si="32"/>
        <v/>
      </c>
      <c r="BP49" s="110"/>
      <c r="BQ49" s="113"/>
      <c r="BR49" s="15">
        <v>4</v>
      </c>
      <c r="BS49" s="29" t="str">
        <f t="shared" si="81"/>
        <v>Ngọc Ánh</v>
      </c>
      <c r="BT49" s="29" t="str">
        <f t="shared" si="33"/>
        <v>Phương Anh</v>
      </c>
      <c r="BU49" s="29" t="str">
        <f t="shared" si="34"/>
        <v>Linh TH</v>
      </c>
      <c r="BV49" s="29" t="str">
        <f t="shared" si="35"/>
        <v>Xuân</v>
      </c>
      <c r="BW49" s="29" t="str">
        <f t="shared" si="36"/>
        <v>Phương</v>
      </c>
      <c r="BX49" s="29" t="str">
        <f t="shared" si="37"/>
        <v>Bích</v>
      </c>
      <c r="BY49" s="29" t="str">
        <f t="shared" si="38"/>
        <v>Ly</v>
      </c>
      <c r="BZ49" s="29" t="str">
        <f t="shared" si="39"/>
        <v>Ngọc</v>
      </c>
      <c r="CA49" s="29" t="str">
        <f t="shared" si="40"/>
        <v>Nguyên</v>
      </c>
      <c r="CB49" s="29" t="str">
        <f t="shared" si="41"/>
        <v>Hồng</v>
      </c>
      <c r="CC49" s="29" t="str">
        <f t="shared" si="42"/>
        <v>Quỳnh</v>
      </c>
      <c r="CD49" s="29" t="str">
        <f t="shared" si="43"/>
        <v>Hiền</v>
      </c>
      <c r="CE49" s="29" t="str">
        <f t="shared" si="44"/>
        <v>Huyền</v>
      </c>
      <c r="CG49" s="110"/>
      <c r="CH49" s="113"/>
      <c r="CI49" s="15">
        <v>4</v>
      </c>
      <c r="CJ49" s="29">
        <f t="shared" si="82"/>
        <v>1</v>
      </c>
      <c r="CK49" s="29">
        <f t="shared" si="45"/>
        <v>1</v>
      </c>
      <c r="CL49" s="29">
        <f t="shared" si="46"/>
        <v>1</v>
      </c>
      <c r="CM49" s="29">
        <f t="shared" si="47"/>
        <v>1</v>
      </c>
      <c r="CN49" s="29">
        <f t="shared" si="48"/>
        <v>1</v>
      </c>
      <c r="CO49" s="29">
        <f t="shared" si="49"/>
        <v>1</v>
      </c>
      <c r="CP49" s="29">
        <f>IF(BY49="","",COUNTIF($BS49:$CE49,BY49))</f>
        <v>1</v>
      </c>
      <c r="CQ49" s="29">
        <f t="shared" si="51"/>
        <v>1</v>
      </c>
      <c r="CR49" s="29">
        <f t="shared" si="52"/>
        <v>1</v>
      </c>
      <c r="CS49" s="29">
        <f t="shared" si="53"/>
        <v>1</v>
      </c>
      <c r="CT49" s="29">
        <f t="shared" si="54"/>
        <v>1</v>
      </c>
      <c r="CU49" s="29">
        <f t="shared" si="55"/>
        <v>1</v>
      </c>
      <c r="CV49" s="29">
        <f t="shared" si="56"/>
        <v>1</v>
      </c>
      <c r="CW49" s="29" t="str">
        <f t="shared" si="57"/>
        <v/>
      </c>
      <c r="CX49" s="29" t="str">
        <f t="shared" si="58"/>
        <v/>
      </c>
      <c r="CY49" s="29" t="str">
        <f t="shared" si="59"/>
        <v/>
      </c>
      <c r="CZ49" s="29">
        <f t="shared" si="60"/>
        <v>0</v>
      </c>
      <c r="DA49" s="29">
        <f t="shared" si="61"/>
        <v>0</v>
      </c>
      <c r="DG49" s="110"/>
      <c r="DH49" s="113"/>
      <c r="DI49" s="15">
        <v>4</v>
      </c>
      <c r="DJ49" s="29" t="str">
        <f t="shared" si="83"/>
        <v/>
      </c>
      <c r="DK49" s="29" t="str">
        <f t="shared" si="62"/>
        <v/>
      </c>
      <c r="DL49" s="29" t="str">
        <f t="shared" si="63"/>
        <v/>
      </c>
      <c r="DM49" s="29" t="str">
        <f t="shared" si="64"/>
        <v/>
      </c>
      <c r="DN49" s="29" t="str">
        <f t="shared" si="65"/>
        <v/>
      </c>
      <c r="DO49" s="29" t="str">
        <f t="shared" si="66"/>
        <v/>
      </c>
      <c r="DP49" s="29" t="str">
        <f t="shared" si="67"/>
        <v/>
      </c>
      <c r="DQ49" s="29" t="str">
        <f t="shared" si="68"/>
        <v/>
      </c>
      <c r="DR49" s="29" t="str">
        <f t="shared" si="69"/>
        <v/>
      </c>
      <c r="DS49" s="29" t="str">
        <f t="shared" si="70"/>
        <v/>
      </c>
      <c r="DT49" s="29" t="str">
        <f t="shared" si="71"/>
        <v/>
      </c>
      <c r="DU49" s="29" t="str">
        <f t="shared" si="72"/>
        <v/>
      </c>
      <c r="DV49" s="29">
        <f t="shared" si="73"/>
        <v>1</v>
      </c>
      <c r="DW49" s="29">
        <f t="shared" si="74"/>
        <v>1</v>
      </c>
      <c r="DX49" s="29" t="str">
        <f t="shared" si="75"/>
        <v/>
      </c>
      <c r="DY49" s="29" t="str">
        <f t="shared" si="76"/>
        <v/>
      </c>
      <c r="DZ49" s="29" t="str">
        <f t="shared" si="77"/>
        <v/>
      </c>
      <c r="EA49" s="29" t="str">
        <f t="shared" si="78"/>
        <v/>
      </c>
    </row>
    <row r="50" spans="5:131" ht="16.7" customHeight="1" x14ac:dyDescent="0.25">
      <c r="E50" s="111"/>
      <c r="F50" s="114"/>
      <c r="G50" s="16">
        <v>5</v>
      </c>
      <c r="H50" s="17"/>
      <c r="I50" s="17"/>
      <c r="J50" s="5">
        <f>TKB_LOP_SC!G30</f>
        <v>0</v>
      </c>
      <c r="K50" s="17"/>
      <c r="L50" s="17"/>
      <c r="M50" s="17"/>
      <c r="N50" s="17"/>
      <c r="O50" s="17" t="s">
        <v>17</v>
      </c>
      <c r="P50" s="5" t="str">
        <f>TKB_LOP_SC!W30</f>
        <v>Robotics - Nguyên</v>
      </c>
      <c r="Q50" s="17"/>
      <c r="R50" s="18"/>
      <c r="S50" s="19"/>
      <c r="T50" s="2">
        <f>TKB_LOP_SC!AE30</f>
        <v>0</v>
      </c>
      <c r="U50" s="2">
        <f>TKB_LOP_SC!AI30</f>
        <v>0</v>
      </c>
      <c r="V50" s="2">
        <f>TKB_LOP_SC!AK30</f>
        <v>0</v>
      </c>
      <c r="W50" s="2">
        <f>TKB_LOP_SC!AM30</f>
        <v>0</v>
      </c>
      <c r="X50" s="2">
        <f>TKB_LOP_SC!AO30</f>
        <v>0</v>
      </c>
      <c r="Y50" s="2">
        <f>TKB_LOP_SC!AQ30</f>
        <v>0</v>
      </c>
      <c r="Z50" s="111"/>
      <c r="AA50" s="114"/>
      <c r="AB50" s="16">
        <v>5</v>
      </c>
      <c r="AC50" s="11" t="str">
        <f t="shared" si="79"/>
        <v/>
      </c>
      <c r="AD50" s="11" t="str">
        <f t="shared" si="0"/>
        <v/>
      </c>
      <c r="AE50" s="11" t="str">
        <f t="shared" si="1"/>
        <v/>
      </c>
      <c r="AF50" s="11" t="str">
        <f t="shared" si="2"/>
        <v/>
      </c>
      <c r="AG50" s="11" t="str">
        <f t="shared" si="3"/>
        <v/>
      </c>
      <c r="AH50" s="11" t="str">
        <f t="shared" si="4"/>
        <v/>
      </c>
      <c r="AI50" s="11" t="str">
        <f t="shared" si="5"/>
        <v/>
      </c>
      <c r="AJ50" s="11" t="str">
        <f t="shared" si="6"/>
        <v/>
      </c>
      <c r="AK50" s="11" t="str">
        <f t="shared" si="7"/>
        <v/>
      </c>
      <c r="AL50" s="11" t="str">
        <f t="shared" si="8"/>
        <v/>
      </c>
      <c r="AM50" s="11" t="str">
        <f t="shared" si="9"/>
        <v/>
      </c>
      <c r="AN50" s="11" t="str">
        <f t="shared" si="10"/>
        <v/>
      </c>
      <c r="AO50" s="11" t="str">
        <f t="shared" si="11"/>
        <v/>
      </c>
      <c r="AP50" s="11" t="str">
        <f t="shared" si="11"/>
        <v/>
      </c>
      <c r="AQ50" s="11" t="str">
        <f t="shared" si="86"/>
        <v/>
      </c>
      <c r="AR50" s="11" t="str">
        <f t="shared" si="87"/>
        <v/>
      </c>
      <c r="AS50" s="11" t="str">
        <f t="shared" si="88"/>
        <v/>
      </c>
      <c r="AT50" s="11" t="str">
        <f t="shared" si="15"/>
        <v/>
      </c>
      <c r="AU50" s="111"/>
      <c r="AV50" s="114"/>
      <c r="AW50" s="16">
        <v>5</v>
      </c>
      <c r="AX50" s="29" t="str">
        <f t="shared" si="80"/>
        <v/>
      </c>
      <c r="AY50" s="29" t="str">
        <f t="shared" si="16"/>
        <v/>
      </c>
      <c r="AZ50" s="29" t="str">
        <f t="shared" si="17"/>
        <v/>
      </c>
      <c r="BA50" s="29" t="str">
        <f t="shared" si="18"/>
        <v/>
      </c>
      <c r="BB50" s="29" t="str">
        <f t="shared" si="19"/>
        <v/>
      </c>
      <c r="BC50" s="29" t="str">
        <f t="shared" si="20"/>
        <v/>
      </c>
      <c r="BD50" s="29" t="str">
        <f t="shared" si="21"/>
        <v/>
      </c>
      <c r="BE50" s="29" t="str">
        <f t="shared" si="22"/>
        <v>Ph.Anh</v>
      </c>
      <c r="BF50" s="29" t="str">
        <f t="shared" si="23"/>
        <v>Nguyên</v>
      </c>
      <c r="BG50" s="29" t="str">
        <f t="shared" si="24"/>
        <v/>
      </c>
      <c r="BH50" s="29" t="str">
        <f t="shared" si="25"/>
        <v/>
      </c>
      <c r="BI50" s="29" t="str">
        <f t="shared" si="26"/>
        <v/>
      </c>
      <c r="BJ50" s="29" t="str">
        <f t="shared" si="84"/>
        <v/>
      </c>
      <c r="BK50" s="29" t="str">
        <f t="shared" si="85"/>
        <v/>
      </c>
      <c r="BL50" s="29" t="str">
        <f t="shared" si="29"/>
        <v/>
      </c>
      <c r="BM50" s="29" t="str">
        <f t="shared" si="30"/>
        <v/>
      </c>
      <c r="BN50" s="29" t="str">
        <f t="shared" si="31"/>
        <v/>
      </c>
      <c r="BO50" s="29" t="str">
        <f t="shared" si="32"/>
        <v/>
      </c>
      <c r="BP50" s="111"/>
      <c r="BQ50" s="114"/>
      <c r="BR50" s="16">
        <v>5</v>
      </c>
      <c r="BS50" s="29" t="str">
        <f t="shared" si="81"/>
        <v/>
      </c>
      <c r="BT50" s="29" t="str">
        <f t="shared" si="33"/>
        <v/>
      </c>
      <c r="BU50" s="29" t="str">
        <f t="shared" si="34"/>
        <v/>
      </c>
      <c r="BV50" s="29" t="str">
        <f t="shared" si="35"/>
        <v/>
      </c>
      <c r="BW50" s="29" t="str">
        <f t="shared" si="36"/>
        <v/>
      </c>
      <c r="BX50" s="29" t="str">
        <f t="shared" si="37"/>
        <v/>
      </c>
      <c r="BY50" s="29" t="str">
        <f t="shared" si="38"/>
        <v/>
      </c>
      <c r="BZ50" s="29" t="str">
        <f t="shared" si="39"/>
        <v>Ph.Anh</v>
      </c>
      <c r="CA50" s="29" t="str">
        <f t="shared" si="40"/>
        <v>Nguyên</v>
      </c>
      <c r="CB50" s="29" t="str">
        <f t="shared" si="41"/>
        <v/>
      </c>
      <c r="CC50" s="29" t="str">
        <f t="shared" si="42"/>
        <v/>
      </c>
      <c r="CD50" s="29" t="str">
        <f t="shared" si="43"/>
        <v/>
      </c>
      <c r="CE50" s="29" t="str">
        <f t="shared" si="44"/>
        <v/>
      </c>
      <c r="CG50" s="111"/>
      <c r="CH50" s="114"/>
      <c r="CI50" s="16">
        <v>5</v>
      </c>
      <c r="CJ50" s="29" t="str">
        <f t="shared" si="82"/>
        <v/>
      </c>
      <c r="CK50" s="29" t="str">
        <f t="shared" si="45"/>
        <v/>
      </c>
      <c r="CL50" s="29" t="str">
        <f t="shared" si="46"/>
        <v/>
      </c>
      <c r="CM50" s="29" t="str">
        <f t="shared" si="47"/>
        <v/>
      </c>
      <c r="CN50" s="29" t="str">
        <f t="shared" si="48"/>
        <v/>
      </c>
      <c r="CO50" s="29" t="str">
        <f t="shared" si="49"/>
        <v/>
      </c>
      <c r="CP50" s="29" t="str">
        <f t="shared" si="50"/>
        <v/>
      </c>
      <c r="CQ50" s="29">
        <f t="shared" si="51"/>
        <v>1</v>
      </c>
      <c r="CR50" s="29">
        <f t="shared" si="52"/>
        <v>1</v>
      </c>
      <c r="CS50" s="29" t="str">
        <f t="shared" si="53"/>
        <v/>
      </c>
      <c r="CT50" s="29" t="str">
        <f t="shared" si="54"/>
        <v/>
      </c>
      <c r="CU50" s="29" t="str">
        <f t="shared" si="55"/>
        <v/>
      </c>
      <c r="CV50" s="29" t="str">
        <f t="shared" si="56"/>
        <v/>
      </c>
      <c r="CW50" s="29" t="str">
        <f t="shared" si="57"/>
        <v/>
      </c>
      <c r="CX50" s="29" t="str">
        <f t="shared" si="58"/>
        <v/>
      </c>
      <c r="CY50" s="29" t="str">
        <f t="shared" si="59"/>
        <v/>
      </c>
      <c r="CZ50" s="29">
        <f t="shared" si="60"/>
        <v>0</v>
      </c>
      <c r="DA50" s="29" t="str">
        <f t="shared" si="61"/>
        <v/>
      </c>
      <c r="DG50" s="111"/>
      <c r="DH50" s="114"/>
      <c r="DI50" s="16">
        <v>5</v>
      </c>
      <c r="DJ50" s="29" t="str">
        <f t="shared" si="83"/>
        <v/>
      </c>
      <c r="DK50" s="29" t="str">
        <f t="shared" si="62"/>
        <v/>
      </c>
      <c r="DL50" s="29" t="str">
        <f t="shared" si="63"/>
        <v/>
      </c>
      <c r="DM50" s="29" t="str">
        <f t="shared" si="64"/>
        <v/>
      </c>
      <c r="DN50" s="29" t="str">
        <f t="shared" si="65"/>
        <v/>
      </c>
      <c r="DO50" s="29" t="str">
        <f t="shared" si="66"/>
        <v/>
      </c>
      <c r="DP50" s="29" t="str">
        <f t="shared" si="67"/>
        <v/>
      </c>
      <c r="DQ50" s="29" t="str">
        <f t="shared" si="68"/>
        <v/>
      </c>
      <c r="DR50" s="29" t="str">
        <f t="shared" si="69"/>
        <v/>
      </c>
      <c r="DS50" s="29" t="str">
        <f t="shared" si="70"/>
        <v/>
      </c>
      <c r="DT50" s="29" t="str">
        <f t="shared" si="71"/>
        <v/>
      </c>
      <c r="DU50" s="29" t="str">
        <f t="shared" si="72"/>
        <v/>
      </c>
      <c r="DV50" s="29" t="str">
        <f t="shared" si="73"/>
        <v/>
      </c>
      <c r="DW50" s="29" t="str">
        <f t="shared" si="74"/>
        <v/>
      </c>
      <c r="DX50" s="29" t="str">
        <f t="shared" si="75"/>
        <v/>
      </c>
      <c r="DY50" s="29" t="str">
        <f t="shared" si="76"/>
        <v/>
      </c>
      <c r="DZ50" s="29" t="str">
        <f t="shared" si="77"/>
        <v/>
      </c>
      <c r="EA50" s="29" t="str">
        <f t="shared" si="78"/>
        <v/>
      </c>
    </row>
    <row r="51" spans="5:131" ht="16.7" customHeight="1" x14ac:dyDescent="0.25">
      <c r="E51" s="109"/>
      <c r="F51" s="112" t="s">
        <v>4</v>
      </c>
      <c r="G51" s="10">
        <v>1</v>
      </c>
      <c r="H51" s="5" t="str">
        <f>TKB_LOP_SC!D26</f>
        <v>GVVN - Trang</v>
      </c>
      <c r="I51" s="5" t="str">
        <f>TKB_LOP_SC!F26</f>
        <v>GVVN - Huyền</v>
      </c>
      <c r="J51" s="5" t="str">
        <f>TKB_LOP_SC!H26</f>
        <v>Đọc sách - Xuân</v>
      </c>
      <c r="K51" s="5" t="str">
        <f>TKB_LOP_SC!J26</f>
        <v>GVVN - Trà</v>
      </c>
      <c r="L51" s="5" t="str">
        <f>TKB_LOP_SC!N26</f>
        <v>Đạo đức - Nhi</v>
      </c>
      <c r="M51" s="5" t="str">
        <f>TKB_LOP_SC!P26</f>
        <v>Toán - Chi</v>
      </c>
      <c r="N51" s="5" t="str">
        <f>TKB_LOP_SC!R26</f>
        <v>TViệt - Ly</v>
      </c>
      <c r="O51" s="5" t="str">
        <f>TKB_LOP_SC!T26</f>
        <v>Science - Bích</v>
      </c>
      <c r="P51" s="5" t="str">
        <f>TKB_LOP_SC!X26</f>
        <v>GDTC - Hồng</v>
      </c>
      <c r="Q51" s="5" t="str">
        <f>TKB_LOP_SC!Z26</f>
        <v>Toán - Tân</v>
      </c>
      <c r="R51" s="31" t="str">
        <f>TKB_LOP_SC!AB26</f>
        <v>Tin - Nguyên</v>
      </c>
      <c r="S51" s="31" t="str">
        <f>TKB_LOP_SC!AD26</f>
        <v>HĐ tự chọn - Hiền</v>
      </c>
      <c r="T51" s="29" t="str">
        <f>TKB_LOP_SC!AF26</f>
        <v>HĐ tự chọn - MN1</v>
      </c>
      <c r="U51" s="29" t="str">
        <f>TKB_LOP_SC!AJ26</f>
        <v>HĐ tự chọn - MN2</v>
      </c>
      <c r="V51" s="29">
        <f>TKB_LOP_SC!AL26</f>
        <v>0</v>
      </c>
      <c r="W51" s="29">
        <f>TKB_LOP_SC!AN26</f>
        <v>0</v>
      </c>
      <c r="X51" s="29">
        <f>TKB_LOP_SC!AP26</f>
        <v>0</v>
      </c>
      <c r="Y51" s="29">
        <f>TKB_LOP_SC!AR26</f>
        <v>0</v>
      </c>
      <c r="Z51" s="109"/>
      <c r="AA51" s="112" t="s">
        <v>4</v>
      </c>
      <c r="AB51" s="10">
        <v>1</v>
      </c>
      <c r="AC51" s="11" t="str">
        <f t="shared" si="79"/>
        <v/>
      </c>
      <c r="AD51" s="11" t="str">
        <f t="shared" si="0"/>
        <v/>
      </c>
      <c r="AE51" s="11" t="str">
        <f t="shared" si="1"/>
        <v/>
      </c>
      <c r="AF51" s="11" t="str">
        <f t="shared" si="2"/>
        <v/>
      </c>
      <c r="AG51" s="11" t="str">
        <f t="shared" si="3"/>
        <v/>
      </c>
      <c r="AH51" s="11" t="str">
        <f t="shared" si="4"/>
        <v/>
      </c>
      <c r="AI51" s="11" t="str">
        <f t="shared" si="5"/>
        <v/>
      </c>
      <c r="AJ51" s="11" t="str">
        <f t="shared" si="6"/>
        <v/>
      </c>
      <c r="AK51" s="11" t="str">
        <f t="shared" si="7"/>
        <v/>
      </c>
      <c r="AL51" s="11" t="str">
        <f t="shared" si="8"/>
        <v/>
      </c>
      <c r="AM51" s="11" t="str">
        <f t="shared" si="9"/>
        <v/>
      </c>
      <c r="AN51" s="11" t="str">
        <f t="shared" si="10"/>
        <v/>
      </c>
      <c r="AO51" s="11" t="str">
        <f t="shared" si="11"/>
        <v/>
      </c>
      <c r="AP51" s="11" t="str">
        <f t="shared" si="11"/>
        <v/>
      </c>
      <c r="AQ51" s="11" t="str">
        <f t="shared" si="86"/>
        <v/>
      </c>
      <c r="AR51" s="11" t="str">
        <f t="shared" si="87"/>
        <v/>
      </c>
      <c r="AS51" s="11" t="str">
        <f t="shared" si="88"/>
        <v/>
      </c>
      <c r="AT51" s="11" t="str">
        <f t="shared" si="15"/>
        <v/>
      </c>
      <c r="AU51" s="109"/>
      <c r="AV51" s="112" t="s">
        <v>4</v>
      </c>
      <c r="AW51" s="10">
        <v>1</v>
      </c>
      <c r="AX51" s="29" t="str">
        <f t="shared" si="80"/>
        <v>Trang</v>
      </c>
      <c r="AY51" s="29" t="str">
        <f t="shared" si="16"/>
        <v>Huyền</v>
      </c>
      <c r="AZ51" s="29" t="str">
        <f t="shared" si="17"/>
        <v>Xuân</v>
      </c>
      <c r="BA51" s="29" t="str">
        <f t="shared" si="18"/>
        <v>Trà</v>
      </c>
      <c r="BB51" s="29" t="str">
        <f t="shared" si="19"/>
        <v>Nhi</v>
      </c>
      <c r="BC51" s="29" t="str">
        <f t="shared" si="20"/>
        <v>Chi</v>
      </c>
      <c r="BD51" s="29" t="str">
        <f t="shared" si="21"/>
        <v>Ly</v>
      </c>
      <c r="BE51" s="29" t="str">
        <f t="shared" si="22"/>
        <v>Bích</v>
      </c>
      <c r="BF51" s="29" t="str">
        <f t="shared" si="23"/>
        <v>Hồng</v>
      </c>
      <c r="BG51" s="29" t="str">
        <f t="shared" si="24"/>
        <v>Tân</v>
      </c>
      <c r="BH51" s="29" t="str">
        <f t="shared" si="25"/>
        <v>Nguyên</v>
      </c>
      <c r="BI51" s="29" t="str">
        <f t="shared" si="26"/>
        <v>Hiền</v>
      </c>
      <c r="BJ51" s="29" t="str">
        <f t="shared" si="84"/>
        <v>MN1</v>
      </c>
      <c r="BK51" s="29" t="str">
        <f t="shared" si="85"/>
        <v>MN2</v>
      </c>
      <c r="BL51" s="29" t="str">
        <f t="shared" si="29"/>
        <v/>
      </c>
      <c r="BM51" s="29" t="str">
        <f t="shared" si="30"/>
        <v/>
      </c>
      <c r="BN51" s="29" t="str">
        <f t="shared" si="31"/>
        <v/>
      </c>
      <c r="BO51" s="29" t="str">
        <f t="shared" si="32"/>
        <v/>
      </c>
      <c r="BP51" s="109"/>
      <c r="BQ51" s="112" t="s">
        <v>4</v>
      </c>
      <c r="BR51" s="10">
        <v>1</v>
      </c>
      <c r="BS51" s="29" t="str">
        <f t="shared" si="81"/>
        <v>Trang</v>
      </c>
      <c r="BT51" s="29" t="str">
        <f t="shared" si="33"/>
        <v>Huyền</v>
      </c>
      <c r="BU51" s="29" t="str">
        <f t="shared" si="34"/>
        <v>Xuân</v>
      </c>
      <c r="BV51" s="29" t="str">
        <f t="shared" si="35"/>
        <v>Trà</v>
      </c>
      <c r="BW51" s="29" t="str">
        <f t="shared" si="36"/>
        <v>Nhi</v>
      </c>
      <c r="BX51" s="29" t="str">
        <f t="shared" si="37"/>
        <v>Chi</v>
      </c>
      <c r="BY51" s="29" t="str">
        <f t="shared" si="38"/>
        <v>Ly</v>
      </c>
      <c r="BZ51" s="29" t="str">
        <f t="shared" si="39"/>
        <v>Bích</v>
      </c>
      <c r="CA51" s="29" t="str">
        <f t="shared" si="40"/>
        <v>Hồng</v>
      </c>
      <c r="CB51" s="29" t="str">
        <f t="shared" si="41"/>
        <v>Tân</v>
      </c>
      <c r="CC51" s="29" t="str">
        <f t="shared" si="42"/>
        <v>Nguyên</v>
      </c>
      <c r="CD51" s="29" t="str">
        <f t="shared" si="43"/>
        <v>Hiền</v>
      </c>
      <c r="CE51" s="29" t="str">
        <f t="shared" si="44"/>
        <v>MN1</v>
      </c>
      <c r="CG51" s="109"/>
      <c r="CH51" s="112" t="s">
        <v>4</v>
      </c>
      <c r="CI51" s="10">
        <v>1</v>
      </c>
      <c r="CJ51" s="29">
        <f t="shared" si="82"/>
        <v>1</v>
      </c>
      <c r="CK51" s="29">
        <f t="shared" si="45"/>
        <v>1</v>
      </c>
      <c r="CL51" s="29">
        <f t="shared" si="46"/>
        <v>1</v>
      </c>
      <c r="CM51" s="29">
        <f t="shared" si="47"/>
        <v>1</v>
      </c>
      <c r="CN51" s="29">
        <f t="shared" si="48"/>
        <v>1</v>
      </c>
      <c r="CO51" s="29">
        <f t="shared" si="49"/>
        <v>1</v>
      </c>
      <c r="CP51" s="29">
        <f t="shared" si="50"/>
        <v>1</v>
      </c>
      <c r="CQ51" s="29">
        <f t="shared" si="51"/>
        <v>1</v>
      </c>
      <c r="CR51" s="29">
        <f t="shared" si="52"/>
        <v>1</v>
      </c>
      <c r="CS51" s="29">
        <f t="shared" si="53"/>
        <v>1</v>
      </c>
      <c r="CT51" s="29">
        <f>IF(CC51="","",COUNTIF($BS51:$CE51,CC51))</f>
        <v>1</v>
      </c>
      <c r="CU51" s="29">
        <f t="shared" si="55"/>
        <v>1</v>
      </c>
      <c r="CV51" s="29">
        <f t="shared" si="56"/>
        <v>1</v>
      </c>
      <c r="CW51" s="29" t="str">
        <f t="shared" si="57"/>
        <v/>
      </c>
      <c r="CX51" s="29" t="str">
        <f t="shared" si="58"/>
        <v/>
      </c>
      <c r="CY51" s="29">
        <f t="shared" si="59"/>
        <v>0</v>
      </c>
      <c r="CZ51" s="29">
        <f t="shared" si="60"/>
        <v>0</v>
      </c>
      <c r="DA51" s="29">
        <f t="shared" si="61"/>
        <v>0</v>
      </c>
      <c r="DG51" s="109"/>
      <c r="DH51" s="112" t="s">
        <v>4</v>
      </c>
      <c r="DI51" s="10">
        <v>1</v>
      </c>
      <c r="DJ51" s="29" t="str">
        <f t="shared" si="83"/>
        <v/>
      </c>
      <c r="DK51" s="29" t="str">
        <f t="shared" si="62"/>
        <v/>
      </c>
      <c r="DL51" s="29" t="str">
        <f t="shared" si="63"/>
        <v/>
      </c>
      <c r="DM51" s="29" t="str">
        <f t="shared" si="64"/>
        <v/>
      </c>
      <c r="DN51" s="29" t="str">
        <f t="shared" si="65"/>
        <v/>
      </c>
      <c r="DO51" s="29" t="str">
        <f t="shared" si="66"/>
        <v/>
      </c>
      <c r="DP51" s="29" t="str">
        <f t="shared" si="67"/>
        <v/>
      </c>
      <c r="DQ51" s="29" t="str">
        <f t="shared" si="68"/>
        <v/>
      </c>
      <c r="DR51" s="29" t="str">
        <f t="shared" si="69"/>
        <v/>
      </c>
      <c r="DS51" s="29" t="str">
        <f t="shared" si="70"/>
        <v/>
      </c>
      <c r="DT51" s="29" t="str">
        <f t="shared" si="71"/>
        <v/>
      </c>
      <c r="DU51" s="29" t="str">
        <f t="shared" si="72"/>
        <v/>
      </c>
      <c r="DV51" s="29" t="str">
        <f t="shared" si="73"/>
        <v/>
      </c>
      <c r="DW51" s="29" t="str">
        <f t="shared" si="74"/>
        <v/>
      </c>
      <c r="DX51" s="29" t="str">
        <f t="shared" si="75"/>
        <v/>
      </c>
      <c r="DY51" s="29" t="str">
        <f t="shared" si="76"/>
        <v/>
      </c>
      <c r="DZ51" s="29" t="str">
        <f t="shared" si="77"/>
        <v/>
      </c>
      <c r="EA51" s="29" t="str">
        <f t="shared" si="78"/>
        <v/>
      </c>
    </row>
    <row r="52" spans="5:131" ht="16.7" customHeight="1" x14ac:dyDescent="0.25">
      <c r="E52" s="110"/>
      <c r="F52" s="113"/>
      <c r="G52" s="15">
        <v>2</v>
      </c>
      <c r="H52" s="5" t="str">
        <f>TKB_LOP_SC!D27</f>
        <v>Đọc sách - Xuân</v>
      </c>
      <c r="I52" s="5" t="str">
        <f>TKB_LOP_SC!F27</f>
        <v>KCST - Nhi</v>
      </c>
      <c r="J52" s="5" t="str">
        <f>TKB_LOP_SC!H27</f>
        <v>GVVN - Trang</v>
      </c>
      <c r="K52" s="5" t="str">
        <f>TKB_LOP_SC!J27</f>
        <v>Toán - Chi</v>
      </c>
      <c r="L52" s="5" t="str">
        <f>TKB_LOP_SC!N27</f>
        <v>TViệt - Ngọc</v>
      </c>
      <c r="M52" s="5" t="str">
        <f>TKB_LOP_SC!P27</f>
        <v>TViệt - Ly</v>
      </c>
      <c r="N52" s="5" t="str">
        <f>TKB_LOP_SC!R27</f>
        <v>Toán - Phương Anh</v>
      </c>
      <c r="O52" s="5" t="str">
        <f>TKB_LOP_SC!T27</f>
        <v>GVVN - Bích</v>
      </c>
      <c r="P52" s="5" t="str">
        <f>TKB_LOP_SC!X27</f>
        <v>GDTC - Hồng</v>
      </c>
      <c r="Q52" s="5" t="str">
        <f>TKB_LOP_SC!Z27</f>
        <v>Toán - Tân</v>
      </c>
      <c r="R52" s="31" t="str">
        <f>TKB_LOP_SC!AB27</f>
        <v>Robotics - Nguyên</v>
      </c>
      <c r="S52" s="31" t="str">
        <f>TKB_LOP_SC!AD27</f>
        <v>Mĩ thuật - Phương</v>
      </c>
      <c r="T52" s="29" t="str">
        <f>TKB_LOP_SC!AF27</f>
        <v>Cảm xúc xã hội - MN1</v>
      </c>
      <c r="U52" s="2" t="str">
        <f>TKB_LOP_SC!AJ27</f>
        <v>KCST - MN2</v>
      </c>
      <c r="V52" s="2">
        <f>TKB_LOP_SC!AL27</f>
        <v>0</v>
      </c>
      <c r="W52" s="2" t="str">
        <f>TKB_LOP_SC!AN27</f>
        <v>GVVN - Linh</v>
      </c>
      <c r="X52" s="2">
        <f>TKB_LOP_SC!AP27</f>
        <v>0</v>
      </c>
      <c r="Y52" s="2" t="str">
        <f>TKB_LOP_SC!AR27</f>
        <v>GVNN - Aziz, Phượng</v>
      </c>
      <c r="Z52" s="110"/>
      <c r="AA52" s="113"/>
      <c r="AB52" s="15">
        <v>2</v>
      </c>
      <c r="AC52" s="11" t="str">
        <f t="shared" si="79"/>
        <v/>
      </c>
      <c r="AD52" s="11" t="str">
        <f t="shared" si="0"/>
        <v/>
      </c>
      <c r="AE52" s="11" t="str">
        <f t="shared" si="1"/>
        <v/>
      </c>
      <c r="AF52" s="11" t="str">
        <f t="shared" si="2"/>
        <v/>
      </c>
      <c r="AG52" s="11" t="str">
        <f t="shared" si="3"/>
        <v/>
      </c>
      <c r="AH52" s="11" t="str">
        <f t="shared" si="4"/>
        <v/>
      </c>
      <c r="AI52" s="11" t="str">
        <f t="shared" si="5"/>
        <v/>
      </c>
      <c r="AJ52" s="11" t="str">
        <f t="shared" si="6"/>
        <v/>
      </c>
      <c r="AK52" s="11" t="str">
        <f t="shared" si="7"/>
        <v/>
      </c>
      <c r="AL52" s="11" t="str">
        <f t="shared" si="8"/>
        <v/>
      </c>
      <c r="AM52" s="11" t="str">
        <f t="shared" si="9"/>
        <v/>
      </c>
      <c r="AN52" s="11" t="str">
        <f t="shared" si="10"/>
        <v/>
      </c>
      <c r="AO52" s="11" t="str">
        <f t="shared" si="11"/>
        <v/>
      </c>
      <c r="AP52" s="11" t="str">
        <f t="shared" si="11"/>
        <v/>
      </c>
      <c r="AQ52" s="11" t="str">
        <f t="shared" si="86"/>
        <v/>
      </c>
      <c r="AR52" s="11" t="str">
        <f t="shared" si="87"/>
        <v/>
      </c>
      <c r="AS52" s="11" t="str">
        <f t="shared" si="88"/>
        <v/>
      </c>
      <c r="AT52" s="11" t="str">
        <f t="shared" si="15"/>
        <v/>
      </c>
      <c r="AU52" s="110"/>
      <c r="AV52" s="113"/>
      <c r="AW52" s="15">
        <v>2</v>
      </c>
      <c r="AX52" s="29" t="str">
        <f t="shared" si="80"/>
        <v>Xuân</v>
      </c>
      <c r="AY52" s="29" t="str">
        <f t="shared" si="16"/>
        <v>Nhi</v>
      </c>
      <c r="AZ52" s="29" t="str">
        <f t="shared" si="17"/>
        <v>Trang</v>
      </c>
      <c r="BA52" s="29" t="str">
        <f t="shared" si="18"/>
        <v>Chi</v>
      </c>
      <c r="BB52" s="29" t="str">
        <f t="shared" si="19"/>
        <v>Ngọc</v>
      </c>
      <c r="BC52" s="29" t="str">
        <f t="shared" si="20"/>
        <v>Ly</v>
      </c>
      <c r="BD52" s="29" t="str">
        <f t="shared" si="21"/>
        <v>Phương Anh</v>
      </c>
      <c r="BE52" s="29" t="str">
        <f t="shared" si="22"/>
        <v>Bích</v>
      </c>
      <c r="BF52" s="29" t="str">
        <f t="shared" si="23"/>
        <v>Hồng</v>
      </c>
      <c r="BG52" s="29" t="str">
        <f t="shared" si="24"/>
        <v>Tân</v>
      </c>
      <c r="BH52" s="29" t="str">
        <f t="shared" si="25"/>
        <v>Nguyên</v>
      </c>
      <c r="BI52" s="29" t="str">
        <f t="shared" si="26"/>
        <v>Phương</v>
      </c>
      <c r="BJ52" s="29" t="str">
        <f t="shared" si="84"/>
        <v>MN1</v>
      </c>
      <c r="BK52" s="29" t="str">
        <f t="shared" si="85"/>
        <v>MN2</v>
      </c>
      <c r="BL52" s="29" t="str">
        <f t="shared" si="29"/>
        <v/>
      </c>
      <c r="BM52" s="29" t="str">
        <f t="shared" si="30"/>
        <v>Linh</v>
      </c>
      <c r="BN52" s="29" t="str">
        <f t="shared" si="31"/>
        <v/>
      </c>
      <c r="BO52" s="29" t="str">
        <f t="shared" si="32"/>
        <v>Aziz, Phượng</v>
      </c>
      <c r="BP52" s="110"/>
      <c r="BQ52" s="113"/>
      <c r="BR52" s="15">
        <v>2</v>
      </c>
      <c r="BS52" s="29" t="str">
        <f t="shared" si="81"/>
        <v>Xuân</v>
      </c>
      <c r="BT52" s="29" t="str">
        <f t="shared" si="33"/>
        <v>Nhi</v>
      </c>
      <c r="BU52" s="29" t="str">
        <f t="shared" si="34"/>
        <v>Trang</v>
      </c>
      <c r="BV52" s="29" t="str">
        <f t="shared" si="35"/>
        <v>Chi</v>
      </c>
      <c r="BW52" s="29" t="str">
        <f t="shared" si="36"/>
        <v>Ngọc</v>
      </c>
      <c r="BX52" s="29" t="str">
        <f t="shared" si="37"/>
        <v>Ly</v>
      </c>
      <c r="BY52" s="29" t="str">
        <f t="shared" si="38"/>
        <v>Phương Anh</v>
      </c>
      <c r="BZ52" s="29" t="str">
        <f t="shared" si="39"/>
        <v>Bích</v>
      </c>
      <c r="CA52" s="29" t="str">
        <f t="shared" si="40"/>
        <v>Hồng</v>
      </c>
      <c r="CB52" s="29" t="str">
        <f t="shared" si="41"/>
        <v>Tân</v>
      </c>
      <c r="CC52" s="29" t="str">
        <f t="shared" si="42"/>
        <v>Nguyên</v>
      </c>
      <c r="CD52" s="29" t="str">
        <f t="shared" si="43"/>
        <v>Phương</v>
      </c>
      <c r="CE52" s="29" t="str">
        <f t="shared" si="44"/>
        <v>MN1</v>
      </c>
      <c r="CG52" s="110"/>
      <c r="CH52" s="113"/>
      <c r="CI52" s="15">
        <v>2</v>
      </c>
      <c r="CJ52" s="29">
        <f t="shared" si="82"/>
        <v>1</v>
      </c>
      <c r="CK52" s="29">
        <f t="shared" si="45"/>
        <v>1</v>
      </c>
      <c r="CL52" s="29">
        <f t="shared" si="46"/>
        <v>1</v>
      </c>
      <c r="CM52" s="29">
        <f t="shared" si="47"/>
        <v>1</v>
      </c>
      <c r="CN52" s="29">
        <f t="shared" si="48"/>
        <v>1</v>
      </c>
      <c r="CO52" s="29">
        <f t="shared" si="49"/>
        <v>1</v>
      </c>
      <c r="CP52" s="29">
        <f t="shared" si="50"/>
        <v>1</v>
      </c>
      <c r="CQ52" s="29">
        <f t="shared" si="51"/>
        <v>1</v>
      </c>
      <c r="CR52" s="29">
        <f t="shared" si="52"/>
        <v>1</v>
      </c>
      <c r="CS52" s="29">
        <f t="shared" si="53"/>
        <v>1</v>
      </c>
      <c r="CT52" s="29">
        <f t="shared" si="54"/>
        <v>1</v>
      </c>
      <c r="CU52" s="29">
        <f t="shared" si="55"/>
        <v>1</v>
      </c>
      <c r="CV52" s="29">
        <f t="shared" si="56"/>
        <v>1</v>
      </c>
      <c r="CW52" s="29" t="str">
        <f t="shared" si="57"/>
        <v/>
      </c>
      <c r="CX52" s="29" t="str">
        <f t="shared" si="58"/>
        <v/>
      </c>
      <c r="CY52" s="29" t="str">
        <f t="shared" si="59"/>
        <v/>
      </c>
      <c r="CZ52" s="29">
        <f t="shared" si="60"/>
        <v>0</v>
      </c>
      <c r="DA52" s="29">
        <f t="shared" si="61"/>
        <v>0</v>
      </c>
      <c r="DG52" s="110"/>
      <c r="DH52" s="113"/>
      <c r="DI52" s="15">
        <v>2</v>
      </c>
      <c r="DJ52" s="29" t="str">
        <f t="shared" si="83"/>
        <v/>
      </c>
      <c r="DK52" s="29" t="str">
        <f t="shared" si="62"/>
        <v/>
      </c>
      <c r="DL52" s="29" t="str">
        <f t="shared" si="63"/>
        <v/>
      </c>
      <c r="DM52" s="29" t="str">
        <f t="shared" si="64"/>
        <v/>
      </c>
      <c r="DN52" s="29" t="str">
        <f t="shared" si="65"/>
        <v/>
      </c>
      <c r="DO52" s="29" t="str">
        <f t="shared" si="66"/>
        <v/>
      </c>
      <c r="DP52" s="29" t="str">
        <f t="shared" si="67"/>
        <v/>
      </c>
      <c r="DQ52" s="29" t="str">
        <f t="shared" si="68"/>
        <v/>
      </c>
      <c r="DR52" s="29" t="str">
        <f t="shared" si="69"/>
        <v/>
      </c>
      <c r="DS52" s="29" t="str">
        <f t="shared" si="70"/>
        <v/>
      </c>
      <c r="DT52" s="29" t="str">
        <f t="shared" si="71"/>
        <v/>
      </c>
      <c r="DU52" s="29" t="str">
        <f t="shared" si="72"/>
        <v/>
      </c>
      <c r="DV52" s="29" t="str">
        <f t="shared" si="73"/>
        <v/>
      </c>
      <c r="DW52" s="29" t="str">
        <f t="shared" si="74"/>
        <v/>
      </c>
      <c r="DX52" s="29" t="str">
        <f t="shared" si="75"/>
        <v/>
      </c>
      <c r="DY52" s="29" t="str">
        <f t="shared" si="76"/>
        <v/>
      </c>
      <c r="DZ52" s="29" t="str">
        <f t="shared" si="77"/>
        <v/>
      </c>
      <c r="EA52" s="29" t="str">
        <f t="shared" si="78"/>
        <v/>
      </c>
    </row>
    <row r="53" spans="5:131" ht="16.7" customHeight="1" x14ac:dyDescent="0.25">
      <c r="E53" s="110"/>
      <c r="F53" s="113"/>
      <c r="G53" s="15">
        <v>3</v>
      </c>
      <c r="H53" s="5" t="str">
        <f>TKB_LOP_SC!D28</f>
        <v>TViệt - Ngọc Ánh</v>
      </c>
      <c r="I53" s="5" t="str">
        <f>TKB_LOP_SC!F28</f>
        <v>TNXH - Nhi</v>
      </c>
      <c r="J53" s="5" t="str">
        <f>TKB_LOP_SC!H28</f>
        <v>Mĩ thuật - Phương</v>
      </c>
      <c r="K53" s="5" t="str">
        <f>TKB_LOP_SC!J28</f>
        <v>Viết sáng tạo - Xuân</v>
      </c>
      <c r="L53" s="5" t="str">
        <f>TKB_LOP_SC!N28</f>
        <v>GVVN - Trà</v>
      </c>
      <c r="M53" s="5" t="str">
        <f>TKB_LOP_SC!P28</f>
        <v>GVVN - Bích</v>
      </c>
      <c r="N53" s="5" t="str">
        <f>TKB_LOP_SC!R28</f>
        <v>Robotics - Nguyên</v>
      </c>
      <c r="O53" s="5" t="str">
        <f>TKB_LOP_SC!T28</f>
        <v>LS&amp;ĐL - Ly</v>
      </c>
      <c r="P53" s="5" t="str">
        <f>TKB_LOP_SC!X28</f>
        <v>Văn - Hà</v>
      </c>
      <c r="Q53" s="5" t="str">
        <f>TKB_LOP_SC!Z28</f>
        <v>Văn - Ánh NV</v>
      </c>
      <c r="R53" s="31" t="str">
        <f>TKB_LOP_SC!AB28</f>
        <v>Toán - Tân</v>
      </c>
      <c r="S53" s="31" t="str">
        <f>TKB_LOP_SC!AD28</f>
        <v>GVNN - Aziz, Huyền</v>
      </c>
      <c r="T53" s="29" t="str">
        <f>TKB_LOP_SC!AF28</f>
        <v>Toán - MN1</v>
      </c>
      <c r="U53" s="2" t="str">
        <f>TKB_LOP_SC!AJ28</f>
        <v>Toán - MN2</v>
      </c>
      <c r="V53" s="2" t="str">
        <f>TKB_LOP_SC!AL28</f>
        <v>GVVN - Linh</v>
      </c>
      <c r="W53" s="2">
        <f>TKB_LOP_SC!AN28</f>
        <v>0</v>
      </c>
      <c r="X53" s="2">
        <f>TKB_LOP_SC!AP28</f>
        <v>0</v>
      </c>
      <c r="Y53" s="2">
        <f>TKB_LOP_SC!AR28</f>
        <v>0</v>
      </c>
      <c r="Z53" s="110"/>
      <c r="AA53" s="113"/>
      <c r="AB53" s="15">
        <v>3</v>
      </c>
      <c r="AC53" s="11" t="str">
        <f t="shared" si="79"/>
        <v/>
      </c>
      <c r="AD53" s="11" t="str">
        <f t="shared" si="0"/>
        <v/>
      </c>
      <c r="AE53" s="11" t="str">
        <f t="shared" si="1"/>
        <v/>
      </c>
      <c r="AF53" s="11" t="str">
        <f t="shared" si="2"/>
        <v/>
      </c>
      <c r="AG53" s="11" t="str">
        <f t="shared" si="3"/>
        <v/>
      </c>
      <c r="AH53" s="11" t="str">
        <f t="shared" si="4"/>
        <v/>
      </c>
      <c r="AI53" s="11" t="str">
        <f t="shared" si="5"/>
        <v/>
      </c>
      <c r="AJ53" s="11" t="str">
        <f t="shared" si="6"/>
        <v/>
      </c>
      <c r="AK53" s="11" t="str">
        <f t="shared" si="7"/>
        <v/>
      </c>
      <c r="AL53" s="11" t="str">
        <f t="shared" si="8"/>
        <v/>
      </c>
      <c r="AM53" s="11" t="str">
        <f t="shared" si="9"/>
        <v/>
      </c>
      <c r="AN53" s="11" t="str">
        <f t="shared" si="10"/>
        <v>Aziz</v>
      </c>
      <c r="AO53" s="11" t="str">
        <f t="shared" si="11"/>
        <v/>
      </c>
      <c r="AP53" s="11" t="str">
        <f t="shared" si="11"/>
        <v/>
      </c>
      <c r="AQ53" s="11" t="str">
        <f t="shared" si="86"/>
        <v/>
      </c>
      <c r="AR53" s="11" t="str">
        <f t="shared" si="87"/>
        <v/>
      </c>
      <c r="AS53" s="11" t="str">
        <f t="shared" si="88"/>
        <v/>
      </c>
      <c r="AT53" s="11" t="str">
        <f t="shared" si="15"/>
        <v/>
      </c>
      <c r="AU53" s="110"/>
      <c r="AV53" s="113"/>
      <c r="AW53" s="15">
        <v>3</v>
      </c>
      <c r="AX53" s="29" t="str">
        <f t="shared" si="80"/>
        <v>Ngọc Ánh</v>
      </c>
      <c r="AY53" s="29" t="str">
        <f t="shared" si="16"/>
        <v>Nhi</v>
      </c>
      <c r="AZ53" s="29" t="str">
        <f t="shared" si="17"/>
        <v>Phương</v>
      </c>
      <c r="BA53" s="29" t="str">
        <f t="shared" si="18"/>
        <v>Xuân</v>
      </c>
      <c r="BB53" s="29" t="str">
        <f t="shared" si="19"/>
        <v>Trà</v>
      </c>
      <c r="BC53" s="29" t="str">
        <f t="shared" si="20"/>
        <v>Bích</v>
      </c>
      <c r="BD53" s="29" t="str">
        <f t="shared" si="21"/>
        <v>Nguyên</v>
      </c>
      <c r="BE53" s="29" t="str">
        <f t="shared" si="22"/>
        <v>Ly</v>
      </c>
      <c r="BF53" s="29" t="str">
        <f t="shared" si="23"/>
        <v>Hà</v>
      </c>
      <c r="BG53" s="29" t="str">
        <f t="shared" si="24"/>
        <v>Ánh NV</v>
      </c>
      <c r="BH53" s="29" t="str">
        <f t="shared" si="25"/>
        <v>Tân</v>
      </c>
      <c r="BI53" s="29" t="str">
        <f t="shared" si="26"/>
        <v>Aziz, Huyền</v>
      </c>
      <c r="BJ53" s="29" t="str">
        <f t="shared" si="84"/>
        <v>MN1</v>
      </c>
      <c r="BK53" s="29" t="str">
        <f t="shared" si="85"/>
        <v>MN2</v>
      </c>
      <c r="BL53" s="29" t="str">
        <f t="shared" si="29"/>
        <v>Linh</v>
      </c>
      <c r="BM53" s="29" t="str">
        <f t="shared" si="30"/>
        <v/>
      </c>
      <c r="BN53" s="29" t="str">
        <f t="shared" si="31"/>
        <v/>
      </c>
      <c r="BO53" s="29" t="str">
        <f t="shared" si="32"/>
        <v/>
      </c>
      <c r="BP53" s="110"/>
      <c r="BQ53" s="113"/>
      <c r="BR53" s="15">
        <v>3</v>
      </c>
      <c r="BS53" s="29" t="str">
        <f t="shared" si="81"/>
        <v>Ngọc Ánh</v>
      </c>
      <c r="BT53" s="29" t="str">
        <f t="shared" si="33"/>
        <v>Nhi</v>
      </c>
      <c r="BU53" s="29" t="str">
        <f t="shared" si="34"/>
        <v>Phương</v>
      </c>
      <c r="BV53" s="29" t="str">
        <f t="shared" si="35"/>
        <v>Xuân</v>
      </c>
      <c r="BW53" s="29" t="str">
        <f t="shared" si="36"/>
        <v>Trà</v>
      </c>
      <c r="BX53" s="29" t="str">
        <f t="shared" si="37"/>
        <v>Bích</v>
      </c>
      <c r="BY53" s="29" t="str">
        <f t="shared" si="38"/>
        <v>Nguyên</v>
      </c>
      <c r="BZ53" s="29" t="str">
        <f t="shared" si="39"/>
        <v>Ly</v>
      </c>
      <c r="CA53" s="29" t="str">
        <f t="shared" si="40"/>
        <v>Hà</v>
      </c>
      <c r="CB53" s="29" t="str">
        <f t="shared" si="41"/>
        <v>Ánh NV</v>
      </c>
      <c r="CC53" s="29" t="str">
        <f t="shared" si="42"/>
        <v>Tân</v>
      </c>
      <c r="CD53" s="29" t="str">
        <f t="shared" si="43"/>
        <v>Huyền</v>
      </c>
      <c r="CE53" s="29" t="str">
        <f t="shared" si="44"/>
        <v>MN1</v>
      </c>
      <c r="CG53" s="110"/>
      <c r="CH53" s="113"/>
      <c r="CI53" s="15">
        <v>3</v>
      </c>
      <c r="CJ53" s="29">
        <f t="shared" si="82"/>
        <v>1</v>
      </c>
      <c r="CK53" s="29">
        <f t="shared" si="45"/>
        <v>1</v>
      </c>
      <c r="CL53" s="29">
        <f t="shared" si="46"/>
        <v>1</v>
      </c>
      <c r="CM53" s="29">
        <f t="shared" si="47"/>
        <v>1</v>
      </c>
      <c r="CN53" s="29">
        <f t="shared" si="48"/>
        <v>1</v>
      </c>
      <c r="CO53" s="29">
        <f t="shared" si="49"/>
        <v>1</v>
      </c>
      <c r="CP53" s="29">
        <f t="shared" si="50"/>
        <v>1</v>
      </c>
      <c r="CQ53" s="29">
        <f t="shared" si="51"/>
        <v>1</v>
      </c>
      <c r="CR53" s="29">
        <f t="shared" si="52"/>
        <v>1</v>
      </c>
      <c r="CS53" s="29">
        <f t="shared" si="53"/>
        <v>1</v>
      </c>
      <c r="CT53" s="29">
        <f t="shared" si="54"/>
        <v>1</v>
      </c>
      <c r="CU53" s="29">
        <f t="shared" si="55"/>
        <v>1</v>
      </c>
      <c r="CV53" s="29">
        <f t="shared" si="56"/>
        <v>1</v>
      </c>
      <c r="CW53" s="29" t="str">
        <f t="shared" si="57"/>
        <v/>
      </c>
      <c r="CX53" s="29" t="str">
        <f t="shared" si="58"/>
        <v/>
      </c>
      <c r="CY53" s="29" t="str">
        <f t="shared" si="59"/>
        <v/>
      </c>
      <c r="CZ53" s="29">
        <f t="shared" si="60"/>
        <v>0</v>
      </c>
      <c r="DA53" s="29">
        <f t="shared" si="61"/>
        <v>0</v>
      </c>
      <c r="DG53" s="110"/>
      <c r="DH53" s="113"/>
      <c r="DI53" s="15">
        <v>3</v>
      </c>
      <c r="DJ53" s="29" t="str">
        <f t="shared" si="83"/>
        <v/>
      </c>
      <c r="DK53" s="29" t="str">
        <f t="shared" si="62"/>
        <v/>
      </c>
      <c r="DL53" s="29" t="str">
        <f t="shared" si="63"/>
        <v/>
      </c>
      <c r="DM53" s="29" t="str">
        <f t="shared" si="64"/>
        <v/>
      </c>
      <c r="DN53" s="29" t="str">
        <f t="shared" si="65"/>
        <v/>
      </c>
      <c r="DO53" s="29" t="str">
        <f t="shared" si="66"/>
        <v/>
      </c>
      <c r="DP53" s="29" t="str">
        <f t="shared" si="67"/>
        <v/>
      </c>
      <c r="DQ53" s="29" t="str">
        <f t="shared" si="68"/>
        <v/>
      </c>
      <c r="DR53" s="29" t="str">
        <f t="shared" si="69"/>
        <v/>
      </c>
      <c r="DS53" s="29" t="str">
        <f t="shared" si="70"/>
        <v/>
      </c>
      <c r="DT53" s="29" t="str">
        <f t="shared" si="71"/>
        <v/>
      </c>
      <c r="DU53" s="29">
        <f t="shared" si="72"/>
        <v>1</v>
      </c>
      <c r="DV53" s="29" t="str">
        <f t="shared" si="73"/>
        <v/>
      </c>
      <c r="DW53" s="29" t="str">
        <f t="shared" si="74"/>
        <v/>
      </c>
      <c r="DX53" s="29" t="str">
        <f t="shared" si="75"/>
        <v/>
      </c>
      <c r="DY53" s="29" t="str">
        <f t="shared" si="76"/>
        <v/>
      </c>
      <c r="DZ53" s="29" t="str">
        <f t="shared" si="77"/>
        <v/>
      </c>
      <c r="EA53" s="29" t="str">
        <f t="shared" si="78"/>
        <v/>
      </c>
    </row>
    <row r="54" spans="5:131" ht="16.7" customHeight="1" x14ac:dyDescent="0.25">
      <c r="E54" s="110"/>
      <c r="F54" s="113"/>
      <c r="G54" s="15">
        <v>4</v>
      </c>
      <c r="H54" s="5" t="str">
        <f>TKB_LOP_SC!D29</f>
        <v>HĐTN - Ngọc Ánh</v>
      </c>
      <c r="I54" s="5" t="str">
        <f>TKB_LOP_SC!F29</f>
        <v>HĐTN - Nhi</v>
      </c>
      <c r="J54" s="5" t="str">
        <f>TKB_LOP_SC!H29</f>
        <v>HĐTN - Linh TH</v>
      </c>
      <c r="K54" s="5" t="str">
        <f>TKB_LOP_SC!J29</f>
        <v>HĐTN - Xuân</v>
      </c>
      <c r="L54" s="5" t="str">
        <f>TKB_LOP_SC!N29</f>
        <v>Toán - Ngọc</v>
      </c>
      <c r="M54" s="5" t="str">
        <f>TKB_LOP_SC!P29</f>
        <v>HĐTN - Ly</v>
      </c>
      <c r="N54" s="5" t="str">
        <f>TKB_LOP_SC!R29</f>
        <v>GVVN - Quỳnh</v>
      </c>
      <c r="O54" s="5" t="str">
        <f>TKB_LOP_SC!T29</f>
        <v>Toán - Chi</v>
      </c>
      <c r="P54" s="5" t="str">
        <f>TKB_LOP_SC!X29</f>
        <v>Văn - Hà</v>
      </c>
      <c r="Q54" s="5" t="str">
        <f>TKB_LOP_SC!Z29</f>
        <v>Văn - Ánh NV</v>
      </c>
      <c r="R54" s="31" t="str">
        <f>TKB_LOP_SC!AB29</f>
        <v>Toán - Tân</v>
      </c>
      <c r="S54" s="31" t="str">
        <f>TKB_LOP_SC!AD29</f>
        <v>Toán - Hiền</v>
      </c>
      <c r="T54" s="29" t="str">
        <f>TKB_LOP_SC!AF29</f>
        <v>GVNN - Aziz, Huyền</v>
      </c>
      <c r="U54" s="2" t="str">
        <f>TKB_LOP_SC!AJ29</f>
        <v>GVNN - Aziz, Huyền</v>
      </c>
      <c r="V54" s="2">
        <f>TKB_LOP_SC!AL29</f>
        <v>0</v>
      </c>
      <c r="W54" s="2">
        <f>TKB_LOP_SC!AN29</f>
        <v>0</v>
      </c>
      <c r="X54" s="2">
        <f>TKB_LOP_SC!AP29</f>
        <v>0</v>
      </c>
      <c r="Y54" s="2" t="str">
        <f>TKB_LOP_SC!AR29</f>
        <v>GVVN - Linh</v>
      </c>
      <c r="Z54" s="110"/>
      <c r="AA54" s="113"/>
      <c r="AB54" s="15">
        <v>4</v>
      </c>
      <c r="AC54" s="11" t="str">
        <f t="shared" si="79"/>
        <v/>
      </c>
      <c r="AD54" s="11" t="str">
        <f t="shared" si="0"/>
        <v/>
      </c>
      <c r="AE54" s="11" t="str">
        <f t="shared" si="1"/>
        <v/>
      </c>
      <c r="AF54" s="11" t="str">
        <f t="shared" si="2"/>
        <v/>
      </c>
      <c r="AG54" s="11" t="str">
        <f t="shared" si="3"/>
        <v/>
      </c>
      <c r="AH54" s="11" t="str">
        <f t="shared" si="4"/>
        <v/>
      </c>
      <c r="AI54" s="11" t="str">
        <f t="shared" si="5"/>
        <v/>
      </c>
      <c r="AJ54" s="11" t="str">
        <f t="shared" si="6"/>
        <v/>
      </c>
      <c r="AK54" s="11" t="str">
        <f t="shared" si="7"/>
        <v/>
      </c>
      <c r="AL54" s="11" t="str">
        <f t="shared" si="8"/>
        <v/>
      </c>
      <c r="AM54" s="11" t="str">
        <f t="shared" si="9"/>
        <v/>
      </c>
      <c r="AN54" s="11" t="str">
        <f t="shared" si="10"/>
        <v/>
      </c>
      <c r="AO54" s="11" t="str">
        <f t="shared" si="11"/>
        <v>Aziz</v>
      </c>
      <c r="AP54" s="11" t="str">
        <f t="shared" si="11"/>
        <v>Aziz</v>
      </c>
      <c r="AQ54" s="11" t="str">
        <f t="shared" si="86"/>
        <v/>
      </c>
      <c r="AR54" s="11" t="str">
        <f t="shared" si="87"/>
        <v/>
      </c>
      <c r="AS54" s="11" t="str">
        <f t="shared" si="88"/>
        <v/>
      </c>
      <c r="AT54" s="11" t="str">
        <f t="shared" si="15"/>
        <v/>
      </c>
      <c r="AU54" s="110"/>
      <c r="AV54" s="113"/>
      <c r="AW54" s="15">
        <v>4</v>
      </c>
      <c r="AX54" s="29" t="str">
        <f t="shared" si="80"/>
        <v>Ngọc Ánh</v>
      </c>
      <c r="AY54" s="29" t="str">
        <f t="shared" si="16"/>
        <v>Nhi</v>
      </c>
      <c r="AZ54" s="29" t="str">
        <f t="shared" si="17"/>
        <v>Linh TH</v>
      </c>
      <c r="BA54" s="29" t="str">
        <f t="shared" si="18"/>
        <v>Xuân</v>
      </c>
      <c r="BB54" s="29" t="str">
        <f t="shared" si="19"/>
        <v>Ngọc</v>
      </c>
      <c r="BC54" s="29" t="str">
        <f t="shared" si="20"/>
        <v>Ly</v>
      </c>
      <c r="BD54" s="29" t="str">
        <f t="shared" si="21"/>
        <v>Quỳnh</v>
      </c>
      <c r="BE54" s="29" t="str">
        <f t="shared" si="22"/>
        <v>Chi</v>
      </c>
      <c r="BF54" s="29" t="str">
        <f t="shared" si="23"/>
        <v>Hà</v>
      </c>
      <c r="BG54" s="29" t="str">
        <f t="shared" si="24"/>
        <v>Ánh NV</v>
      </c>
      <c r="BH54" s="29" t="str">
        <f t="shared" si="25"/>
        <v>Tân</v>
      </c>
      <c r="BI54" s="29" t="str">
        <f t="shared" si="26"/>
        <v>Hiền</v>
      </c>
      <c r="BJ54" s="29" t="str">
        <f t="shared" si="84"/>
        <v>Aziz, Huyền</v>
      </c>
      <c r="BK54" s="29" t="str">
        <f t="shared" si="85"/>
        <v>Aziz, Huyền</v>
      </c>
      <c r="BL54" s="29" t="str">
        <f t="shared" si="29"/>
        <v/>
      </c>
      <c r="BM54" s="29" t="str">
        <f t="shared" si="30"/>
        <v/>
      </c>
      <c r="BN54" s="29" t="str">
        <f t="shared" si="31"/>
        <v/>
      </c>
      <c r="BO54" s="29" t="str">
        <f t="shared" si="32"/>
        <v>Linh</v>
      </c>
      <c r="BP54" s="110"/>
      <c r="BQ54" s="113"/>
      <c r="BR54" s="15">
        <v>4</v>
      </c>
      <c r="BS54" s="29" t="str">
        <f t="shared" si="81"/>
        <v>Ngọc Ánh</v>
      </c>
      <c r="BT54" s="29" t="str">
        <f t="shared" si="33"/>
        <v>Nhi</v>
      </c>
      <c r="BU54" s="29" t="str">
        <f t="shared" si="34"/>
        <v>Linh TH</v>
      </c>
      <c r="BV54" s="29" t="str">
        <f t="shared" si="35"/>
        <v>Xuân</v>
      </c>
      <c r="BW54" s="29" t="str">
        <f t="shared" si="36"/>
        <v>Ngọc</v>
      </c>
      <c r="BX54" s="29" t="str">
        <f t="shared" si="37"/>
        <v>Ly</v>
      </c>
      <c r="BY54" s="29" t="str">
        <f t="shared" si="38"/>
        <v>Quỳnh</v>
      </c>
      <c r="BZ54" s="29" t="str">
        <f t="shared" si="39"/>
        <v>Chi</v>
      </c>
      <c r="CA54" s="29" t="str">
        <f t="shared" si="40"/>
        <v>Hà</v>
      </c>
      <c r="CB54" s="29" t="str">
        <f t="shared" si="41"/>
        <v>Ánh NV</v>
      </c>
      <c r="CC54" s="29" t="str">
        <f t="shared" si="42"/>
        <v>Tân</v>
      </c>
      <c r="CD54" s="29" t="str">
        <f t="shared" si="43"/>
        <v>Hiền</v>
      </c>
      <c r="CE54" s="29" t="str">
        <f t="shared" si="44"/>
        <v>Huyền</v>
      </c>
      <c r="CG54" s="110"/>
      <c r="CH54" s="113"/>
      <c r="CI54" s="15">
        <v>4</v>
      </c>
      <c r="CJ54" s="29">
        <f t="shared" si="82"/>
        <v>1</v>
      </c>
      <c r="CK54" s="29">
        <f t="shared" si="45"/>
        <v>1</v>
      </c>
      <c r="CL54" s="29">
        <f t="shared" si="46"/>
        <v>1</v>
      </c>
      <c r="CM54" s="29">
        <f t="shared" si="47"/>
        <v>1</v>
      </c>
      <c r="CN54" s="29">
        <f t="shared" si="48"/>
        <v>1</v>
      </c>
      <c r="CO54" s="29">
        <f t="shared" si="49"/>
        <v>1</v>
      </c>
      <c r="CP54" s="29">
        <f t="shared" si="50"/>
        <v>1</v>
      </c>
      <c r="CQ54" s="29">
        <f t="shared" si="51"/>
        <v>1</v>
      </c>
      <c r="CR54" s="29">
        <f t="shared" si="52"/>
        <v>1</v>
      </c>
      <c r="CS54" s="29">
        <f t="shared" si="53"/>
        <v>1</v>
      </c>
      <c r="CT54" s="29">
        <f t="shared" si="54"/>
        <v>1</v>
      </c>
      <c r="CU54" s="29">
        <f t="shared" si="55"/>
        <v>1</v>
      </c>
      <c r="CV54" s="29">
        <f t="shared" si="56"/>
        <v>1</v>
      </c>
      <c r="CW54" s="29" t="str">
        <f t="shared" si="57"/>
        <v/>
      </c>
      <c r="CX54" s="29" t="str">
        <f t="shared" si="58"/>
        <v/>
      </c>
      <c r="CY54" s="29" t="str">
        <f t="shared" si="59"/>
        <v/>
      </c>
      <c r="CZ54" s="29">
        <f t="shared" si="60"/>
        <v>0</v>
      </c>
      <c r="DA54" s="29">
        <f t="shared" si="61"/>
        <v>0</v>
      </c>
      <c r="DG54" s="110"/>
      <c r="DH54" s="113"/>
      <c r="DI54" s="15">
        <v>4</v>
      </c>
      <c r="DJ54" s="29" t="str">
        <f t="shared" si="83"/>
        <v/>
      </c>
      <c r="DK54" s="29" t="str">
        <f t="shared" si="62"/>
        <v/>
      </c>
      <c r="DL54" s="29" t="str">
        <f t="shared" si="63"/>
        <v/>
      </c>
      <c r="DM54" s="29" t="str">
        <f t="shared" si="64"/>
        <v/>
      </c>
      <c r="DN54" s="29" t="str">
        <f t="shared" si="65"/>
        <v/>
      </c>
      <c r="DO54" s="29" t="str">
        <f t="shared" si="66"/>
        <v/>
      </c>
      <c r="DP54" s="29" t="str">
        <f t="shared" si="67"/>
        <v/>
      </c>
      <c r="DQ54" s="29" t="str">
        <f t="shared" si="68"/>
        <v/>
      </c>
      <c r="DR54" s="29" t="str">
        <f t="shared" si="69"/>
        <v/>
      </c>
      <c r="DS54" s="29" t="str">
        <f t="shared" si="70"/>
        <v/>
      </c>
      <c r="DT54" s="29" t="str">
        <f t="shared" si="71"/>
        <v/>
      </c>
      <c r="DU54" s="29" t="str">
        <f t="shared" si="72"/>
        <v/>
      </c>
      <c r="DV54" s="29">
        <f t="shared" si="73"/>
        <v>1</v>
      </c>
      <c r="DW54" s="29">
        <f t="shared" si="74"/>
        <v>1</v>
      </c>
      <c r="DX54" s="29" t="str">
        <f t="shared" si="75"/>
        <v/>
      </c>
      <c r="DY54" s="29" t="str">
        <f t="shared" si="76"/>
        <v/>
      </c>
      <c r="DZ54" s="29" t="str">
        <f t="shared" si="77"/>
        <v/>
      </c>
      <c r="EA54" s="29" t="str">
        <f t="shared" si="78"/>
        <v/>
      </c>
    </row>
    <row r="55" spans="5:131" ht="16.7" customHeight="1" x14ac:dyDescent="0.25">
      <c r="E55" s="111"/>
      <c r="F55" s="114"/>
      <c r="G55" s="16">
        <v>5</v>
      </c>
      <c r="H55" s="5">
        <f>TKB_LOP_SC!D30</f>
        <v>0</v>
      </c>
      <c r="I55" s="5">
        <f>TKB_LOP_SC!F30</f>
        <v>0</v>
      </c>
      <c r="J55" s="5">
        <f>TKB_LOP_SC!H30</f>
        <v>0</v>
      </c>
      <c r="K55" s="5">
        <f>TKB_LOP_SC!J30</f>
        <v>0</v>
      </c>
      <c r="L55" s="5">
        <f>TKB_LOP_SC!N30</f>
        <v>0</v>
      </c>
      <c r="M55" s="5">
        <f>TKB_LOP_SC!P30</f>
        <v>0</v>
      </c>
      <c r="N55" s="5">
        <f>TKB_LOP_SC!R30</f>
        <v>0</v>
      </c>
      <c r="O55" s="5">
        <f>TKB_LOP_SC!T30</f>
        <v>0</v>
      </c>
      <c r="P55" s="5">
        <f>TKB_LOP_SC!X30</f>
        <v>0</v>
      </c>
      <c r="Q55" s="5">
        <f>TKB_LOP_SC!Z30</f>
        <v>0</v>
      </c>
      <c r="R55" s="31">
        <f>TKB_LOP_SC!AB30</f>
        <v>0</v>
      </c>
      <c r="S55" s="31">
        <f>TKB_LOP_SC!AD30</f>
        <v>0</v>
      </c>
      <c r="T55" s="29">
        <f>TKB_LOP_SC!AF30</f>
        <v>0</v>
      </c>
      <c r="U55" s="29">
        <f>TKB_LOP_SC!AJ30</f>
        <v>0</v>
      </c>
      <c r="V55" s="29">
        <f>TKB_LOP_SC!AL30</f>
        <v>0</v>
      </c>
      <c r="W55" s="29">
        <f>TKB_LOP_SC!AN30</f>
        <v>0</v>
      </c>
      <c r="X55" s="29">
        <f>TKB_LOP_SC!AP30</f>
        <v>0</v>
      </c>
      <c r="Y55" s="29">
        <f>TKB_LOP_SC!AR30</f>
        <v>0</v>
      </c>
      <c r="Z55" s="111"/>
      <c r="AA55" s="114"/>
      <c r="AB55" s="16">
        <v>5</v>
      </c>
      <c r="AC55" s="11" t="str">
        <f t="shared" si="79"/>
        <v/>
      </c>
      <c r="AD55" s="11" t="str">
        <f t="shared" si="0"/>
        <v/>
      </c>
      <c r="AE55" s="11" t="str">
        <f t="shared" si="1"/>
        <v/>
      </c>
      <c r="AF55" s="11" t="str">
        <f t="shared" si="2"/>
        <v/>
      </c>
      <c r="AG55" s="11" t="str">
        <f t="shared" si="3"/>
        <v/>
      </c>
      <c r="AH55" s="11" t="str">
        <f t="shared" si="4"/>
        <v/>
      </c>
      <c r="AI55" s="11" t="str">
        <f t="shared" si="5"/>
        <v/>
      </c>
      <c r="AJ55" s="11" t="str">
        <f t="shared" si="6"/>
        <v/>
      </c>
      <c r="AK55" s="11" t="str">
        <f t="shared" si="7"/>
        <v/>
      </c>
      <c r="AL55" s="11" t="str">
        <f t="shared" si="8"/>
        <v/>
      </c>
      <c r="AM55" s="11" t="str">
        <f t="shared" si="9"/>
        <v/>
      </c>
      <c r="AN55" s="11" t="str">
        <f t="shared" si="10"/>
        <v/>
      </c>
      <c r="AO55" s="11" t="str">
        <f t="shared" si="11"/>
        <v/>
      </c>
      <c r="AP55" s="11" t="str">
        <f t="shared" si="11"/>
        <v/>
      </c>
      <c r="AQ55" s="11" t="str">
        <f t="shared" si="86"/>
        <v/>
      </c>
      <c r="AR55" s="11" t="str">
        <f t="shared" si="87"/>
        <v/>
      </c>
      <c r="AS55" s="11" t="str">
        <f t="shared" si="88"/>
        <v/>
      </c>
      <c r="AT55" s="11" t="str">
        <f t="shared" si="15"/>
        <v/>
      </c>
      <c r="AU55" s="111"/>
      <c r="AV55" s="114"/>
      <c r="AW55" s="16">
        <v>5</v>
      </c>
      <c r="AX55" s="29" t="str">
        <f t="shared" si="80"/>
        <v/>
      </c>
      <c r="AY55" s="29" t="str">
        <f t="shared" si="16"/>
        <v/>
      </c>
      <c r="AZ55" s="29" t="str">
        <f t="shared" si="17"/>
        <v/>
      </c>
      <c r="BA55" s="29" t="str">
        <f t="shared" si="18"/>
        <v/>
      </c>
      <c r="BB55" s="29" t="str">
        <f t="shared" si="19"/>
        <v/>
      </c>
      <c r="BC55" s="29" t="str">
        <f t="shared" si="20"/>
        <v/>
      </c>
      <c r="BD55" s="29" t="str">
        <f t="shared" si="21"/>
        <v/>
      </c>
      <c r="BE55" s="29" t="str">
        <f t="shared" si="22"/>
        <v/>
      </c>
      <c r="BF55" s="29" t="str">
        <f t="shared" si="23"/>
        <v/>
      </c>
      <c r="BG55" s="29" t="str">
        <f t="shared" si="24"/>
        <v/>
      </c>
      <c r="BH55" s="29" t="str">
        <f t="shared" si="25"/>
        <v/>
      </c>
      <c r="BI55" s="29" t="str">
        <f t="shared" si="26"/>
        <v/>
      </c>
      <c r="BJ55" s="29" t="str">
        <f t="shared" si="84"/>
        <v/>
      </c>
      <c r="BK55" s="29" t="str">
        <f t="shared" si="85"/>
        <v/>
      </c>
      <c r="BL55" s="29" t="str">
        <f t="shared" si="29"/>
        <v/>
      </c>
      <c r="BM55" s="29" t="str">
        <f t="shared" si="30"/>
        <v/>
      </c>
      <c r="BN55" s="29" t="str">
        <f t="shared" si="31"/>
        <v/>
      </c>
      <c r="BO55" s="29" t="str">
        <f t="shared" si="32"/>
        <v/>
      </c>
      <c r="BP55" s="111"/>
      <c r="BQ55" s="114"/>
      <c r="BR55" s="16">
        <v>5</v>
      </c>
      <c r="BS55" s="29" t="str">
        <f t="shared" si="81"/>
        <v/>
      </c>
      <c r="BT55" s="29" t="str">
        <f t="shared" si="33"/>
        <v/>
      </c>
      <c r="BU55" s="29" t="str">
        <f t="shared" si="34"/>
        <v/>
      </c>
      <c r="BV55" s="29" t="str">
        <f t="shared" si="35"/>
        <v/>
      </c>
      <c r="BW55" s="29" t="str">
        <f t="shared" si="36"/>
        <v/>
      </c>
      <c r="BX55" s="29" t="str">
        <f t="shared" si="37"/>
        <v/>
      </c>
      <c r="BY55" s="29" t="str">
        <f t="shared" si="38"/>
        <v/>
      </c>
      <c r="BZ55" s="29" t="str">
        <f t="shared" si="39"/>
        <v/>
      </c>
      <c r="CA55" s="29" t="str">
        <f t="shared" si="40"/>
        <v/>
      </c>
      <c r="CB55" s="29" t="str">
        <f t="shared" si="41"/>
        <v/>
      </c>
      <c r="CC55" s="29" t="str">
        <f t="shared" si="42"/>
        <v/>
      </c>
      <c r="CD55" s="29" t="str">
        <f t="shared" si="43"/>
        <v/>
      </c>
      <c r="CE55" s="29" t="str">
        <f t="shared" si="44"/>
        <v/>
      </c>
      <c r="CG55" s="111"/>
      <c r="CH55" s="114"/>
      <c r="CI55" s="16">
        <v>5</v>
      </c>
      <c r="CJ55" s="29" t="str">
        <f t="shared" si="82"/>
        <v/>
      </c>
      <c r="CK55" s="29" t="str">
        <f t="shared" si="45"/>
        <v/>
      </c>
      <c r="CL55" s="29" t="str">
        <f t="shared" si="46"/>
        <v/>
      </c>
      <c r="CM55" s="29" t="str">
        <f t="shared" si="47"/>
        <v/>
      </c>
      <c r="CN55" s="29" t="str">
        <f t="shared" si="48"/>
        <v/>
      </c>
      <c r="CO55" s="29" t="str">
        <f t="shared" si="49"/>
        <v/>
      </c>
      <c r="CP55" s="29" t="str">
        <f t="shared" si="50"/>
        <v/>
      </c>
      <c r="CQ55" s="29" t="str">
        <f t="shared" si="51"/>
        <v/>
      </c>
      <c r="CR55" s="29" t="str">
        <f t="shared" si="52"/>
        <v/>
      </c>
      <c r="CS55" s="29" t="str">
        <f t="shared" si="53"/>
        <v/>
      </c>
      <c r="CT55" s="29" t="str">
        <f t="shared" si="54"/>
        <v/>
      </c>
      <c r="CU55" s="29" t="str">
        <f t="shared" si="55"/>
        <v/>
      </c>
      <c r="CV55" s="29" t="str">
        <f t="shared" si="56"/>
        <v/>
      </c>
      <c r="CW55" s="29" t="str">
        <f t="shared" si="57"/>
        <v/>
      </c>
      <c r="CX55" s="29" t="str">
        <f t="shared" si="58"/>
        <v/>
      </c>
      <c r="CY55" s="29" t="str">
        <f t="shared" si="59"/>
        <v/>
      </c>
      <c r="CZ55" s="29">
        <f t="shared" si="60"/>
        <v>0</v>
      </c>
      <c r="DA55" s="29" t="str">
        <f t="shared" si="61"/>
        <v/>
      </c>
      <c r="DG55" s="111"/>
      <c r="DH55" s="114"/>
      <c r="DI55" s="16">
        <v>5</v>
      </c>
      <c r="DJ55" s="29" t="str">
        <f t="shared" si="83"/>
        <v/>
      </c>
      <c r="DK55" s="29" t="str">
        <f t="shared" si="62"/>
        <v/>
      </c>
      <c r="DL55" s="29" t="str">
        <f t="shared" si="63"/>
        <v/>
      </c>
      <c r="DM55" s="29" t="str">
        <f t="shared" si="64"/>
        <v/>
      </c>
      <c r="DN55" s="29" t="str">
        <f t="shared" si="65"/>
        <v/>
      </c>
      <c r="DO55" s="29" t="str">
        <f t="shared" si="66"/>
        <v/>
      </c>
      <c r="DP55" s="29" t="str">
        <f t="shared" si="67"/>
        <v/>
      </c>
      <c r="DQ55" s="29" t="str">
        <f t="shared" si="68"/>
        <v/>
      </c>
      <c r="DR55" s="29" t="str">
        <f t="shared" si="69"/>
        <v/>
      </c>
      <c r="DS55" s="29" t="str">
        <f t="shared" si="70"/>
        <v/>
      </c>
      <c r="DT55" s="29" t="str">
        <f t="shared" si="71"/>
        <v/>
      </c>
      <c r="DU55" s="29" t="str">
        <f t="shared" si="72"/>
        <v/>
      </c>
      <c r="DV55" s="29" t="str">
        <f t="shared" si="73"/>
        <v/>
      </c>
      <c r="DW55" s="29" t="str">
        <f t="shared" si="74"/>
        <v/>
      </c>
      <c r="DX55" s="29" t="str">
        <f t="shared" si="75"/>
        <v/>
      </c>
      <c r="DY55" s="29" t="str">
        <f t="shared" si="76"/>
        <v/>
      </c>
      <c r="DZ55" s="29" t="str">
        <f t="shared" si="77"/>
        <v/>
      </c>
      <c r="EA55" s="29" t="str">
        <f t="shared" si="78"/>
        <v/>
      </c>
    </row>
    <row r="56" spans="5:131" ht="15.95" customHeight="1" x14ac:dyDescent="0.25">
      <c r="E56" s="109">
        <v>7</v>
      </c>
      <c r="F56" s="112" t="s">
        <v>3</v>
      </c>
      <c r="G56" s="10">
        <v>1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20"/>
      <c r="S56" s="21"/>
      <c r="Z56" s="109">
        <v>7</v>
      </c>
      <c r="AA56" s="112" t="s">
        <v>3</v>
      </c>
      <c r="AB56" s="10">
        <v>1</v>
      </c>
      <c r="AC56" s="11" t="str">
        <f t="shared" si="79"/>
        <v/>
      </c>
      <c r="AD56" s="11" t="str">
        <f t="shared" si="0"/>
        <v/>
      </c>
      <c r="AE56" s="11" t="str">
        <f t="shared" si="1"/>
        <v/>
      </c>
      <c r="AF56" s="11" t="str">
        <f t="shared" si="2"/>
        <v/>
      </c>
      <c r="AG56" s="11" t="str">
        <f t="shared" si="3"/>
        <v/>
      </c>
      <c r="AH56" s="11" t="str">
        <f t="shared" si="4"/>
        <v/>
      </c>
      <c r="AI56" s="11" t="str">
        <f t="shared" si="5"/>
        <v/>
      </c>
      <c r="AJ56" s="11" t="str">
        <f t="shared" si="6"/>
        <v/>
      </c>
      <c r="AK56" s="11" t="str">
        <f t="shared" si="7"/>
        <v/>
      </c>
      <c r="AL56" s="11" t="str">
        <f t="shared" si="8"/>
        <v/>
      </c>
      <c r="AM56" s="11" t="str">
        <f t="shared" si="9"/>
        <v/>
      </c>
      <c r="AN56" s="11" t="str">
        <f t="shared" si="10"/>
        <v/>
      </c>
      <c r="AO56" s="11" t="str">
        <f t="shared" si="11"/>
        <v/>
      </c>
      <c r="AP56" s="11" t="str">
        <f t="shared" si="11"/>
        <v/>
      </c>
      <c r="AQ56" s="11" t="str">
        <f t="shared" si="86"/>
        <v/>
      </c>
      <c r="AR56" s="11" t="str">
        <f t="shared" si="87"/>
        <v/>
      </c>
      <c r="AS56" s="11" t="str">
        <f t="shared" si="88"/>
        <v/>
      </c>
      <c r="AT56" s="11" t="str">
        <f t="shared" si="15"/>
        <v/>
      </c>
      <c r="AU56" s="109">
        <v>7</v>
      </c>
      <c r="AV56" s="112" t="s">
        <v>3</v>
      </c>
      <c r="AW56" s="10">
        <v>1</v>
      </c>
      <c r="AX56" s="29" t="str">
        <f t="shared" si="80"/>
        <v/>
      </c>
      <c r="AY56" s="29" t="str">
        <f t="shared" si="16"/>
        <v/>
      </c>
      <c r="AZ56" s="29" t="str">
        <f t="shared" si="17"/>
        <v/>
      </c>
      <c r="BA56" s="29" t="str">
        <f t="shared" si="18"/>
        <v/>
      </c>
      <c r="BB56" s="29" t="str">
        <f t="shared" si="19"/>
        <v/>
      </c>
      <c r="BC56" s="29" t="str">
        <f t="shared" si="20"/>
        <v/>
      </c>
      <c r="BD56" s="29" t="str">
        <f t="shared" si="21"/>
        <v/>
      </c>
      <c r="BE56" s="29" t="str">
        <f t="shared" si="22"/>
        <v/>
      </c>
      <c r="BF56" s="29" t="str">
        <f t="shared" si="23"/>
        <v/>
      </c>
      <c r="BG56" s="29" t="str">
        <f t="shared" si="24"/>
        <v/>
      </c>
      <c r="BH56" s="29" t="str">
        <f t="shared" si="25"/>
        <v/>
      </c>
      <c r="BI56" s="29" t="str">
        <f t="shared" si="26"/>
        <v/>
      </c>
      <c r="BJ56" s="29" t="str">
        <f t="shared" ref="BJ56:BK60" si="89">IFERROR(RIGHT(T56,LEN(T56)-FIND("-",T56)-1),"")</f>
        <v/>
      </c>
      <c r="BK56" s="29" t="str">
        <f t="shared" si="89"/>
        <v/>
      </c>
      <c r="BL56" s="29" t="str">
        <f t="shared" si="29"/>
        <v/>
      </c>
      <c r="BM56" s="29" t="str">
        <f t="shared" si="30"/>
        <v/>
      </c>
      <c r="BN56" s="29" t="str">
        <f t="shared" si="31"/>
        <v/>
      </c>
      <c r="BO56" s="29" t="str">
        <f t="shared" si="32"/>
        <v/>
      </c>
      <c r="BP56" s="109">
        <v>7</v>
      </c>
      <c r="BQ56" s="112" t="s">
        <v>3</v>
      </c>
      <c r="BR56" s="10">
        <v>1</v>
      </c>
      <c r="BS56" s="29" t="str">
        <f t="shared" si="81"/>
        <v/>
      </c>
      <c r="BT56" s="29" t="str">
        <f t="shared" si="33"/>
        <v/>
      </c>
      <c r="BU56" s="29" t="str">
        <f t="shared" si="34"/>
        <v/>
      </c>
      <c r="BV56" s="29" t="str">
        <f t="shared" si="35"/>
        <v/>
      </c>
      <c r="BW56" s="29" t="str">
        <f t="shared" si="36"/>
        <v/>
      </c>
      <c r="BX56" s="29" t="str">
        <f t="shared" si="37"/>
        <v/>
      </c>
      <c r="BY56" s="29" t="str">
        <f t="shared" si="38"/>
        <v/>
      </c>
      <c r="BZ56" s="29" t="str">
        <f t="shared" si="39"/>
        <v/>
      </c>
      <c r="CA56" s="29" t="str">
        <f t="shared" si="40"/>
        <v/>
      </c>
      <c r="CB56" s="29" t="str">
        <f t="shared" si="41"/>
        <v/>
      </c>
      <c r="CC56" s="29" t="str">
        <f t="shared" si="42"/>
        <v/>
      </c>
      <c r="CD56" s="29" t="str">
        <f t="shared" si="43"/>
        <v/>
      </c>
      <c r="CE56" s="29" t="str">
        <f t="shared" si="44"/>
        <v/>
      </c>
      <c r="CG56" s="109">
        <v>7</v>
      </c>
      <c r="CH56" s="112" t="s">
        <v>3</v>
      </c>
      <c r="CI56" s="10">
        <v>1</v>
      </c>
      <c r="CJ56" s="29" t="str">
        <f t="shared" si="82"/>
        <v/>
      </c>
      <c r="CK56" s="29" t="str">
        <f t="shared" si="45"/>
        <v/>
      </c>
      <c r="CL56" s="29" t="str">
        <f t="shared" si="46"/>
        <v/>
      </c>
      <c r="CM56" s="29" t="str">
        <f t="shared" si="47"/>
        <v/>
      </c>
      <c r="CN56" s="29" t="str">
        <f t="shared" si="48"/>
        <v/>
      </c>
      <c r="CO56" s="29" t="str">
        <f t="shared" si="49"/>
        <v/>
      </c>
      <c r="CP56" s="29" t="str">
        <f t="shared" si="50"/>
        <v/>
      </c>
      <c r="CQ56" s="29" t="str">
        <f t="shared" si="51"/>
        <v/>
      </c>
      <c r="CR56" s="29" t="str">
        <f t="shared" si="52"/>
        <v/>
      </c>
      <c r="CS56" s="29" t="str">
        <f t="shared" si="53"/>
        <v/>
      </c>
      <c r="CT56" s="29" t="str">
        <f t="shared" si="54"/>
        <v/>
      </c>
      <c r="CU56" s="29" t="str">
        <f t="shared" si="55"/>
        <v/>
      </c>
      <c r="CV56" s="29" t="str">
        <f t="shared" si="56"/>
        <v/>
      </c>
      <c r="CW56" s="29" t="str">
        <f t="shared" si="57"/>
        <v/>
      </c>
      <c r="CX56" s="29">
        <f t="shared" si="58"/>
        <v>0</v>
      </c>
      <c r="CY56" s="29">
        <f t="shared" si="59"/>
        <v>0</v>
      </c>
      <c r="CZ56" s="29">
        <f t="shared" si="60"/>
        <v>0</v>
      </c>
      <c r="DA56" s="29" t="str">
        <f t="shared" si="61"/>
        <v/>
      </c>
      <c r="DG56" s="109">
        <v>7</v>
      </c>
      <c r="DH56" s="112" t="s">
        <v>3</v>
      </c>
      <c r="DI56" s="10">
        <v>1</v>
      </c>
      <c r="DJ56" s="29" t="str">
        <f t="shared" si="83"/>
        <v/>
      </c>
      <c r="DK56" s="29" t="str">
        <f t="shared" si="62"/>
        <v/>
      </c>
      <c r="DL56" s="29" t="str">
        <f t="shared" si="63"/>
        <v/>
      </c>
      <c r="DM56" s="29" t="str">
        <f t="shared" si="64"/>
        <v/>
      </c>
      <c r="DN56" s="29" t="str">
        <f t="shared" si="65"/>
        <v/>
      </c>
      <c r="DO56" s="29" t="str">
        <f t="shared" si="66"/>
        <v/>
      </c>
      <c r="DP56" s="29" t="str">
        <f t="shared" si="67"/>
        <v/>
      </c>
      <c r="DQ56" s="29" t="str">
        <f t="shared" si="68"/>
        <v/>
      </c>
      <c r="DR56" s="29" t="str">
        <f t="shared" si="69"/>
        <v/>
      </c>
      <c r="DS56" s="29" t="str">
        <f t="shared" si="70"/>
        <v/>
      </c>
      <c r="DT56" s="29" t="str">
        <f t="shared" si="71"/>
        <v/>
      </c>
      <c r="DU56" s="29" t="str">
        <f t="shared" si="72"/>
        <v/>
      </c>
      <c r="DV56" s="29" t="str">
        <f t="shared" si="73"/>
        <v/>
      </c>
      <c r="DW56" s="29" t="str">
        <f t="shared" si="74"/>
        <v/>
      </c>
      <c r="DX56" s="29" t="str">
        <f t="shared" si="75"/>
        <v/>
      </c>
      <c r="DY56" s="29" t="str">
        <f t="shared" si="76"/>
        <v/>
      </c>
      <c r="DZ56" s="29" t="str">
        <f t="shared" si="77"/>
        <v/>
      </c>
      <c r="EA56" s="29" t="str">
        <f t="shared" si="78"/>
        <v/>
      </c>
    </row>
    <row r="57" spans="5:131" ht="15.95" customHeight="1" x14ac:dyDescent="0.25">
      <c r="E57" s="110"/>
      <c r="F57" s="113"/>
      <c r="G57" s="15">
        <v>2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3"/>
      <c r="S57" s="14"/>
      <c r="Z57" s="110"/>
      <c r="AA57" s="113"/>
      <c r="AB57" s="15">
        <v>2</v>
      </c>
      <c r="AC57" s="11" t="str">
        <f t="shared" si="79"/>
        <v/>
      </c>
      <c r="AD57" s="11" t="str">
        <f t="shared" si="0"/>
        <v/>
      </c>
      <c r="AE57" s="11" t="str">
        <f t="shared" si="1"/>
        <v/>
      </c>
      <c r="AF57" s="11" t="str">
        <f t="shared" si="2"/>
        <v/>
      </c>
      <c r="AG57" s="11" t="str">
        <f t="shared" si="3"/>
        <v/>
      </c>
      <c r="AH57" s="11" t="str">
        <f t="shared" si="4"/>
        <v/>
      </c>
      <c r="AI57" s="11" t="str">
        <f t="shared" si="5"/>
        <v/>
      </c>
      <c r="AJ57" s="11" t="str">
        <f t="shared" si="6"/>
        <v/>
      </c>
      <c r="AK57" s="11" t="str">
        <f t="shared" si="7"/>
        <v/>
      </c>
      <c r="AL57" s="11" t="str">
        <f t="shared" si="8"/>
        <v/>
      </c>
      <c r="AM57" s="11" t="str">
        <f t="shared" si="9"/>
        <v/>
      </c>
      <c r="AN57" s="11" t="str">
        <f t="shared" si="10"/>
        <v/>
      </c>
      <c r="AO57" s="11" t="str">
        <f t="shared" si="11"/>
        <v/>
      </c>
      <c r="AP57" s="11" t="str">
        <f t="shared" si="11"/>
        <v/>
      </c>
      <c r="AQ57" s="11" t="str">
        <f t="shared" si="86"/>
        <v/>
      </c>
      <c r="AR57" s="11" t="str">
        <f t="shared" si="87"/>
        <v/>
      </c>
      <c r="AS57" s="11" t="str">
        <f t="shared" si="88"/>
        <v/>
      </c>
      <c r="AT57" s="11" t="str">
        <f t="shared" si="15"/>
        <v/>
      </c>
      <c r="AU57" s="110"/>
      <c r="AV57" s="113"/>
      <c r="AW57" s="15">
        <v>2</v>
      </c>
      <c r="AX57" s="29" t="str">
        <f t="shared" si="80"/>
        <v/>
      </c>
      <c r="AY57" s="29" t="str">
        <f t="shared" si="16"/>
        <v/>
      </c>
      <c r="AZ57" s="29" t="str">
        <f t="shared" si="17"/>
        <v/>
      </c>
      <c r="BA57" s="29" t="str">
        <f t="shared" si="18"/>
        <v/>
      </c>
      <c r="BB57" s="29" t="str">
        <f t="shared" si="19"/>
        <v/>
      </c>
      <c r="BC57" s="29" t="str">
        <f t="shared" si="20"/>
        <v/>
      </c>
      <c r="BD57" s="29" t="str">
        <f t="shared" si="21"/>
        <v/>
      </c>
      <c r="BE57" s="29" t="str">
        <f t="shared" si="22"/>
        <v/>
      </c>
      <c r="BF57" s="29" t="str">
        <f t="shared" si="23"/>
        <v/>
      </c>
      <c r="BG57" s="29" t="str">
        <f t="shared" si="24"/>
        <v/>
      </c>
      <c r="BH57" s="29" t="str">
        <f t="shared" si="25"/>
        <v/>
      </c>
      <c r="BI57" s="29" t="str">
        <f t="shared" si="26"/>
        <v/>
      </c>
      <c r="BJ57" s="29" t="str">
        <f t="shared" si="89"/>
        <v/>
      </c>
      <c r="BK57" s="29" t="str">
        <f t="shared" si="89"/>
        <v/>
      </c>
      <c r="BL57" s="29" t="str">
        <f t="shared" si="29"/>
        <v/>
      </c>
      <c r="BM57" s="29" t="str">
        <f t="shared" si="30"/>
        <v/>
      </c>
      <c r="BN57" s="29" t="str">
        <f t="shared" si="31"/>
        <v/>
      </c>
      <c r="BO57" s="29" t="str">
        <f t="shared" si="32"/>
        <v/>
      </c>
      <c r="BP57" s="110"/>
      <c r="BQ57" s="113"/>
      <c r="BR57" s="15">
        <v>2</v>
      </c>
      <c r="BS57" s="29" t="str">
        <f t="shared" si="81"/>
        <v/>
      </c>
      <c r="BT57" s="29" t="str">
        <f t="shared" si="33"/>
        <v/>
      </c>
      <c r="BU57" s="29" t="str">
        <f t="shared" si="34"/>
        <v/>
      </c>
      <c r="BV57" s="29" t="str">
        <f t="shared" si="35"/>
        <v/>
      </c>
      <c r="BW57" s="29" t="str">
        <f t="shared" si="36"/>
        <v/>
      </c>
      <c r="BX57" s="29" t="str">
        <f t="shared" si="37"/>
        <v/>
      </c>
      <c r="BY57" s="29" t="str">
        <f t="shared" si="38"/>
        <v/>
      </c>
      <c r="BZ57" s="29" t="str">
        <f t="shared" si="39"/>
        <v/>
      </c>
      <c r="CA57" s="29" t="str">
        <f t="shared" si="40"/>
        <v/>
      </c>
      <c r="CB57" s="29" t="str">
        <f t="shared" si="41"/>
        <v/>
      </c>
      <c r="CC57" s="29" t="str">
        <f t="shared" si="42"/>
        <v/>
      </c>
      <c r="CD57" s="29" t="str">
        <f t="shared" si="43"/>
        <v/>
      </c>
      <c r="CE57" s="29" t="str">
        <f t="shared" si="44"/>
        <v/>
      </c>
      <c r="CG57" s="110"/>
      <c r="CH57" s="113"/>
      <c r="CI57" s="15">
        <v>2</v>
      </c>
      <c r="CJ57" s="29" t="str">
        <f t="shared" si="82"/>
        <v/>
      </c>
      <c r="CK57" s="29" t="str">
        <f t="shared" si="45"/>
        <v/>
      </c>
      <c r="CL57" s="29" t="str">
        <f t="shared" si="46"/>
        <v/>
      </c>
      <c r="CM57" s="29" t="str">
        <f t="shared" si="47"/>
        <v/>
      </c>
      <c r="CN57" s="29" t="str">
        <f t="shared" si="48"/>
        <v/>
      </c>
      <c r="CO57" s="29" t="str">
        <f t="shared" si="49"/>
        <v/>
      </c>
      <c r="CP57" s="29" t="str">
        <f t="shared" si="50"/>
        <v/>
      </c>
      <c r="CQ57" s="29" t="str">
        <f t="shared" si="51"/>
        <v/>
      </c>
      <c r="CR57" s="29" t="str">
        <f t="shared" si="52"/>
        <v/>
      </c>
      <c r="CS57" s="29" t="str">
        <f t="shared" si="53"/>
        <v/>
      </c>
      <c r="CT57" s="29" t="str">
        <f t="shared" si="54"/>
        <v/>
      </c>
      <c r="CU57" s="29" t="str">
        <f t="shared" si="55"/>
        <v/>
      </c>
      <c r="CV57" s="29" t="str">
        <f t="shared" si="56"/>
        <v/>
      </c>
      <c r="CW57" s="29" t="str">
        <f t="shared" si="57"/>
        <v/>
      </c>
      <c r="CX57" s="29" t="str">
        <f t="shared" si="58"/>
        <v/>
      </c>
      <c r="CY57" s="29" t="str">
        <f t="shared" si="59"/>
        <v/>
      </c>
      <c r="CZ57" s="29">
        <f t="shared" si="60"/>
        <v>0</v>
      </c>
      <c r="DA57" s="29" t="str">
        <f t="shared" si="61"/>
        <v/>
      </c>
      <c r="DG57" s="110"/>
      <c r="DH57" s="113"/>
      <c r="DI57" s="15">
        <v>2</v>
      </c>
      <c r="DJ57" s="29" t="str">
        <f t="shared" si="83"/>
        <v/>
      </c>
      <c r="DK57" s="29" t="str">
        <f t="shared" si="62"/>
        <v/>
      </c>
      <c r="DL57" s="29" t="str">
        <f t="shared" si="63"/>
        <v/>
      </c>
      <c r="DM57" s="29" t="str">
        <f t="shared" si="64"/>
        <v/>
      </c>
      <c r="DN57" s="29" t="str">
        <f t="shared" si="65"/>
        <v/>
      </c>
      <c r="DO57" s="29" t="str">
        <f t="shared" si="66"/>
        <v/>
      </c>
      <c r="DP57" s="29" t="str">
        <f t="shared" si="67"/>
        <v/>
      </c>
      <c r="DQ57" s="29" t="str">
        <f t="shared" si="68"/>
        <v/>
      </c>
      <c r="DR57" s="29" t="str">
        <f t="shared" si="69"/>
        <v/>
      </c>
      <c r="DS57" s="29" t="str">
        <f t="shared" si="70"/>
        <v/>
      </c>
      <c r="DT57" s="29" t="str">
        <f t="shared" si="71"/>
        <v/>
      </c>
      <c r="DU57" s="29" t="str">
        <f t="shared" si="72"/>
        <v/>
      </c>
      <c r="DV57" s="29" t="str">
        <f t="shared" si="73"/>
        <v/>
      </c>
      <c r="DW57" s="29" t="str">
        <f t="shared" si="74"/>
        <v/>
      </c>
      <c r="DX57" s="29" t="str">
        <f t="shared" si="75"/>
        <v/>
      </c>
      <c r="DY57" s="29" t="str">
        <f t="shared" si="76"/>
        <v/>
      </c>
      <c r="DZ57" s="29" t="str">
        <f t="shared" si="77"/>
        <v/>
      </c>
      <c r="EA57" s="29" t="str">
        <f t="shared" si="78"/>
        <v/>
      </c>
    </row>
    <row r="58" spans="5:131" ht="15.95" customHeight="1" x14ac:dyDescent="0.25">
      <c r="E58" s="110"/>
      <c r="F58" s="113"/>
      <c r="G58" s="15">
        <v>3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3"/>
      <c r="S58" s="14"/>
      <c r="Z58" s="110"/>
      <c r="AA58" s="113"/>
      <c r="AB58" s="15">
        <v>3</v>
      </c>
      <c r="AC58" s="11" t="str">
        <f t="shared" si="79"/>
        <v/>
      </c>
      <c r="AD58" s="11" t="str">
        <f t="shared" si="0"/>
        <v/>
      </c>
      <c r="AE58" s="11" t="str">
        <f t="shared" si="1"/>
        <v/>
      </c>
      <c r="AF58" s="11" t="str">
        <f t="shared" si="2"/>
        <v/>
      </c>
      <c r="AG58" s="11" t="str">
        <f t="shared" si="3"/>
        <v/>
      </c>
      <c r="AH58" s="11" t="str">
        <f t="shared" si="4"/>
        <v/>
      </c>
      <c r="AI58" s="11" t="str">
        <f t="shared" si="5"/>
        <v/>
      </c>
      <c r="AJ58" s="11" t="str">
        <f t="shared" si="6"/>
        <v/>
      </c>
      <c r="AK58" s="11" t="str">
        <f t="shared" si="7"/>
        <v/>
      </c>
      <c r="AL58" s="11" t="str">
        <f t="shared" si="8"/>
        <v/>
      </c>
      <c r="AM58" s="11" t="str">
        <f t="shared" si="9"/>
        <v/>
      </c>
      <c r="AN58" s="11" t="str">
        <f t="shared" si="10"/>
        <v/>
      </c>
      <c r="AO58" s="11" t="str">
        <f t="shared" si="11"/>
        <v/>
      </c>
      <c r="AP58" s="11" t="str">
        <f t="shared" si="11"/>
        <v/>
      </c>
      <c r="AQ58" s="11" t="str">
        <f t="shared" si="86"/>
        <v/>
      </c>
      <c r="AR58" s="11" t="str">
        <f t="shared" si="87"/>
        <v/>
      </c>
      <c r="AS58" s="11" t="str">
        <f t="shared" si="88"/>
        <v/>
      </c>
      <c r="AT58" s="11" t="str">
        <f t="shared" si="15"/>
        <v/>
      </c>
      <c r="AU58" s="110"/>
      <c r="AV58" s="113"/>
      <c r="AW58" s="15">
        <v>3</v>
      </c>
      <c r="AX58" s="29" t="str">
        <f t="shared" si="80"/>
        <v/>
      </c>
      <c r="AY58" s="29" t="str">
        <f t="shared" si="16"/>
        <v/>
      </c>
      <c r="AZ58" s="29" t="str">
        <f t="shared" si="17"/>
        <v/>
      </c>
      <c r="BA58" s="29" t="str">
        <f t="shared" si="18"/>
        <v/>
      </c>
      <c r="BB58" s="29" t="str">
        <f t="shared" si="19"/>
        <v/>
      </c>
      <c r="BC58" s="29" t="str">
        <f t="shared" si="20"/>
        <v/>
      </c>
      <c r="BD58" s="29" t="str">
        <f t="shared" si="21"/>
        <v/>
      </c>
      <c r="BE58" s="29" t="str">
        <f t="shared" si="22"/>
        <v/>
      </c>
      <c r="BF58" s="29" t="str">
        <f t="shared" si="23"/>
        <v/>
      </c>
      <c r="BG58" s="29" t="str">
        <f t="shared" si="24"/>
        <v/>
      </c>
      <c r="BH58" s="29" t="str">
        <f t="shared" si="25"/>
        <v/>
      </c>
      <c r="BI58" s="29" t="str">
        <f t="shared" si="26"/>
        <v/>
      </c>
      <c r="BJ58" s="29" t="str">
        <f t="shared" si="89"/>
        <v/>
      </c>
      <c r="BK58" s="29" t="str">
        <f t="shared" si="89"/>
        <v/>
      </c>
      <c r="BL58" s="29" t="str">
        <f t="shared" si="29"/>
        <v/>
      </c>
      <c r="BM58" s="29" t="str">
        <f t="shared" si="30"/>
        <v/>
      </c>
      <c r="BN58" s="29" t="str">
        <f t="shared" si="31"/>
        <v/>
      </c>
      <c r="BO58" s="29" t="str">
        <f t="shared" si="32"/>
        <v/>
      </c>
      <c r="BP58" s="110"/>
      <c r="BQ58" s="113"/>
      <c r="BR58" s="15">
        <v>3</v>
      </c>
      <c r="BS58" s="29" t="str">
        <f t="shared" si="81"/>
        <v/>
      </c>
      <c r="BT58" s="29" t="str">
        <f t="shared" si="33"/>
        <v/>
      </c>
      <c r="BU58" s="29" t="str">
        <f t="shared" si="34"/>
        <v/>
      </c>
      <c r="BV58" s="29" t="str">
        <f t="shared" si="35"/>
        <v/>
      </c>
      <c r="BW58" s="29" t="str">
        <f t="shared" si="36"/>
        <v/>
      </c>
      <c r="BX58" s="29" t="str">
        <f t="shared" si="37"/>
        <v/>
      </c>
      <c r="BY58" s="29" t="str">
        <f t="shared" si="38"/>
        <v/>
      </c>
      <c r="BZ58" s="29" t="str">
        <f t="shared" si="39"/>
        <v/>
      </c>
      <c r="CA58" s="29" t="str">
        <f t="shared" si="40"/>
        <v/>
      </c>
      <c r="CB58" s="29" t="str">
        <f t="shared" si="41"/>
        <v/>
      </c>
      <c r="CC58" s="29" t="str">
        <f t="shared" si="42"/>
        <v/>
      </c>
      <c r="CD58" s="29" t="str">
        <f t="shared" si="43"/>
        <v/>
      </c>
      <c r="CE58" s="29" t="str">
        <f t="shared" si="44"/>
        <v/>
      </c>
      <c r="CG58" s="110"/>
      <c r="CH58" s="113"/>
      <c r="CI58" s="15">
        <v>3</v>
      </c>
      <c r="CJ58" s="29" t="str">
        <f t="shared" si="82"/>
        <v/>
      </c>
      <c r="CK58" s="29" t="str">
        <f t="shared" si="45"/>
        <v/>
      </c>
      <c r="CL58" s="29" t="str">
        <f t="shared" si="46"/>
        <v/>
      </c>
      <c r="CM58" s="29" t="str">
        <f t="shared" si="47"/>
        <v/>
      </c>
      <c r="CN58" s="29" t="str">
        <f t="shared" si="48"/>
        <v/>
      </c>
      <c r="CO58" s="29" t="str">
        <f t="shared" si="49"/>
        <v/>
      </c>
      <c r="CP58" s="29" t="str">
        <f t="shared" si="50"/>
        <v/>
      </c>
      <c r="CQ58" s="29" t="str">
        <f t="shared" si="51"/>
        <v/>
      </c>
      <c r="CR58" s="29" t="str">
        <f t="shared" si="52"/>
        <v/>
      </c>
      <c r="CS58" s="29" t="str">
        <f t="shared" si="53"/>
        <v/>
      </c>
      <c r="CT58" s="29" t="str">
        <f t="shared" si="54"/>
        <v/>
      </c>
      <c r="CU58" s="29" t="str">
        <f t="shared" si="55"/>
        <v/>
      </c>
      <c r="CV58" s="29" t="str">
        <f t="shared" si="56"/>
        <v/>
      </c>
      <c r="CW58" s="29" t="str">
        <f t="shared" si="57"/>
        <v/>
      </c>
      <c r="CX58" s="29" t="str">
        <f t="shared" si="58"/>
        <v/>
      </c>
      <c r="CY58" s="29" t="str">
        <f t="shared" si="59"/>
        <v/>
      </c>
      <c r="CZ58" s="29">
        <f t="shared" si="60"/>
        <v>0</v>
      </c>
      <c r="DA58" s="29" t="str">
        <f t="shared" si="61"/>
        <v/>
      </c>
      <c r="DG58" s="110"/>
      <c r="DH58" s="113"/>
      <c r="DI58" s="15">
        <v>3</v>
      </c>
      <c r="DJ58" s="29" t="str">
        <f t="shared" si="83"/>
        <v/>
      </c>
      <c r="DK58" s="29" t="str">
        <f t="shared" si="62"/>
        <v/>
      </c>
      <c r="DL58" s="29" t="str">
        <f t="shared" si="63"/>
        <v/>
      </c>
      <c r="DM58" s="29" t="str">
        <f t="shared" si="64"/>
        <v/>
      </c>
      <c r="DN58" s="29" t="str">
        <f t="shared" si="65"/>
        <v/>
      </c>
      <c r="DO58" s="29" t="str">
        <f t="shared" si="66"/>
        <v/>
      </c>
      <c r="DP58" s="29" t="str">
        <f t="shared" si="67"/>
        <v/>
      </c>
      <c r="DQ58" s="29" t="str">
        <f t="shared" si="68"/>
        <v/>
      </c>
      <c r="DR58" s="29" t="str">
        <f t="shared" si="69"/>
        <v/>
      </c>
      <c r="DS58" s="29" t="str">
        <f t="shared" si="70"/>
        <v/>
      </c>
      <c r="DT58" s="29" t="str">
        <f t="shared" si="71"/>
        <v/>
      </c>
      <c r="DU58" s="29" t="str">
        <f t="shared" si="72"/>
        <v/>
      </c>
      <c r="DV58" s="29" t="str">
        <f t="shared" si="73"/>
        <v/>
      </c>
      <c r="DW58" s="29" t="str">
        <f t="shared" si="74"/>
        <v/>
      </c>
      <c r="DX58" s="29" t="str">
        <f t="shared" si="75"/>
        <v/>
      </c>
      <c r="DY58" s="29" t="str">
        <f t="shared" si="76"/>
        <v/>
      </c>
      <c r="DZ58" s="29" t="str">
        <f t="shared" si="77"/>
        <v/>
      </c>
      <c r="EA58" s="29" t="str">
        <f t="shared" si="78"/>
        <v/>
      </c>
    </row>
    <row r="59" spans="5:131" ht="15.95" customHeight="1" x14ac:dyDescent="0.25">
      <c r="E59" s="110"/>
      <c r="F59" s="113"/>
      <c r="G59" s="15">
        <v>4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3"/>
      <c r="S59" s="14"/>
      <c r="Z59" s="110"/>
      <c r="AA59" s="113"/>
      <c r="AB59" s="15">
        <v>4</v>
      </c>
      <c r="AC59" s="11" t="str">
        <f t="shared" si="79"/>
        <v/>
      </c>
      <c r="AD59" s="11" t="str">
        <f t="shared" si="0"/>
        <v/>
      </c>
      <c r="AE59" s="11" t="str">
        <f t="shared" si="1"/>
        <v/>
      </c>
      <c r="AF59" s="11" t="str">
        <f t="shared" si="2"/>
        <v/>
      </c>
      <c r="AG59" s="11" t="str">
        <f t="shared" si="3"/>
        <v/>
      </c>
      <c r="AH59" s="11" t="str">
        <f t="shared" si="4"/>
        <v/>
      </c>
      <c r="AI59" s="11" t="str">
        <f t="shared" si="5"/>
        <v/>
      </c>
      <c r="AJ59" s="11" t="str">
        <f t="shared" si="6"/>
        <v/>
      </c>
      <c r="AK59" s="11" t="str">
        <f t="shared" si="7"/>
        <v/>
      </c>
      <c r="AL59" s="11" t="str">
        <f t="shared" si="8"/>
        <v/>
      </c>
      <c r="AM59" s="11" t="str">
        <f t="shared" si="9"/>
        <v/>
      </c>
      <c r="AN59" s="11" t="str">
        <f t="shared" si="10"/>
        <v/>
      </c>
      <c r="AO59" s="11" t="str">
        <f t="shared" si="11"/>
        <v/>
      </c>
      <c r="AP59" s="11" t="str">
        <f t="shared" si="11"/>
        <v/>
      </c>
      <c r="AQ59" s="11" t="str">
        <f t="shared" si="86"/>
        <v/>
      </c>
      <c r="AR59" s="11" t="str">
        <f t="shared" si="87"/>
        <v/>
      </c>
      <c r="AS59" s="11" t="str">
        <f t="shared" si="88"/>
        <v/>
      </c>
      <c r="AT59" s="11" t="str">
        <f t="shared" si="15"/>
        <v/>
      </c>
      <c r="AU59" s="110"/>
      <c r="AV59" s="113"/>
      <c r="AW59" s="15">
        <v>4</v>
      </c>
      <c r="AX59" s="29" t="str">
        <f t="shared" si="80"/>
        <v/>
      </c>
      <c r="AY59" s="29" t="str">
        <f t="shared" si="16"/>
        <v/>
      </c>
      <c r="AZ59" s="29" t="str">
        <f t="shared" si="17"/>
        <v/>
      </c>
      <c r="BA59" s="29" t="str">
        <f t="shared" si="18"/>
        <v/>
      </c>
      <c r="BB59" s="29" t="str">
        <f t="shared" si="19"/>
        <v/>
      </c>
      <c r="BC59" s="29" t="str">
        <f t="shared" si="20"/>
        <v/>
      </c>
      <c r="BD59" s="29" t="str">
        <f t="shared" si="21"/>
        <v/>
      </c>
      <c r="BE59" s="29" t="str">
        <f t="shared" si="22"/>
        <v/>
      </c>
      <c r="BF59" s="29" t="str">
        <f t="shared" si="23"/>
        <v/>
      </c>
      <c r="BG59" s="29" t="str">
        <f t="shared" si="24"/>
        <v/>
      </c>
      <c r="BH59" s="29" t="str">
        <f t="shared" si="25"/>
        <v/>
      </c>
      <c r="BI59" s="29" t="str">
        <f t="shared" si="26"/>
        <v/>
      </c>
      <c r="BJ59" s="29" t="str">
        <f t="shared" si="89"/>
        <v/>
      </c>
      <c r="BK59" s="29" t="str">
        <f t="shared" si="89"/>
        <v/>
      </c>
      <c r="BL59" s="29" t="str">
        <f t="shared" si="29"/>
        <v/>
      </c>
      <c r="BM59" s="29" t="str">
        <f t="shared" si="30"/>
        <v/>
      </c>
      <c r="BN59" s="29" t="str">
        <f t="shared" si="31"/>
        <v/>
      </c>
      <c r="BO59" s="29" t="str">
        <f t="shared" si="32"/>
        <v/>
      </c>
      <c r="BP59" s="110"/>
      <c r="BQ59" s="113"/>
      <c r="BR59" s="15">
        <v>4</v>
      </c>
      <c r="BS59" s="29" t="str">
        <f t="shared" si="81"/>
        <v/>
      </c>
      <c r="BT59" s="29" t="str">
        <f t="shared" si="33"/>
        <v/>
      </c>
      <c r="BU59" s="29" t="str">
        <f t="shared" si="34"/>
        <v/>
      </c>
      <c r="BV59" s="29" t="str">
        <f t="shared" si="35"/>
        <v/>
      </c>
      <c r="BW59" s="29" t="str">
        <f t="shared" si="36"/>
        <v/>
      </c>
      <c r="BX59" s="29" t="str">
        <f t="shared" si="37"/>
        <v/>
      </c>
      <c r="BY59" s="29" t="str">
        <f t="shared" si="38"/>
        <v/>
      </c>
      <c r="BZ59" s="29" t="str">
        <f t="shared" si="39"/>
        <v/>
      </c>
      <c r="CA59" s="29" t="str">
        <f t="shared" si="40"/>
        <v/>
      </c>
      <c r="CB59" s="29" t="str">
        <f t="shared" si="41"/>
        <v/>
      </c>
      <c r="CC59" s="29" t="str">
        <f t="shared" si="42"/>
        <v/>
      </c>
      <c r="CD59" s="29" t="str">
        <f t="shared" si="43"/>
        <v/>
      </c>
      <c r="CE59" s="29" t="str">
        <f t="shared" si="44"/>
        <v/>
      </c>
      <c r="CG59" s="110"/>
      <c r="CH59" s="113"/>
      <c r="CI59" s="15">
        <v>4</v>
      </c>
      <c r="CJ59" s="29" t="str">
        <f t="shared" si="82"/>
        <v/>
      </c>
      <c r="CK59" s="29" t="str">
        <f t="shared" si="45"/>
        <v/>
      </c>
      <c r="CL59" s="29" t="str">
        <f t="shared" si="46"/>
        <v/>
      </c>
      <c r="CM59" s="29" t="str">
        <f t="shared" si="47"/>
        <v/>
      </c>
      <c r="CN59" s="29" t="str">
        <f t="shared" si="48"/>
        <v/>
      </c>
      <c r="CO59" s="29" t="str">
        <f t="shared" si="49"/>
        <v/>
      </c>
      <c r="CP59" s="29" t="str">
        <f t="shared" si="50"/>
        <v/>
      </c>
      <c r="CQ59" s="29" t="str">
        <f t="shared" si="51"/>
        <v/>
      </c>
      <c r="CR59" s="29" t="str">
        <f t="shared" si="52"/>
        <v/>
      </c>
      <c r="CS59" s="29" t="str">
        <f t="shared" si="53"/>
        <v/>
      </c>
      <c r="CT59" s="29" t="str">
        <f t="shared" si="54"/>
        <v/>
      </c>
      <c r="CU59" s="29" t="str">
        <f t="shared" si="55"/>
        <v/>
      </c>
      <c r="CV59" s="29" t="str">
        <f t="shared" si="56"/>
        <v/>
      </c>
      <c r="CW59" s="29" t="str">
        <f t="shared" si="57"/>
        <v/>
      </c>
      <c r="CX59" s="29" t="str">
        <f t="shared" si="58"/>
        <v/>
      </c>
      <c r="CY59" s="29" t="str">
        <f t="shared" si="59"/>
        <v/>
      </c>
      <c r="CZ59" s="29">
        <f t="shared" si="60"/>
        <v>0</v>
      </c>
      <c r="DA59" s="29" t="str">
        <f t="shared" si="61"/>
        <v/>
      </c>
      <c r="DG59" s="110"/>
      <c r="DH59" s="113"/>
      <c r="DI59" s="15">
        <v>4</v>
      </c>
      <c r="DJ59" s="29" t="str">
        <f t="shared" si="83"/>
        <v/>
      </c>
      <c r="DK59" s="29" t="str">
        <f t="shared" si="62"/>
        <v/>
      </c>
      <c r="DL59" s="29" t="str">
        <f t="shared" si="63"/>
        <v/>
      </c>
      <c r="DM59" s="29" t="str">
        <f t="shared" si="64"/>
        <v/>
      </c>
      <c r="DN59" s="29" t="str">
        <f t="shared" si="65"/>
        <v/>
      </c>
      <c r="DO59" s="29" t="str">
        <f t="shared" si="66"/>
        <v/>
      </c>
      <c r="DP59" s="29" t="str">
        <f t="shared" si="67"/>
        <v/>
      </c>
      <c r="DQ59" s="29" t="str">
        <f t="shared" si="68"/>
        <v/>
      </c>
      <c r="DR59" s="29" t="str">
        <f t="shared" si="69"/>
        <v/>
      </c>
      <c r="DS59" s="29" t="str">
        <f t="shared" si="70"/>
        <v/>
      </c>
      <c r="DT59" s="29" t="str">
        <f t="shared" si="71"/>
        <v/>
      </c>
      <c r="DU59" s="29" t="str">
        <f t="shared" si="72"/>
        <v/>
      </c>
      <c r="DV59" s="29" t="str">
        <f t="shared" si="73"/>
        <v/>
      </c>
      <c r="DW59" s="29" t="str">
        <f t="shared" si="74"/>
        <v/>
      </c>
      <c r="DX59" s="29" t="str">
        <f t="shared" si="75"/>
        <v/>
      </c>
      <c r="DY59" s="29" t="str">
        <f t="shared" si="76"/>
        <v/>
      </c>
      <c r="DZ59" s="29" t="str">
        <f t="shared" si="77"/>
        <v/>
      </c>
      <c r="EA59" s="29" t="str">
        <f t="shared" si="78"/>
        <v/>
      </c>
    </row>
    <row r="60" spans="5:131" ht="15.95" customHeight="1" x14ac:dyDescent="0.25">
      <c r="E60" s="111"/>
      <c r="F60" s="114"/>
      <c r="G60" s="16">
        <v>5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8"/>
      <c r="S60" s="19"/>
      <c r="Z60" s="111"/>
      <c r="AA60" s="114"/>
      <c r="AB60" s="16">
        <v>5</v>
      </c>
      <c r="AC60" s="11" t="str">
        <f t="shared" si="79"/>
        <v/>
      </c>
      <c r="AD60" s="11" t="str">
        <f t="shared" si="0"/>
        <v/>
      </c>
      <c r="AE60" s="11" t="str">
        <f t="shared" si="1"/>
        <v/>
      </c>
      <c r="AF60" s="11" t="str">
        <f t="shared" si="2"/>
        <v/>
      </c>
      <c r="AG60" s="11" t="str">
        <f t="shared" si="3"/>
        <v/>
      </c>
      <c r="AH60" s="11" t="str">
        <f t="shared" si="4"/>
        <v/>
      </c>
      <c r="AI60" s="11" t="str">
        <f t="shared" si="5"/>
        <v/>
      </c>
      <c r="AJ60" s="11" t="str">
        <f t="shared" si="6"/>
        <v/>
      </c>
      <c r="AK60" s="11" t="str">
        <f t="shared" si="7"/>
        <v/>
      </c>
      <c r="AL60" s="11" t="str">
        <f t="shared" si="8"/>
        <v/>
      </c>
      <c r="AM60" s="11" t="str">
        <f t="shared" si="9"/>
        <v/>
      </c>
      <c r="AN60" s="11" t="str">
        <f t="shared" si="10"/>
        <v/>
      </c>
      <c r="AO60" s="11" t="str">
        <f t="shared" si="11"/>
        <v/>
      </c>
      <c r="AP60" s="11" t="str">
        <f t="shared" si="11"/>
        <v/>
      </c>
      <c r="AQ60" s="11" t="str">
        <f t="shared" si="86"/>
        <v/>
      </c>
      <c r="AR60" s="11" t="str">
        <f t="shared" si="87"/>
        <v/>
      </c>
      <c r="AS60" s="11" t="str">
        <f t="shared" si="88"/>
        <v/>
      </c>
      <c r="AT60" s="11" t="str">
        <f t="shared" si="15"/>
        <v/>
      </c>
      <c r="AU60" s="111"/>
      <c r="AV60" s="114"/>
      <c r="AW60" s="16">
        <v>5</v>
      </c>
      <c r="AX60" s="29" t="str">
        <f t="shared" si="80"/>
        <v/>
      </c>
      <c r="AY60" s="29" t="str">
        <f t="shared" si="16"/>
        <v/>
      </c>
      <c r="AZ60" s="29" t="str">
        <f t="shared" si="17"/>
        <v/>
      </c>
      <c r="BA60" s="29" t="str">
        <f t="shared" si="18"/>
        <v/>
      </c>
      <c r="BB60" s="29" t="str">
        <f t="shared" si="19"/>
        <v/>
      </c>
      <c r="BC60" s="29" t="str">
        <f t="shared" si="20"/>
        <v/>
      </c>
      <c r="BD60" s="29" t="str">
        <f t="shared" si="21"/>
        <v/>
      </c>
      <c r="BE60" s="29" t="str">
        <f t="shared" si="22"/>
        <v/>
      </c>
      <c r="BF60" s="29" t="str">
        <f t="shared" si="23"/>
        <v/>
      </c>
      <c r="BG60" s="29" t="str">
        <f t="shared" si="24"/>
        <v/>
      </c>
      <c r="BH60" s="29" t="str">
        <f t="shared" si="25"/>
        <v/>
      </c>
      <c r="BI60" s="29" t="str">
        <f t="shared" si="26"/>
        <v/>
      </c>
      <c r="BJ60" s="29" t="str">
        <f t="shared" si="89"/>
        <v/>
      </c>
      <c r="BK60" s="29" t="str">
        <f t="shared" si="89"/>
        <v/>
      </c>
      <c r="BL60" s="29" t="str">
        <f t="shared" si="29"/>
        <v/>
      </c>
      <c r="BM60" s="29" t="str">
        <f t="shared" si="30"/>
        <v/>
      </c>
      <c r="BN60" s="29" t="str">
        <f t="shared" si="31"/>
        <v/>
      </c>
      <c r="BO60" s="29" t="str">
        <f t="shared" si="32"/>
        <v/>
      </c>
      <c r="BP60" s="111"/>
      <c r="BQ60" s="114"/>
      <c r="BR60" s="16">
        <v>5</v>
      </c>
      <c r="BS60" s="29" t="str">
        <f t="shared" si="81"/>
        <v/>
      </c>
      <c r="BT60" s="29" t="str">
        <f t="shared" si="33"/>
        <v/>
      </c>
      <c r="BU60" s="29" t="str">
        <f t="shared" si="34"/>
        <v/>
      </c>
      <c r="BV60" s="29" t="str">
        <f t="shared" si="35"/>
        <v/>
      </c>
      <c r="BW60" s="29" t="str">
        <f t="shared" si="36"/>
        <v/>
      </c>
      <c r="BX60" s="29" t="str">
        <f t="shared" si="37"/>
        <v/>
      </c>
      <c r="BY60" s="29" t="str">
        <f t="shared" si="38"/>
        <v/>
      </c>
      <c r="BZ60" s="29" t="str">
        <f t="shared" si="39"/>
        <v/>
      </c>
      <c r="CA60" s="29" t="str">
        <f t="shared" si="40"/>
        <v/>
      </c>
      <c r="CB60" s="29" t="str">
        <f t="shared" si="41"/>
        <v/>
      </c>
      <c r="CC60" s="29" t="str">
        <f t="shared" si="42"/>
        <v/>
      </c>
      <c r="CD60" s="29" t="str">
        <f t="shared" si="43"/>
        <v/>
      </c>
      <c r="CE60" s="29" t="str">
        <f t="shared" si="44"/>
        <v/>
      </c>
      <c r="CG60" s="111"/>
      <c r="CH60" s="114"/>
      <c r="CI60" s="16">
        <v>5</v>
      </c>
      <c r="CJ60" s="29" t="str">
        <f t="shared" si="82"/>
        <v/>
      </c>
      <c r="CK60" s="29" t="str">
        <f t="shared" si="45"/>
        <v/>
      </c>
      <c r="CL60" s="29" t="str">
        <f t="shared" si="46"/>
        <v/>
      </c>
      <c r="CM60" s="29" t="str">
        <f t="shared" si="47"/>
        <v/>
      </c>
      <c r="CN60" s="29" t="str">
        <f t="shared" si="48"/>
        <v/>
      </c>
      <c r="CO60" s="29" t="str">
        <f t="shared" si="49"/>
        <v/>
      </c>
      <c r="CP60" s="29" t="str">
        <f t="shared" si="50"/>
        <v/>
      </c>
      <c r="CQ60" s="29" t="str">
        <f t="shared" si="51"/>
        <v/>
      </c>
      <c r="CR60" s="29" t="str">
        <f t="shared" si="52"/>
        <v/>
      </c>
      <c r="CS60" s="29" t="str">
        <f t="shared" si="53"/>
        <v/>
      </c>
      <c r="CT60" s="29" t="str">
        <f t="shared" si="54"/>
        <v/>
      </c>
      <c r="CU60" s="29" t="str">
        <f t="shared" si="55"/>
        <v/>
      </c>
      <c r="CV60" s="29" t="str">
        <f t="shared" si="56"/>
        <v/>
      </c>
      <c r="CW60" s="29" t="str">
        <f t="shared" si="57"/>
        <v/>
      </c>
      <c r="CX60" s="29" t="str">
        <f t="shared" si="58"/>
        <v/>
      </c>
      <c r="CY60" s="29" t="str">
        <f t="shared" si="59"/>
        <v/>
      </c>
      <c r="CZ60" s="29">
        <f t="shared" si="60"/>
        <v>0</v>
      </c>
      <c r="DA60" s="29" t="str">
        <f t="shared" si="61"/>
        <v/>
      </c>
      <c r="DG60" s="111"/>
      <c r="DH60" s="114"/>
      <c r="DI60" s="16">
        <v>5</v>
      </c>
      <c r="DJ60" s="29" t="str">
        <f t="shared" si="83"/>
        <v/>
      </c>
      <c r="DK60" s="29" t="str">
        <f t="shared" si="62"/>
        <v/>
      </c>
      <c r="DL60" s="29" t="str">
        <f t="shared" si="63"/>
        <v/>
      </c>
      <c r="DM60" s="29" t="str">
        <f t="shared" si="64"/>
        <v/>
      </c>
      <c r="DN60" s="29" t="str">
        <f t="shared" si="65"/>
        <v/>
      </c>
      <c r="DO60" s="29" t="str">
        <f t="shared" si="66"/>
        <v/>
      </c>
      <c r="DP60" s="29" t="str">
        <f t="shared" si="67"/>
        <v/>
      </c>
      <c r="DQ60" s="29" t="str">
        <f t="shared" si="68"/>
        <v/>
      </c>
      <c r="DR60" s="29" t="str">
        <f t="shared" si="69"/>
        <v/>
      </c>
      <c r="DS60" s="29" t="str">
        <f t="shared" si="70"/>
        <v/>
      </c>
      <c r="DT60" s="29" t="str">
        <f t="shared" si="71"/>
        <v/>
      </c>
      <c r="DU60" s="29" t="str">
        <f t="shared" si="72"/>
        <v/>
      </c>
      <c r="DV60" s="29" t="str">
        <f t="shared" si="73"/>
        <v/>
      </c>
      <c r="DW60" s="29" t="str">
        <f t="shared" si="74"/>
        <v/>
      </c>
      <c r="DX60" s="29" t="str">
        <f t="shared" si="75"/>
        <v/>
      </c>
      <c r="DY60" s="29" t="str">
        <f t="shared" si="76"/>
        <v/>
      </c>
      <c r="DZ60" s="29" t="str">
        <f t="shared" si="77"/>
        <v/>
      </c>
      <c r="EA60" s="29" t="str">
        <f t="shared" si="78"/>
        <v/>
      </c>
    </row>
    <row r="64" spans="5:131" x14ac:dyDescent="0.25">
      <c r="I64" s="29" t="s">
        <v>6</v>
      </c>
      <c r="K64" s="29" t="s">
        <v>8</v>
      </c>
      <c r="M64" s="29" t="s">
        <v>48</v>
      </c>
      <c r="O64" s="29" t="s">
        <v>12</v>
      </c>
      <c r="Q64" s="29" t="s">
        <v>87</v>
      </c>
      <c r="S64" s="29" t="s">
        <v>13</v>
      </c>
      <c r="Z64" s="29" t="s">
        <v>67</v>
      </c>
      <c r="AB64" s="29" t="s">
        <v>88</v>
      </c>
      <c r="AD64" s="29" t="s">
        <v>16</v>
      </c>
      <c r="AF64" s="29" t="s">
        <v>49</v>
      </c>
      <c r="AH64" s="29" t="s">
        <v>89</v>
      </c>
      <c r="AJ64" s="29" t="s">
        <v>92</v>
      </c>
      <c r="AL64" s="29" t="s">
        <v>91</v>
      </c>
    </row>
    <row r="65" spans="1:39" s="33" customFormat="1" x14ac:dyDescent="0.25">
      <c r="A65" s="33" t="s">
        <v>47</v>
      </c>
      <c r="B65" s="33" t="s">
        <v>46</v>
      </c>
      <c r="C65" s="33" t="s">
        <v>45</v>
      </c>
      <c r="D65" s="33" t="s">
        <v>44</v>
      </c>
      <c r="E65" s="33" t="s">
        <v>43</v>
      </c>
      <c r="F65" s="34" t="s">
        <v>0</v>
      </c>
      <c r="G65" s="34" t="s">
        <v>40</v>
      </c>
      <c r="H65" s="34" t="s">
        <v>1</v>
      </c>
      <c r="I65" s="34" t="s">
        <v>42</v>
      </c>
      <c r="J65" s="34" t="s">
        <v>41</v>
      </c>
      <c r="K65" s="34" t="s">
        <v>42</v>
      </c>
      <c r="L65" s="34"/>
      <c r="M65" s="34" t="s">
        <v>50</v>
      </c>
      <c r="N65" s="34"/>
      <c r="O65" s="34" t="s">
        <v>42</v>
      </c>
      <c r="P65" s="34"/>
      <c r="Q65" s="34" t="s">
        <v>42</v>
      </c>
      <c r="R65" s="34"/>
      <c r="S65" s="34" t="s">
        <v>42</v>
      </c>
      <c r="T65" s="34"/>
      <c r="U65" s="34"/>
      <c r="V65" s="34"/>
      <c r="W65" s="34"/>
      <c r="X65" s="34"/>
      <c r="Y65" s="34"/>
      <c r="Z65" s="34" t="s">
        <v>42</v>
      </c>
      <c r="AA65" s="34"/>
      <c r="AB65" s="34" t="s">
        <v>42</v>
      </c>
      <c r="AC65" s="34"/>
      <c r="AD65" s="34" t="s">
        <v>50</v>
      </c>
      <c r="AE65" s="34"/>
      <c r="AF65" s="34" t="s">
        <v>42</v>
      </c>
      <c r="AG65" s="34"/>
      <c r="AH65" s="34" t="s">
        <v>42</v>
      </c>
      <c r="AI65" s="34"/>
      <c r="AJ65" s="34" t="s">
        <v>42</v>
      </c>
      <c r="AK65" s="34"/>
    </row>
    <row r="66" spans="1:39" ht="15.95" customHeight="1" x14ac:dyDescent="0.25">
      <c r="A66" s="29" t="str">
        <f>F66&amp;G66&amp;H66&amp;C66</f>
        <v>2Sáng1</v>
      </c>
      <c r="B66" s="29" t="str">
        <f>IF(D66="",F66&amp;G66&amp;H66&amp;I66,F66&amp;G66&amp;H66&amp;D66)</f>
        <v>2Sáng1Ngọc Ánh</v>
      </c>
      <c r="C66" s="29" t="str">
        <f>IFERROR(LEFT(I66,FIND(",",I66)-1),"")</f>
        <v/>
      </c>
      <c r="D66" s="29" t="str">
        <f>IF(C66="","",RIGHT(I66,LEN(I66)-FIND(",",I66)-1))</f>
        <v/>
      </c>
      <c r="E66" s="29" t="s">
        <v>6</v>
      </c>
      <c r="F66" s="29">
        <v>2</v>
      </c>
      <c r="G66" s="29" t="s">
        <v>3</v>
      </c>
      <c r="H66" s="29">
        <v>1</v>
      </c>
      <c r="I66" s="35" t="str">
        <f t="shared" ref="I66:I97" si="90">IF(H6=0,"",RIGHT(H6,LEN(H6)-FIND("-",H6)-1))</f>
        <v>Ngọc Ánh</v>
      </c>
      <c r="J66" s="35" t="str">
        <f t="shared" ref="J66:J97" si="91">IF(H6=0,"",LEFT(H6,FIND("-",H6))&amp;$H$4)</f>
        <v>Đạo đức -1A1</v>
      </c>
      <c r="K66" s="35" t="str">
        <f t="shared" ref="K66:K97" si="92">IF(I6=0,"",RIGHT(I6,LEN(I6)-FIND("-",I6)-1))</f>
        <v>Nhi</v>
      </c>
      <c r="L66" s="35" t="str">
        <f t="shared" ref="L66:L97" si="93">IF(I6=0,"",LEFT(I6,FIND("-",I6))&amp;$I$4)</f>
        <v>Đạo đức -1C1</v>
      </c>
      <c r="M66" s="35" t="str">
        <f>IF(J6=0,"",RIGHT(J6,LEN(J6)-FIND("-",J6)-1))</f>
        <v>Linh TH</v>
      </c>
      <c r="N66" s="35" t="str">
        <f>IF(J6=0,"",LEFT(J6,FIND("-",J6))&amp;$J$4)</f>
        <v>Đạo đức -2A1</v>
      </c>
      <c r="O66" s="35" t="str">
        <f t="shared" ref="O66:O97" si="94">IF(K6=0,"",RIGHT(K6,LEN(K6)-FIND("-",K6)-1))</f>
        <v>Xuân</v>
      </c>
      <c r="P66" s="35" t="str">
        <f t="shared" ref="P66:P97" si="95">IF(K6=0,"",LEFT(K6,FIND("-",K6))&amp;$K$4)</f>
        <v>Đạo đức -2C1</v>
      </c>
      <c r="Q66" s="35" t="str">
        <f t="shared" ref="Q66:Q97" si="96">IF(L6=0,"",RIGHT(L6,LEN(L6)-FIND("-",L6)-1))</f>
        <v>Ngọc</v>
      </c>
      <c r="R66" s="35" t="str">
        <f t="shared" ref="R66:R97" si="97">IF(L6=0,"",LEFT(L6,FIND("-",L6))&amp;$L$4)</f>
        <v>HĐTN -3A1</v>
      </c>
      <c r="S66" s="35" t="str">
        <f t="shared" ref="S66:S97" si="98">IF(M6=0,"",RIGHT(M6,LEN(M6)-FIND("-",M6)-1))</f>
        <v>Ly</v>
      </c>
      <c r="T66" s="35" t="str">
        <f t="shared" ref="T66:T97" si="99">IF(M6=0,"",LEFT(M6,FIND("-",M6))&amp;$M$4)</f>
        <v>Đạo đức -3C1</v>
      </c>
      <c r="U66" s="35"/>
      <c r="V66" s="35"/>
      <c r="W66" s="35"/>
      <c r="X66" s="35"/>
      <c r="Y66" s="35"/>
      <c r="Z66" s="35" t="str">
        <f t="shared" ref="Z66:Z97" si="100">IF(N6=0,"",RIGHT(N6,LEN(N6)-FIND("-",N6)-1))</f>
        <v>Quỳnh</v>
      </c>
      <c r="AA66" s="35" t="str">
        <f t="shared" ref="AA66:AA97" si="101">IF(N6=0,"",LEFT(N6,FIND("-",N6))&amp;$N$4)</f>
        <v>GVVN -4C1</v>
      </c>
      <c r="AB66" s="35" t="str">
        <f t="shared" ref="AB66:AB97" si="102">IF(O6=0,"",RIGHT(O6,LEN(O6)-FIND("-",O6)-1))</f>
        <v>Chi</v>
      </c>
      <c r="AC66" s="35" t="str">
        <f t="shared" ref="AC66:AC97" si="103">IF(O6=0,"",LEFT(O6,FIND("-",O6))&amp;$O$4)</f>
        <v>HĐTN -5C1</v>
      </c>
      <c r="AD66" s="35" t="str">
        <f>IF(P6=0,"",RIGHT(P6,LEN(P6)-FIND("-",P6)-1))</f>
        <v>Hà</v>
      </c>
      <c r="AE66" s="35" t="str">
        <f>IF(P6=0,"",LEFT(P6,FIND("-",P6))&amp;$P$4)</f>
        <v>LS&amp;ĐL -6A1</v>
      </c>
      <c r="AF66" s="35" t="str">
        <f t="shared" ref="AF66:AF97" si="104">IF(Q6=0,"",RIGHT(Q6,LEN(Q6)-FIND("-",Q6)-1))</f>
        <v>Ánh NV</v>
      </c>
      <c r="AG66" s="35" t="str">
        <f t="shared" ref="AG66:AG97" si="105">IF(Q6=0,"",LEFT(Q6,FIND("-",Q6))&amp;$Q$4)</f>
        <v>GDĐP -7A1</v>
      </c>
      <c r="AH66" s="35" t="str">
        <f t="shared" ref="AH66:AH97" si="106">IF(R6=0,"",RIGHT(R6,LEN(R6)-FIND("-",R6)-1))</f>
        <v>Tân</v>
      </c>
      <c r="AI66" s="35" t="str">
        <f t="shared" ref="AI66:AI97" si="107">IF(R6=0,"",LEFT(R6,FIND("-",R6))&amp;$R$4)</f>
        <v>Toán -8A1</v>
      </c>
      <c r="AJ66" s="35" t="str">
        <f t="shared" ref="AJ66:AJ97" si="108">IF(S6=0,"",RIGHT(S6,LEN(S6)-FIND("-",S6)-1))</f>
        <v>Hiền</v>
      </c>
      <c r="AK66" s="35" t="str">
        <f t="shared" ref="AK66:AK97" si="109">IF(S6=0,"",LEFT(S6,FIND("-",S6))&amp;$S$4)</f>
        <v>SH tập thể -TTH1</v>
      </c>
      <c r="AL66" s="35" t="str">
        <f t="shared" ref="AL66:AL97" si="110">IF(T6=0,"",RIGHT(T6,LEN(T6)-FIND("-",T6)-1))</f>
        <v>MN1</v>
      </c>
      <c r="AM66" s="35" t="str">
        <f t="shared" ref="AM66:AM97" si="111">IF(T6=0,"",LEFT(T6,FIND("-",T6))&amp;$T$4)</f>
        <v>SH tập thể -TTH2</v>
      </c>
    </row>
    <row r="67" spans="1:39" ht="15.95" customHeight="1" x14ac:dyDescent="0.25">
      <c r="A67" s="29" t="str">
        <f t="shared" ref="A67:A130" si="112">F67&amp;G67&amp;H67&amp;C67</f>
        <v>2Sáng2</v>
      </c>
      <c r="B67" s="29" t="str">
        <f t="shared" ref="B67:B130" si="113">IF(D67="",F67&amp;G67&amp;H67&amp;I67,F67&amp;G67&amp;H67&amp;D67)</f>
        <v>2Sáng2Trang</v>
      </c>
      <c r="C67" s="29" t="str">
        <f t="shared" ref="C67:C130" si="114">IFERROR(LEFT(I67,FIND(",",I67)-1),"")</f>
        <v/>
      </c>
      <c r="D67" s="29" t="str">
        <f t="shared" ref="D67:D130" si="115">IF(C67="","",RIGHT(I67,LEN(I67)-FIND(",",I67)-1))</f>
        <v/>
      </c>
      <c r="E67" s="29" t="s">
        <v>6</v>
      </c>
      <c r="F67" s="29">
        <v>2</v>
      </c>
      <c r="G67" s="29" t="s">
        <v>3</v>
      </c>
      <c r="H67" s="29">
        <v>2</v>
      </c>
      <c r="I67" s="35" t="str">
        <f t="shared" si="90"/>
        <v>Trang</v>
      </c>
      <c r="J67" s="35" t="str">
        <f t="shared" si="91"/>
        <v>GVVN -1A1</v>
      </c>
      <c r="K67" s="35" t="str">
        <f t="shared" si="92"/>
        <v>Tay, Huyền</v>
      </c>
      <c r="L67" s="35" t="str">
        <f t="shared" si="93"/>
        <v>GVNN -1C1</v>
      </c>
      <c r="M67" s="35" t="str">
        <f t="shared" ref="M67:M125" si="116">IF(J7=0,"",RIGHT(J7,LEN(J7)-FIND("-",J7)-1))</f>
        <v>Linh TH</v>
      </c>
      <c r="N67" s="35" t="str">
        <f t="shared" ref="N67:N125" si="117">IF(J7=0,"",LEFT(J7,FIND("-",J7))&amp;$J$4)</f>
        <v>TViệt -2A1</v>
      </c>
      <c r="O67" s="35" t="str">
        <f t="shared" si="94"/>
        <v>Trà</v>
      </c>
      <c r="P67" s="35" t="str">
        <f t="shared" si="95"/>
        <v>GVVN -2C1</v>
      </c>
      <c r="Q67" s="35" t="str">
        <f t="shared" si="96"/>
        <v>Xuân</v>
      </c>
      <c r="R67" s="35" t="str">
        <f t="shared" si="97"/>
        <v>Viết sáng tạo -3A1</v>
      </c>
      <c r="S67" s="35" t="str">
        <f t="shared" si="98"/>
        <v>Chi</v>
      </c>
      <c r="T67" s="35" t="str">
        <f t="shared" si="99"/>
        <v>Toán -3C1</v>
      </c>
      <c r="U67" s="35"/>
      <c r="V67" s="35"/>
      <c r="W67" s="35"/>
      <c r="X67" s="35"/>
      <c r="Y67" s="35"/>
      <c r="Z67" s="35" t="str">
        <f t="shared" si="100"/>
        <v>Ly</v>
      </c>
      <c r="AA67" s="35" t="str">
        <f t="shared" si="101"/>
        <v>TViệt -4C1</v>
      </c>
      <c r="AB67" s="35" t="str">
        <f t="shared" si="102"/>
        <v>Bích</v>
      </c>
      <c r="AC67" s="35" t="str">
        <f t="shared" si="103"/>
        <v>Science -5C1</v>
      </c>
      <c r="AD67" s="35" t="str">
        <f t="shared" ref="AD67:AD125" si="118">IF(P7=0,"",RIGHT(P7,LEN(P7)-FIND("-",P7)-1))</f>
        <v>Chánh</v>
      </c>
      <c r="AE67" s="35" t="str">
        <f t="shared" ref="AE67:AE125" si="119">IF(P7=0,"",LEFT(P7,FIND("-",P7))&amp;$P$4)</f>
        <v>GVVN -6A1</v>
      </c>
      <c r="AF67" s="35" t="str">
        <f t="shared" si="104"/>
        <v>Trang ÂN</v>
      </c>
      <c r="AG67" s="35" t="str">
        <f t="shared" si="105"/>
        <v>Nhạc -7A1</v>
      </c>
      <c r="AH67" s="35" t="str">
        <f t="shared" si="106"/>
        <v>Quỳnh</v>
      </c>
      <c r="AI67" s="35" t="str">
        <f t="shared" si="107"/>
        <v>GVVN -8A1</v>
      </c>
      <c r="AJ67" s="35" t="str">
        <f t="shared" si="108"/>
        <v>Hiền</v>
      </c>
      <c r="AK67" s="35" t="str">
        <f t="shared" si="109"/>
        <v>Đọc sách -TTH1</v>
      </c>
      <c r="AL67" s="35" t="str">
        <f t="shared" si="110"/>
        <v>MN1</v>
      </c>
      <c r="AM67" s="35" t="str">
        <f t="shared" si="111"/>
        <v>Đọc sách -TTH2</v>
      </c>
    </row>
    <row r="68" spans="1:39" ht="15.95" customHeight="1" x14ac:dyDescent="0.25">
      <c r="A68" s="29" t="str">
        <f t="shared" si="112"/>
        <v>2Sáng3</v>
      </c>
      <c r="B68" s="29" t="str">
        <f t="shared" si="113"/>
        <v>2Sáng3Ngọc Ánh</v>
      </c>
      <c r="C68" s="29" t="str">
        <f t="shared" si="114"/>
        <v/>
      </c>
      <c r="D68" s="29" t="str">
        <f t="shared" si="115"/>
        <v/>
      </c>
      <c r="E68" s="29" t="s">
        <v>6</v>
      </c>
      <c r="F68" s="29">
        <v>2</v>
      </c>
      <c r="G68" s="29" t="s">
        <v>3</v>
      </c>
      <c r="H68" s="29">
        <v>3</v>
      </c>
      <c r="I68" s="35" t="str">
        <f t="shared" si="90"/>
        <v>Ngọc Ánh</v>
      </c>
      <c r="J68" s="35" t="str">
        <f t="shared" si="91"/>
        <v>Toán -1A1</v>
      </c>
      <c r="K68" s="35" t="str">
        <f t="shared" si="92"/>
        <v>Trang ÂN</v>
      </c>
      <c r="L68" s="35" t="str">
        <f t="shared" si="93"/>
        <v>Nhạc -1C1</v>
      </c>
      <c r="M68" s="35" t="str">
        <f t="shared" si="116"/>
        <v>Linh TH</v>
      </c>
      <c r="N68" s="35" t="str">
        <f t="shared" si="117"/>
        <v>TViệt -2A1</v>
      </c>
      <c r="O68" s="35" t="str">
        <f t="shared" si="94"/>
        <v>Xuân</v>
      </c>
      <c r="P68" s="35" t="str">
        <f t="shared" si="95"/>
        <v>TViệt -2C1</v>
      </c>
      <c r="Q68" s="35" t="str">
        <f t="shared" si="96"/>
        <v>Ngọc</v>
      </c>
      <c r="R68" s="35" t="str">
        <f t="shared" si="97"/>
        <v>TViệt -3A1</v>
      </c>
      <c r="S68" s="35" t="str">
        <f t="shared" si="98"/>
        <v>Ly</v>
      </c>
      <c r="T68" s="35" t="str">
        <f t="shared" si="99"/>
        <v>TViệt -3C1</v>
      </c>
      <c r="U68" s="35"/>
      <c r="V68" s="35"/>
      <c r="W68" s="35"/>
      <c r="X68" s="35"/>
      <c r="Y68" s="35"/>
      <c r="Z68" s="35" t="str">
        <f t="shared" si="100"/>
        <v>Phương Anh</v>
      </c>
      <c r="AA68" s="35" t="str">
        <f t="shared" si="101"/>
        <v>HĐTN -4C1</v>
      </c>
      <c r="AB68" s="35" t="str">
        <f t="shared" si="102"/>
        <v>Chi</v>
      </c>
      <c r="AC68" s="35" t="str">
        <f t="shared" si="103"/>
        <v>Toán -5C1</v>
      </c>
      <c r="AD68" s="35" t="str">
        <f t="shared" si="118"/>
        <v>Tay, Chánh</v>
      </c>
      <c r="AE68" s="35" t="str">
        <f t="shared" si="119"/>
        <v>GVNN -6A1</v>
      </c>
      <c r="AF68" s="35" t="str">
        <f t="shared" si="104"/>
        <v>Tân</v>
      </c>
      <c r="AG68" s="35" t="str">
        <f t="shared" si="105"/>
        <v>Toán -7A1</v>
      </c>
      <c r="AH68" s="35" t="str">
        <f t="shared" si="106"/>
        <v>Hà</v>
      </c>
      <c r="AI68" s="35" t="str">
        <f t="shared" si="107"/>
        <v>LS&amp;ĐL -8A1</v>
      </c>
      <c r="AJ68" s="35" t="str">
        <f t="shared" si="108"/>
        <v>Huyền</v>
      </c>
      <c r="AK68" s="35" t="str">
        <f t="shared" si="109"/>
        <v>GVVN -TTH1</v>
      </c>
      <c r="AL68" s="35" t="str">
        <f t="shared" si="110"/>
        <v>Hồng</v>
      </c>
      <c r="AM68" s="35" t="str">
        <f t="shared" si="111"/>
        <v>GDTC -TTH2</v>
      </c>
    </row>
    <row r="69" spans="1:39" ht="15.95" customHeight="1" x14ac:dyDescent="0.25">
      <c r="A69" s="29" t="str">
        <f t="shared" si="112"/>
        <v>2Sáng4</v>
      </c>
      <c r="B69" s="29" t="str">
        <f t="shared" si="113"/>
        <v>2Sáng4Nguyên</v>
      </c>
      <c r="C69" s="29" t="str">
        <f t="shared" si="114"/>
        <v/>
      </c>
      <c r="D69" s="29" t="str">
        <f t="shared" si="115"/>
        <v/>
      </c>
      <c r="E69" s="29" t="s">
        <v>6</v>
      </c>
      <c r="F69" s="29">
        <v>2</v>
      </c>
      <c r="G69" s="29" t="s">
        <v>3</v>
      </c>
      <c r="H69" s="29">
        <v>4</v>
      </c>
      <c r="I69" s="35" t="str">
        <f t="shared" si="90"/>
        <v>Nguyên</v>
      </c>
      <c r="J69" s="35" t="str">
        <f t="shared" si="91"/>
        <v>Tin -1A1</v>
      </c>
      <c r="K69" s="35" t="str">
        <f t="shared" si="92"/>
        <v>Trà</v>
      </c>
      <c r="L69" s="35" t="str">
        <f t="shared" si="93"/>
        <v>Science -1C1</v>
      </c>
      <c r="M69" s="35" t="str">
        <f t="shared" si="116"/>
        <v>Trang</v>
      </c>
      <c r="N69" s="35" t="str">
        <f t="shared" si="117"/>
        <v>GVVN -2A1</v>
      </c>
      <c r="O69" s="35" t="str">
        <f t="shared" si="94"/>
        <v>Xuân</v>
      </c>
      <c r="P69" s="35" t="str">
        <f t="shared" si="95"/>
        <v>TViệt -2C1</v>
      </c>
      <c r="Q69" s="35" t="str">
        <f t="shared" si="96"/>
        <v>Nhi</v>
      </c>
      <c r="R69" s="35" t="str">
        <f t="shared" si="97"/>
        <v>TNXH -3A1</v>
      </c>
      <c r="S69" s="35" t="str">
        <f t="shared" si="98"/>
        <v>Chi</v>
      </c>
      <c r="T69" s="35" t="str">
        <f t="shared" si="99"/>
        <v>Toán -3C1</v>
      </c>
      <c r="U69" s="35"/>
      <c r="V69" s="35"/>
      <c r="W69" s="35"/>
      <c r="X69" s="35"/>
      <c r="Y69" s="35"/>
      <c r="Z69" s="35" t="str">
        <f t="shared" si="100"/>
        <v>Tay, Quỳnh</v>
      </c>
      <c r="AA69" s="35" t="str">
        <f t="shared" si="101"/>
        <v>GVNN -4C1</v>
      </c>
      <c r="AB69" s="35" t="str">
        <f t="shared" si="102"/>
        <v>Ngọc</v>
      </c>
      <c r="AC69" s="35" t="str">
        <f t="shared" si="103"/>
        <v>TViệt -5C1</v>
      </c>
      <c r="AD69" s="35" t="str">
        <f t="shared" si="118"/>
        <v>Trang ÂN</v>
      </c>
      <c r="AE69" s="35" t="str">
        <f t="shared" si="119"/>
        <v>Nhạc -6A1</v>
      </c>
      <c r="AF69" s="35" t="str">
        <f t="shared" si="104"/>
        <v>Chánh</v>
      </c>
      <c r="AG69" s="35" t="str">
        <f t="shared" si="105"/>
        <v>GVVN -7A1</v>
      </c>
      <c r="AH69" s="35" t="str">
        <f t="shared" si="106"/>
        <v>Ánh NV</v>
      </c>
      <c r="AI69" s="35" t="str">
        <f t="shared" si="107"/>
        <v>Văn -8A1</v>
      </c>
      <c r="AJ69" s="35" t="str">
        <f t="shared" si="108"/>
        <v>Aziz, Huyền</v>
      </c>
      <c r="AK69" s="35" t="str">
        <f t="shared" si="109"/>
        <v>GVNN -TTH1</v>
      </c>
      <c r="AL69" s="35" t="str">
        <f t="shared" si="110"/>
        <v>Hồng</v>
      </c>
      <c r="AM69" s="35" t="str">
        <f t="shared" si="111"/>
        <v>GDTC -TTH2</v>
      </c>
    </row>
    <row r="70" spans="1:39" ht="15.95" customHeight="1" x14ac:dyDescent="0.25">
      <c r="A70" s="29" t="str">
        <f t="shared" si="112"/>
        <v>2Sáng5</v>
      </c>
      <c r="B70" s="29" t="str">
        <f t="shared" si="113"/>
        <v>2Sáng5</v>
      </c>
      <c r="C70" s="29" t="str">
        <f t="shared" si="114"/>
        <v/>
      </c>
      <c r="D70" s="29" t="str">
        <f t="shared" si="115"/>
        <v/>
      </c>
      <c r="E70" s="29" t="s">
        <v>6</v>
      </c>
      <c r="F70" s="29">
        <v>2</v>
      </c>
      <c r="G70" s="29" t="s">
        <v>3</v>
      </c>
      <c r="H70" s="29">
        <v>5</v>
      </c>
      <c r="I70" s="35" t="str">
        <f t="shared" si="90"/>
        <v/>
      </c>
      <c r="J70" s="35" t="str">
        <f t="shared" si="91"/>
        <v/>
      </c>
      <c r="K70" s="35" t="str">
        <f t="shared" si="92"/>
        <v/>
      </c>
      <c r="L70" s="35" t="str">
        <f t="shared" si="93"/>
        <v/>
      </c>
      <c r="M70" s="35" t="str">
        <f t="shared" si="116"/>
        <v/>
      </c>
      <c r="N70" s="35" t="str">
        <f t="shared" si="117"/>
        <v/>
      </c>
      <c r="O70" s="35" t="str">
        <f t="shared" si="94"/>
        <v/>
      </c>
      <c r="P70" s="35" t="str">
        <f t="shared" si="95"/>
        <v/>
      </c>
      <c r="Q70" s="35" t="str">
        <f t="shared" si="96"/>
        <v/>
      </c>
      <c r="R70" s="35" t="str">
        <f t="shared" si="97"/>
        <v/>
      </c>
      <c r="S70" s="35" t="str">
        <f t="shared" si="98"/>
        <v/>
      </c>
      <c r="T70" s="35" t="str">
        <f t="shared" si="99"/>
        <v/>
      </c>
      <c r="U70" s="35"/>
      <c r="V70" s="35"/>
      <c r="W70" s="35"/>
      <c r="X70" s="35"/>
      <c r="Y70" s="35"/>
      <c r="Z70" s="35" t="str">
        <f t="shared" si="100"/>
        <v/>
      </c>
      <c r="AA70" s="35" t="str">
        <f t="shared" si="101"/>
        <v/>
      </c>
      <c r="AB70" s="35" t="str">
        <f t="shared" si="102"/>
        <v/>
      </c>
      <c r="AC70" s="35" t="str">
        <f t="shared" si="103"/>
        <v/>
      </c>
      <c r="AD70" s="35" t="str">
        <f t="shared" si="118"/>
        <v>Tân</v>
      </c>
      <c r="AE70" s="35" t="str">
        <f t="shared" si="119"/>
        <v>Toán -6A1</v>
      </c>
      <c r="AF70" s="35" t="str">
        <f t="shared" si="104"/>
        <v>Chánh</v>
      </c>
      <c r="AG70" s="35" t="str">
        <f t="shared" si="105"/>
        <v>GVVN -7A1</v>
      </c>
      <c r="AH70" s="35" t="str">
        <f t="shared" si="106"/>
        <v>Ánh NV</v>
      </c>
      <c r="AI70" s="35" t="str">
        <f t="shared" si="107"/>
        <v>Văn -8A1</v>
      </c>
      <c r="AJ70" s="35" t="str">
        <f t="shared" si="108"/>
        <v/>
      </c>
      <c r="AK70" s="35" t="str">
        <f t="shared" si="109"/>
        <v/>
      </c>
      <c r="AL70" s="35" t="str">
        <f t="shared" si="110"/>
        <v/>
      </c>
      <c r="AM70" s="35" t="str">
        <f t="shared" si="111"/>
        <v/>
      </c>
    </row>
    <row r="71" spans="1:39" x14ac:dyDescent="0.25">
      <c r="A71" s="29" t="str">
        <f t="shared" si="112"/>
        <v>2Chiều1</v>
      </c>
      <c r="B71" s="29" t="str">
        <f t="shared" si="113"/>
        <v>2Chiều1Trang</v>
      </c>
      <c r="C71" s="29" t="str">
        <f t="shared" si="114"/>
        <v/>
      </c>
      <c r="D71" s="29" t="str">
        <f t="shared" si="115"/>
        <v/>
      </c>
      <c r="E71" s="29" t="s">
        <v>6</v>
      </c>
      <c r="F71" s="29">
        <v>2</v>
      </c>
      <c r="G71" s="29" t="s">
        <v>4</v>
      </c>
      <c r="H71" s="29">
        <v>1</v>
      </c>
      <c r="I71" s="35" t="str">
        <f t="shared" si="90"/>
        <v>Trang</v>
      </c>
      <c r="J71" s="35" t="str">
        <f t="shared" si="91"/>
        <v>GVVN -1A1</v>
      </c>
      <c r="K71" s="35" t="str">
        <f t="shared" si="92"/>
        <v>Nhi</v>
      </c>
      <c r="L71" s="35" t="str">
        <f t="shared" si="93"/>
        <v>TViệt -1C1</v>
      </c>
      <c r="M71" s="35" t="str">
        <f t="shared" si="116"/>
        <v>Thanh</v>
      </c>
      <c r="N71" s="35" t="str">
        <f t="shared" si="117"/>
        <v>Tiếng Trung -2A1</v>
      </c>
      <c r="O71" s="35" t="str">
        <f t="shared" si="94"/>
        <v>Tay, Trà</v>
      </c>
      <c r="P71" s="35" t="str">
        <f t="shared" si="95"/>
        <v>GVNN -2C1</v>
      </c>
      <c r="Q71" s="35" t="str">
        <f t="shared" si="96"/>
        <v>Hồng</v>
      </c>
      <c r="R71" s="35" t="str">
        <f t="shared" si="97"/>
        <v>GDTC -3A1</v>
      </c>
      <c r="S71" s="35" t="str">
        <f t="shared" si="98"/>
        <v>Ly</v>
      </c>
      <c r="T71" s="35" t="str">
        <f t="shared" si="99"/>
        <v>TViệt -3C1</v>
      </c>
      <c r="U71" s="35"/>
      <c r="V71" s="35"/>
      <c r="W71" s="35"/>
      <c r="X71" s="35"/>
      <c r="Y71" s="35"/>
      <c r="Z71" s="35" t="str">
        <f t="shared" si="100"/>
        <v>Phương Anh</v>
      </c>
      <c r="AA71" s="35" t="str">
        <f t="shared" si="101"/>
        <v>Toán -4C1</v>
      </c>
      <c r="AB71" s="35" t="str">
        <f t="shared" si="102"/>
        <v>Bích</v>
      </c>
      <c r="AC71" s="35" t="str">
        <f t="shared" si="103"/>
        <v>GVVN -5C1</v>
      </c>
      <c r="AD71" s="35" t="str">
        <f t="shared" si="118"/>
        <v>Ánh NV</v>
      </c>
      <c r="AE71" s="35" t="str">
        <f t="shared" si="119"/>
        <v>GDĐP -6A1</v>
      </c>
      <c r="AF71" s="35" t="str">
        <f t="shared" si="104"/>
        <v>Nguyên</v>
      </c>
      <c r="AG71" s="35" t="str">
        <f t="shared" si="105"/>
        <v>Tin -7A1</v>
      </c>
      <c r="AH71" s="35" t="str">
        <f t="shared" si="106"/>
        <v>Tân</v>
      </c>
      <c r="AI71" s="35" t="str">
        <f t="shared" si="107"/>
        <v>Toán -8A1</v>
      </c>
      <c r="AJ71" s="35" t="str">
        <f t="shared" si="108"/>
        <v>Hiền</v>
      </c>
      <c r="AK71" s="35" t="str">
        <f t="shared" si="109"/>
        <v>HĐ tự chọn -TTH1</v>
      </c>
      <c r="AL71" s="35" t="str">
        <f t="shared" si="110"/>
        <v>MN1</v>
      </c>
      <c r="AM71" s="35" t="str">
        <f t="shared" si="111"/>
        <v>HĐ tự chọn -TTH2</v>
      </c>
    </row>
    <row r="72" spans="1:39" x14ac:dyDescent="0.25">
      <c r="A72" s="29" t="str">
        <f t="shared" si="112"/>
        <v>2Chiều2</v>
      </c>
      <c r="B72" s="29" t="str">
        <f t="shared" si="113"/>
        <v>2Chiều2Ngọc Ánh</v>
      </c>
      <c r="C72" s="29" t="str">
        <f t="shared" si="114"/>
        <v/>
      </c>
      <c r="D72" s="29" t="str">
        <f t="shared" si="115"/>
        <v/>
      </c>
      <c r="E72" s="29" t="s">
        <v>6</v>
      </c>
      <c r="F72" s="29">
        <v>2</v>
      </c>
      <c r="G72" s="29" t="s">
        <v>4</v>
      </c>
      <c r="H72" s="29">
        <v>2</v>
      </c>
      <c r="I72" s="35" t="str">
        <f t="shared" si="90"/>
        <v>Ngọc Ánh</v>
      </c>
      <c r="J72" s="35" t="str">
        <f t="shared" si="91"/>
        <v>TViệt -1A1</v>
      </c>
      <c r="K72" s="35" t="str">
        <f t="shared" si="92"/>
        <v>Huyền</v>
      </c>
      <c r="L72" s="35" t="str">
        <f t="shared" si="93"/>
        <v>GVVN -1C1</v>
      </c>
      <c r="M72" s="35" t="str">
        <f t="shared" si="116"/>
        <v>Linh TH</v>
      </c>
      <c r="N72" s="35" t="str">
        <f t="shared" si="117"/>
        <v>Toán -2A1</v>
      </c>
      <c r="O72" s="35" t="str">
        <f t="shared" si="94"/>
        <v>Trà</v>
      </c>
      <c r="P72" s="35" t="str">
        <f t="shared" si="95"/>
        <v>Science -2C1</v>
      </c>
      <c r="Q72" s="35" t="str">
        <f t="shared" si="96"/>
        <v>Hồng</v>
      </c>
      <c r="R72" s="35" t="str">
        <f t="shared" si="97"/>
        <v>GDTC -3A1</v>
      </c>
      <c r="S72" s="35" t="str">
        <f t="shared" si="98"/>
        <v>Thanh</v>
      </c>
      <c r="T72" s="35" t="str">
        <f t="shared" si="99"/>
        <v>Tiếng Trung -3C1</v>
      </c>
      <c r="U72" s="35"/>
      <c r="V72" s="35"/>
      <c r="W72" s="35"/>
      <c r="X72" s="35"/>
      <c r="Y72" s="35"/>
      <c r="Z72" s="35" t="str">
        <f t="shared" si="100"/>
        <v>Ly</v>
      </c>
      <c r="AA72" s="35" t="str">
        <f t="shared" si="101"/>
        <v>TViệt -4C1</v>
      </c>
      <c r="AB72" s="35" t="str">
        <f t="shared" si="102"/>
        <v>Tay, Bích</v>
      </c>
      <c r="AC72" s="35" t="str">
        <f t="shared" si="103"/>
        <v>GVNN -5C1</v>
      </c>
      <c r="AD72" s="35" t="str">
        <f t="shared" si="118"/>
        <v>Hà</v>
      </c>
      <c r="AE72" s="35" t="str">
        <f t="shared" si="119"/>
        <v>Văn -6A1</v>
      </c>
      <c r="AF72" s="35" t="str">
        <f t="shared" si="104"/>
        <v>Ánh NV</v>
      </c>
      <c r="AG72" s="35" t="str">
        <f t="shared" si="105"/>
        <v>Văn -7A1</v>
      </c>
      <c r="AH72" s="35" t="str">
        <f t="shared" si="106"/>
        <v>Châu</v>
      </c>
      <c r="AI72" s="35" t="str">
        <f t="shared" si="107"/>
        <v>Tiếng Trung -8A1</v>
      </c>
      <c r="AJ72" s="35" t="str">
        <f t="shared" si="108"/>
        <v>Hiền</v>
      </c>
      <c r="AK72" s="35" t="str">
        <f t="shared" si="109"/>
        <v>TViệt -TTH1</v>
      </c>
      <c r="AL72" s="35" t="str">
        <f t="shared" si="110"/>
        <v>Trang</v>
      </c>
      <c r="AM72" s="35" t="str">
        <f t="shared" si="111"/>
        <v>GVVN -TTH2</v>
      </c>
    </row>
    <row r="73" spans="1:39" x14ac:dyDescent="0.25">
      <c r="A73" s="29" t="str">
        <f t="shared" si="112"/>
        <v>2Chiều3</v>
      </c>
      <c r="B73" s="29" t="str">
        <f t="shared" si="113"/>
        <v>2Chiều3Ngọc Ánh</v>
      </c>
      <c r="C73" s="29" t="str">
        <f t="shared" si="114"/>
        <v/>
      </c>
      <c r="D73" s="29" t="str">
        <f t="shared" si="115"/>
        <v/>
      </c>
      <c r="E73" s="29" t="s">
        <v>6</v>
      </c>
      <c r="F73" s="29">
        <v>2</v>
      </c>
      <c r="G73" s="29" t="s">
        <v>4</v>
      </c>
      <c r="H73" s="29">
        <v>3</v>
      </c>
      <c r="I73" s="35" t="str">
        <f t="shared" si="90"/>
        <v>Ngọc Ánh</v>
      </c>
      <c r="J73" s="35" t="str">
        <f t="shared" si="91"/>
        <v>TViệt -1A1</v>
      </c>
      <c r="K73" s="35" t="str">
        <f t="shared" si="92"/>
        <v>Phương Anh</v>
      </c>
      <c r="L73" s="35" t="str">
        <f t="shared" si="93"/>
        <v>Toán -1C1</v>
      </c>
      <c r="M73" s="35" t="str">
        <f t="shared" si="116"/>
        <v>Trang</v>
      </c>
      <c r="N73" s="35" t="str">
        <f t="shared" si="117"/>
        <v>GVVN -2A1</v>
      </c>
      <c r="O73" s="35" t="str">
        <f t="shared" si="94"/>
        <v>Xuân</v>
      </c>
      <c r="P73" s="35" t="str">
        <f t="shared" si="95"/>
        <v>Viết sáng tạo -2C1</v>
      </c>
      <c r="Q73" s="35" t="str">
        <f t="shared" si="96"/>
        <v>Trà</v>
      </c>
      <c r="R73" s="35" t="str">
        <f t="shared" si="97"/>
        <v>GVVN -3A1</v>
      </c>
      <c r="S73" s="35" t="str">
        <f t="shared" si="98"/>
        <v>Bích</v>
      </c>
      <c r="T73" s="35" t="str">
        <f t="shared" si="99"/>
        <v>Science -3C1</v>
      </c>
      <c r="U73" s="35"/>
      <c r="V73" s="35"/>
      <c r="W73" s="35"/>
      <c r="X73" s="35"/>
      <c r="Y73" s="35"/>
      <c r="Z73" s="35" t="str">
        <f t="shared" si="100"/>
        <v>Thanh</v>
      </c>
      <c r="AA73" s="35" t="str">
        <f t="shared" si="101"/>
        <v>Tiếng Trung -4C1</v>
      </c>
      <c r="AB73" s="35" t="str">
        <f t="shared" si="102"/>
        <v>Chi</v>
      </c>
      <c r="AC73" s="35" t="str">
        <f t="shared" si="103"/>
        <v>Toán -5C1</v>
      </c>
      <c r="AD73" s="35" t="str">
        <f t="shared" si="118"/>
        <v>Hà</v>
      </c>
      <c r="AE73" s="35" t="str">
        <f t="shared" si="119"/>
        <v>Văn -6A1</v>
      </c>
      <c r="AF73" s="35" t="str">
        <f t="shared" si="104"/>
        <v>Châu</v>
      </c>
      <c r="AG73" s="35" t="str">
        <f t="shared" si="105"/>
        <v>Tiếng Trung -7A1</v>
      </c>
      <c r="AH73" s="35" t="str">
        <f t="shared" si="106"/>
        <v>Tay, Quỳnh</v>
      </c>
      <c r="AI73" s="35" t="str">
        <f t="shared" si="107"/>
        <v>GVNN -8A1</v>
      </c>
      <c r="AJ73" s="35" t="str">
        <f t="shared" si="108"/>
        <v>Hồng</v>
      </c>
      <c r="AK73" s="35" t="str">
        <f t="shared" si="109"/>
        <v>GDTC -TTH1</v>
      </c>
      <c r="AL73" s="35" t="str">
        <f t="shared" si="110"/>
        <v>MN1</v>
      </c>
      <c r="AM73" s="35" t="str">
        <f t="shared" si="111"/>
        <v>TViệt -TTH2</v>
      </c>
    </row>
    <row r="74" spans="1:39" x14ac:dyDescent="0.25">
      <c r="A74" s="29" t="str">
        <f t="shared" si="112"/>
        <v>2Chiều4</v>
      </c>
      <c r="B74" s="29" t="str">
        <f t="shared" si="113"/>
        <v>2Chiều4Ngọc Ánh</v>
      </c>
      <c r="C74" s="29" t="str">
        <f t="shared" si="114"/>
        <v/>
      </c>
      <c r="D74" s="29" t="str">
        <f t="shared" si="115"/>
        <v/>
      </c>
      <c r="E74" s="29" t="s">
        <v>6</v>
      </c>
      <c r="F74" s="29">
        <v>2</v>
      </c>
      <c r="G74" s="29" t="s">
        <v>4</v>
      </c>
      <c r="H74" s="29">
        <v>4</v>
      </c>
      <c r="I74" s="35" t="str">
        <f t="shared" si="90"/>
        <v>Ngọc Ánh</v>
      </c>
      <c r="J74" s="35" t="str">
        <f t="shared" si="91"/>
        <v>KCST -1A1</v>
      </c>
      <c r="K74" s="35" t="str">
        <f t="shared" si="92"/>
        <v>Nhi</v>
      </c>
      <c r="L74" s="35" t="str">
        <f t="shared" si="93"/>
        <v>TViệt -1C1</v>
      </c>
      <c r="M74" s="35" t="str">
        <f t="shared" si="116"/>
        <v>Linh TH</v>
      </c>
      <c r="N74" s="35" t="str">
        <f t="shared" si="117"/>
        <v>TNXH -2A1</v>
      </c>
      <c r="O74" s="35" t="str">
        <f t="shared" si="94"/>
        <v>Thanh</v>
      </c>
      <c r="P74" s="35" t="str">
        <f t="shared" si="95"/>
        <v>Tiếng Trung -2C1</v>
      </c>
      <c r="Q74" s="35" t="str">
        <f t="shared" si="96"/>
        <v>Trà</v>
      </c>
      <c r="R74" s="35" t="str">
        <f t="shared" si="97"/>
        <v>GVVN -3A1</v>
      </c>
      <c r="S74" s="35" t="str">
        <f t="shared" si="98"/>
        <v>Tay, Bích</v>
      </c>
      <c r="T74" s="35" t="str">
        <f t="shared" si="99"/>
        <v>GVNN -3C1</v>
      </c>
      <c r="U74" s="35"/>
      <c r="V74" s="35"/>
      <c r="W74" s="35"/>
      <c r="X74" s="35"/>
      <c r="Y74" s="35"/>
      <c r="Z74" s="35" t="str">
        <f t="shared" si="100"/>
        <v>Ly</v>
      </c>
      <c r="AA74" s="35" t="str">
        <f t="shared" si="101"/>
        <v>Đạo đức -4C1</v>
      </c>
      <c r="AB74" s="35" t="str">
        <f t="shared" si="102"/>
        <v>Ngọc</v>
      </c>
      <c r="AC74" s="35" t="str">
        <f t="shared" si="103"/>
        <v>TViệt -5C1</v>
      </c>
      <c r="AD74" s="35" t="str">
        <f t="shared" si="118"/>
        <v>Châu</v>
      </c>
      <c r="AE74" s="35" t="str">
        <f t="shared" si="119"/>
        <v>Tiếng Trung -6A1</v>
      </c>
      <c r="AF74" s="35" t="str">
        <f t="shared" si="104"/>
        <v>Hà</v>
      </c>
      <c r="AG74" s="35" t="str">
        <f t="shared" si="105"/>
        <v>LS&amp;ĐL -7A1</v>
      </c>
      <c r="AH74" s="35" t="str">
        <f t="shared" si="106"/>
        <v>Phương Anh</v>
      </c>
      <c r="AI74" s="35" t="str">
        <f t="shared" si="107"/>
        <v>HĐTN -8A1</v>
      </c>
      <c r="AJ74" s="35" t="str">
        <f t="shared" si="108"/>
        <v>Hồng</v>
      </c>
      <c r="AK74" s="35" t="str">
        <f t="shared" si="109"/>
        <v>GDTC -TTH1</v>
      </c>
      <c r="AL74" s="35" t="str">
        <f t="shared" si="110"/>
        <v>Aziz, Huyền</v>
      </c>
      <c r="AM74" s="35" t="str">
        <f t="shared" si="111"/>
        <v>GVNN -TTH2</v>
      </c>
    </row>
    <row r="75" spans="1:39" x14ac:dyDescent="0.25">
      <c r="A75" s="29" t="str">
        <f t="shared" si="112"/>
        <v>2Chiều5</v>
      </c>
      <c r="B75" s="29" t="str">
        <f t="shared" si="113"/>
        <v>2Chiều5</v>
      </c>
      <c r="C75" s="29" t="str">
        <f t="shared" si="114"/>
        <v/>
      </c>
      <c r="D75" s="29" t="str">
        <f t="shared" si="115"/>
        <v/>
      </c>
      <c r="E75" s="29" t="s">
        <v>6</v>
      </c>
      <c r="F75" s="29">
        <v>2</v>
      </c>
      <c r="G75" s="29" t="s">
        <v>4</v>
      </c>
      <c r="H75" s="29">
        <v>5</v>
      </c>
      <c r="I75" s="35" t="str">
        <f t="shared" si="90"/>
        <v/>
      </c>
      <c r="J75" s="35" t="str">
        <f t="shared" si="91"/>
        <v/>
      </c>
      <c r="K75" s="35" t="str">
        <f t="shared" si="92"/>
        <v/>
      </c>
      <c r="L75" s="35" t="str">
        <f t="shared" si="93"/>
        <v/>
      </c>
      <c r="M75" s="35" t="str">
        <f t="shared" si="116"/>
        <v/>
      </c>
      <c r="N75" s="35" t="str">
        <f t="shared" si="117"/>
        <v/>
      </c>
      <c r="O75" s="35" t="str">
        <f t="shared" si="94"/>
        <v/>
      </c>
      <c r="P75" s="35" t="str">
        <f t="shared" si="95"/>
        <v/>
      </c>
      <c r="Q75" s="35" t="str">
        <f t="shared" si="96"/>
        <v/>
      </c>
      <c r="R75" s="35" t="str">
        <f t="shared" si="97"/>
        <v/>
      </c>
      <c r="S75" s="35" t="str">
        <f t="shared" si="98"/>
        <v/>
      </c>
      <c r="T75" s="35" t="str">
        <f t="shared" si="99"/>
        <v/>
      </c>
      <c r="U75" s="35"/>
      <c r="V75" s="35"/>
      <c r="W75" s="35"/>
      <c r="X75" s="35"/>
      <c r="Y75" s="35"/>
      <c r="Z75" s="35" t="str">
        <f t="shared" si="100"/>
        <v/>
      </c>
      <c r="AA75" s="35" t="str">
        <f t="shared" si="101"/>
        <v/>
      </c>
      <c r="AB75" s="35" t="str">
        <f t="shared" si="102"/>
        <v/>
      </c>
      <c r="AC75" s="35" t="str">
        <f t="shared" si="103"/>
        <v/>
      </c>
      <c r="AD75" s="35" t="str">
        <f t="shared" si="118"/>
        <v/>
      </c>
      <c r="AE75" s="35" t="str">
        <f t="shared" si="119"/>
        <v/>
      </c>
      <c r="AF75" s="35" t="str">
        <f t="shared" si="104"/>
        <v/>
      </c>
      <c r="AG75" s="35" t="str">
        <f t="shared" si="105"/>
        <v/>
      </c>
      <c r="AH75" s="35" t="str">
        <f t="shared" si="106"/>
        <v/>
      </c>
      <c r="AI75" s="35" t="str">
        <f t="shared" si="107"/>
        <v/>
      </c>
      <c r="AJ75" s="35" t="str">
        <f t="shared" si="108"/>
        <v/>
      </c>
      <c r="AK75" s="35" t="str">
        <f t="shared" si="109"/>
        <v/>
      </c>
      <c r="AL75" s="35" t="str">
        <f t="shared" si="110"/>
        <v/>
      </c>
      <c r="AM75" s="35" t="str">
        <f t="shared" si="111"/>
        <v/>
      </c>
    </row>
    <row r="76" spans="1:39" ht="15.95" customHeight="1" x14ac:dyDescent="0.25">
      <c r="A76" s="29" t="str">
        <f t="shared" si="112"/>
        <v>3Sáng1</v>
      </c>
      <c r="B76" s="29" t="str">
        <f t="shared" si="113"/>
        <v>3Sáng1Ngọc Ánh</v>
      </c>
      <c r="C76" s="29" t="str">
        <f t="shared" si="114"/>
        <v/>
      </c>
      <c r="D76" s="29" t="str">
        <f t="shared" si="115"/>
        <v/>
      </c>
      <c r="E76" s="29" t="s">
        <v>6</v>
      </c>
      <c r="F76" s="29">
        <v>3</v>
      </c>
      <c r="G76" s="29" t="s">
        <v>3</v>
      </c>
      <c r="H76" s="29">
        <v>1</v>
      </c>
      <c r="I76" s="35" t="str">
        <f t="shared" si="90"/>
        <v>Ngọc Ánh</v>
      </c>
      <c r="J76" s="35" t="str">
        <f t="shared" si="91"/>
        <v>TViệt -1A1</v>
      </c>
      <c r="K76" s="35" t="str">
        <f t="shared" si="92"/>
        <v>Phương Anh</v>
      </c>
      <c r="L76" s="35" t="str">
        <f t="shared" si="93"/>
        <v>Toán -1C1</v>
      </c>
      <c r="M76" s="35" t="str">
        <f t="shared" si="116"/>
        <v>LinhTH</v>
      </c>
      <c r="N76" s="35" t="str">
        <f t="shared" si="117"/>
        <v>TViệt -2A1</v>
      </c>
      <c r="O76" s="35" t="str">
        <f t="shared" si="94"/>
        <v>Chi</v>
      </c>
      <c r="P76" s="35" t="str">
        <f t="shared" si="95"/>
        <v>Toán -2C1</v>
      </c>
      <c r="Q76" s="35" t="str">
        <f t="shared" si="96"/>
        <v>Nhi</v>
      </c>
      <c r="R76" s="35" t="str">
        <f t="shared" si="97"/>
        <v>TDNN -3A1</v>
      </c>
      <c r="S76" s="35" t="str">
        <f t="shared" si="98"/>
        <v>Hồng</v>
      </c>
      <c r="T76" s="35" t="str">
        <f t="shared" si="99"/>
        <v>GDTC -3C1</v>
      </c>
      <c r="U76" s="35"/>
      <c r="V76" s="35"/>
      <c r="W76" s="35"/>
      <c r="X76" s="35"/>
      <c r="Y76" s="35"/>
      <c r="Z76" s="35" t="str">
        <f t="shared" si="100"/>
        <v>Trang ÂN</v>
      </c>
      <c r="AA76" s="35" t="str">
        <f t="shared" si="101"/>
        <v>Nhạc -4C1</v>
      </c>
      <c r="AB76" s="35" t="str">
        <f t="shared" si="102"/>
        <v>Tay, Bích</v>
      </c>
      <c r="AC76" s="35" t="str">
        <f t="shared" si="103"/>
        <v>GVNN -5C1</v>
      </c>
      <c r="AD76" s="35" t="str">
        <f t="shared" si="118"/>
        <v>Nhung</v>
      </c>
      <c r="AE76" s="35" t="str">
        <f t="shared" si="119"/>
        <v>KHTN -6A1</v>
      </c>
      <c r="AF76" s="35" t="str">
        <f t="shared" si="104"/>
        <v>Tay, Chánh</v>
      </c>
      <c r="AG76" s="35" t="str">
        <f t="shared" si="105"/>
        <v>GVNN -7A1</v>
      </c>
      <c r="AH76" s="35" t="str">
        <f t="shared" si="106"/>
        <v>Tân</v>
      </c>
      <c r="AI76" s="35" t="str">
        <f t="shared" si="107"/>
        <v>Toán -8A1</v>
      </c>
      <c r="AJ76" s="35" t="str">
        <f t="shared" si="108"/>
        <v>Hiền</v>
      </c>
      <c r="AK76" s="35" t="str">
        <f t="shared" si="109"/>
        <v>Toán -TTH1</v>
      </c>
      <c r="AL76" s="35" t="str">
        <f t="shared" si="110"/>
        <v>MN1</v>
      </c>
      <c r="AM76" s="35" t="str">
        <f t="shared" si="111"/>
        <v>Toán -TTH2</v>
      </c>
    </row>
    <row r="77" spans="1:39" ht="15.95" customHeight="1" x14ac:dyDescent="0.25">
      <c r="A77" s="29" t="str">
        <f t="shared" si="112"/>
        <v>3Sáng2</v>
      </c>
      <c r="B77" s="29" t="str">
        <f t="shared" si="113"/>
        <v>3Sáng2Ngọc Ánh</v>
      </c>
      <c r="C77" s="29" t="str">
        <f t="shared" si="114"/>
        <v/>
      </c>
      <c r="D77" s="29" t="str">
        <f t="shared" si="115"/>
        <v/>
      </c>
      <c r="E77" s="29" t="s">
        <v>6</v>
      </c>
      <c r="F77" s="29">
        <v>3</v>
      </c>
      <c r="G77" s="29" t="s">
        <v>3</v>
      </c>
      <c r="H77" s="29">
        <v>2</v>
      </c>
      <c r="I77" s="35" t="str">
        <f t="shared" si="90"/>
        <v>Ngọc Ánh</v>
      </c>
      <c r="J77" s="35" t="str">
        <f t="shared" si="91"/>
        <v>TViệt -1A1</v>
      </c>
      <c r="K77" s="35" t="str">
        <f t="shared" si="92"/>
        <v>Tay, Huyền</v>
      </c>
      <c r="L77" s="35" t="str">
        <f t="shared" si="93"/>
        <v>GVNN -1C1</v>
      </c>
      <c r="M77" s="35" t="str">
        <f t="shared" si="116"/>
        <v>Linh TH</v>
      </c>
      <c r="N77" s="35" t="str">
        <f t="shared" si="117"/>
        <v>TViệt -2A1</v>
      </c>
      <c r="O77" s="35" t="str">
        <f t="shared" si="94"/>
        <v>Xuân</v>
      </c>
      <c r="P77" s="35" t="str">
        <f t="shared" si="95"/>
        <v>TViệt -2C1</v>
      </c>
      <c r="Q77" s="35" t="str">
        <f t="shared" si="96"/>
        <v>Trang ÂN</v>
      </c>
      <c r="R77" s="35" t="str">
        <f t="shared" si="97"/>
        <v>Nhạc -3A1</v>
      </c>
      <c r="S77" s="35" t="str">
        <f t="shared" si="98"/>
        <v>Hồng</v>
      </c>
      <c r="T77" s="35" t="str">
        <f t="shared" si="99"/>
        <v>GDTC -3C1</v>
      </c>
      <c r="U77" s="35"/>
      <c r="V77" s="35"/>
      <c r="W77" s="35"/>
      <c r="X77" s="35"/>
      <c r="Y77" s="35"/>
      <c r="Z77" s="35" t="str">
        <f t="shared" si="100"/>
        <v>Tay, Quỳnh</v>
      </c>
      <c r="AA77" s="35" t="str">
        <f t="shared" si="101"/>
        <v>GVNN -4C1</v>
      </c>
      <c r="AB77" s="35" t="str">
        <f t="shared" si="102"/>
        <v>Ly</v>
      </c>
      <c r="AC77" s="35" t="str">
        <f t="shared" si="103"/>
        <v>LS&amp;ĐL -5C1</v>
      </c>
      <c r="AD77" s="35" t="str">
        <f t="shared" si="118"/>
        <v>Nhung</v>
      </c>
      <c r="AE77" s="35" t="str">
        <f t="shared" si="119"/>
        <v>KHTN -6A1</v>
      </c>
      <c r="AF77" s="35" t="str">
        <f t="shared" si="104"/>
        <v>Tân</v>
      </c>
      <c r="AG77" s="35" t="str">
        <f t="shared" si="105"/>
        <v>Toán -7A1</v>
      </c>
      <c r="AH77" s="35" t="str">
        <f t="shared" si="106"/>
        <v>Hà</v>
      </c>
      <c r="AI77" s="35" t="str">
        <f t="shared" si="107"/>
        <v>GDCD -8A1</v>
      </c>
      <c r="AJ77" s="35" t="str">
        <f t="shared" si="108"/>
        <v>Hiền</v>
      </c>
      <c r="AK77" s="35" t="str">
        <f t="shared" si="109"/>
        <v>Toán -TTH1</v>
      </c>
      <c r="AL77" s="35" t="str">
        <f t="shared" si="110"/>
        <v>MN1</v>
      </c>
      <c r="AM77" s="35" t="str">
        <f t="shared" si="111"/>
        <v>Toán -TTH2</v>
      </c>
    </row>
    <row r="78" spans="1:39" ht="15.95" customHeight="1" x14ac:dyDescent="0.25">
      <c r="A78" s="29" t="str">
        <f t="shared" si="112"/>
        <v>3Sáng3</v>
      </c>
      <c r="B78" s="29" t="str">
        <f t="shared" si="113"/>
        <v>3Sáng3Trang ÂN</v>
      </c>
      <c r="C78" s="29" t="str">
        <f t="shared" si="114"/>
        <v/>
      </c>
      <c r="D78" s="29" t="str">
        <f t="shared" si="115"/>
        <v/>
      </c>
      <c r="E78" s="29" t="s">
        <v>6</v>
      </c>
      <c r="F78" s="29">
        <v>3</v>
      </c>
      <c r="G78" s="29" t="s">
        <v>3</v>
      </c>
      <c r="H78" s="29">
        <v>3</v>
      </c>
      <c r="I78" s="35" t="str">
        <f t="shared" si="90"/>
        <v>Trang ÂN</v>
      </c>
      <c r="J78" s="35" t="str">
        <f t="shared" si="91"/>
        <v>Nhạc -1A1</v>
      </c>
      <c r="K78" s="35" t="str">
        <f t="shared" si="92"/>
        <v>Nhi</v>
      </c>
      <c r="L78" s="35" t="str">
        <f t="shared" si="93"/>
        <v>TViệt -1C1</v>
      </c>
      <c r="M78" s="35" t="str">
        <f t="shared" si="116"/>
        <v>Trang</v>
      </c>
      <c r="N78" s="35" t="str">
        <f t="shared" si="117"/>
        <v>GVVN -2A1</v>
      </c>
      <c r="O78" s="35" t="str">
        <f t="shared" si="94"/>
        <v>Trà</v>
      </c>
      <c r="P78" s="35" t="str">
        <f t="shared" si="95"/>
        <v>Science -2C1</v>
      </c>
      <c r="Q78" s="35" t="str">
        <f t="shared" si="96"/>
        <v>Ngọc</v>
      </c>
      <c r="R78" s="35" t="str">
        <f t="shared" si="97"/>
        <v>TViệt -3A1</v>
      </c>
      <c r="S78" s="35" t="str">
        <f t="shared" si="98"/>
        <v>Tay, Bích</v>
      </c>
      <c r="T78" s="35" t="str">
        <f t="shared" si="99"/>
        <v>GVNN -3C1</v>
      </c>
      <c r="U78" s="35"/>
      <c r="V78" s="35"/>
      <c r="W78" s="35"/>
      <c r="X78" s="35"/>
      <c r="Y78" s="35"/>
      <c r="Z78" s="35" t="str">
        <f t="shared" si="100"/>
        <v>Ly</v>
      </c>
      <c r="AA78" s="35" t="str">
        <f t="shared" si="101"/>
        <v>LS&amp;ĐL -4C1</v>
      </c>
      <c r="AB78" s="35" t="str">
        <f t="shared" si="102"/>
        <v>Nguyên</v>
      </c>
      <c r="AC78" s="35" t="str">
        <f t="shared" si="103"/>
        <v>Tin -5C1</v>
      </c>
      <c r="AD78" s="35" t="str">
        <f t="shared" si="118"/>
        <v>Hà</v>
      </c>
      <c r="AE78" s="35" t="str">
        <f t="shared" si="119"/>
        <v>Văn -6A1</v>
      </c>
      <c r="AF78" s="35" t="str">
        <f t="shared" si="104"/>
        <v>Nhung</v>
      </c>
      <c r="AG78" s="35" t="str">
        <f t="shared" si="105"/>
        <v>KHTN -7A1</v>
      </c>
      <c r="AH78" s="35" t="str">
        <f t="shared" si="106"/>
        <v>Tay, Quỳnh</v>
      </c>
      <c r="AI78" s="35" t="str">
        <f t="shared" si="107"/>
        <v>GVNN -8A1</v>
      </c>
      <c r="AJ78" s="35" t="str">
        <f t="shared" si="108"/>
        <v>Hiền</v>
      </c>
      <c r="AK78" s="35" t="str">
        <f t="shared" si="109"/>
        <v>Tìm hiểu thiên nhiên -TTH1</v>
      </c>
      <c r="AL78" s="35" t="str">
        <f t="shared" si="110"/>
        <v>MN1</v>
      </c>
      <c r="AM78" s="35" t="str">
        <f t="shared" si="111"/>
        <v>Tìm hiểu thiên nhiên -TTH2</v>
      </c>
    </row>
    <row r="79" spans="1:39" ht="15.95" customHeight="1" x14ac:dyDescent="0.25">
      <c r="A79" s="29" t="str">
        <f t="shared" si="112"/>
        <v>3Sáng4</v>
      </c>
      <c r="B79" s="29" t="str">
        <f t="shared" si="113"/>
        <v>3Sáng4Trang</v>
      </c>
      <c r="C79" s="29" t="str">
        <f t="shared" si="114"/>
        <v/>
      </c>
      <c r="D79" s="29" t="str">
        <f t="shared" si="115"/>
        <v/>
      </c>
      <c r="E79" s="29" t="s">
        <v>6</v>
      </c>
      <c r="F79" s="29">
        <v>3</v>
      </c>
      <c r="G79" s="29" t="s">
        <v>3</v>
      </c>
      <c r="H79" s="29">
        <v>4</v>
      </c>
      <c r="I79" s="35" t="str">
        <f t="shared" si="90"/>
        <v>Trang</v>
      </c>
      <c r="J79" s="35" t="str">
        <f t="shared" si="91"/>
        <v>GVVN -1A1</v>
      </c>
      <c r="K79" s="35" t="str">
        <f t="shared" si="92"/>
        <v>Nhi</v>
      </c>
      <c r="L79" s="35" t="str">
        <f t="shared" si="93"/>
        <v>TViệt -1C1</v>
      </c>
      <c r="M79" s="35" t="str">
        <f t="shared" si="116"/>
        <v>Linh TH</v>
      </c>
      <c r="N79" s="35" t="str">
        <f t="shared" si="117"/>
        <v>TNXH -2A1</v>
      </c>
      <c r="O79" s="35" t="str">
        <f t="shared" si="94"/>
        <v>Tay, Trà</v>
      </c>
      <c r="P79" s="35" t="str">
        <f t="shared" si="95"/>
        <v>GVNN -2C1</v>
      </c>
      <c r="Q79" s="35" t="str">
        <f t="shared" si="96"/>
        <v>Ngọc</v>
      </c>
      <c r="R79" s="35" t="str">
        <f t="shared" si="97"/>
        <v>TViệt -3A1</v>
      </c>
      <c r="S79" s="35" t="str">
        <f t="shared" si="98"/>
        <v>Chi</v>
      </c>
      <c r="T79" s="35" t="str">
        <f t="shared" si="99"/>
        <v>Toán -3C1</v>
      </c>
      <c r="U79" s="35"/>
      <c r="V79" s="35"/>
      <c r="W79" s="35"/>
      <c r="X79" s="35"/>
      <c r="Y79" s="35"/>
      <c r="Z79" s="35" t="str">
        <f t="shared" si="100"/>
        <v>Phương Anh</v>
      </c>
      <c r="AA79" s="35" t="str">
        <f t="shared" si="101"/>
        <v>Toán -4C1</v>
      </c>
      <c r="AB79" s="35" t="str">
        <f t="shared" si="102"/>
        <v>Nguyên</v>
      </c>
      <c r="AC79" s="35" t="str">
        <f t="shared" si="103"/>
        <v>Robotics -5C1</v>
      </c>
      <c r="AD79" s="35" t="str">
        <f t="shared" si="118"/>
        <v>Tay, Chánh</v>
      </c>
      <c r="AE79" s="35" t="str">
        <f t="shared" si="119"/>
        <v>GVNN -6A1</v>
      </c>
      <c r="AF79" s="35" t="str">
        <f t="shared" si="104"/>
        <v>Nhung</v>
      </c>
      <c r="AG79" s="35" t="str">
        <f t="shared" si="105"/>
        <v>KHTN -7A1</v>
      </c>
      <c r="AH79" s="35" t="str">
        <f t="shared" si="106"/>
        <v>Quỳnh</v>
      </c>
      <c r="AI79" s="35" t="str">
        <f t="shared" si="107"/>
        <v>GVVN -8A1</v>
      </c>
      <c r="AJ79" s="35" t="str">
        <f t="shared" si="108"/>
        <v>Hiền</v>
      </c>
      <c r="AK79" s="35" t="str">
        <f t="shared" si="109"/>
        <v>Lối sống -TTH1</v>
      </c>
      <c r="AL79" s="35" t="str">
        <f t="shared" si="110"/>
        <v>MN1</v>
      </c>
      <c r="AM79" s="35" t="str">
        <f t="shared" si="111"/>
        <v>Lối sống -TTH2</v>
      </c>
    </row>
    <row r="80" spans="1:39" ht="15.95" customHeight="1" x14ac:dyDescent="0.25">
      <c r="A80" s="29" t="str">
        <f t="shared" si="112"/>
        <v>3Sáng5</v>
      </c>
      <c r="B80" s="29" t="str">
        <f t="shared" si="113"/>
        <v>3Sáng5</v>
      </c>
      <c r="C80" s="29" t="str">
        <f t="shared" si="114"/>
        <v/>
      </c>
      <c r="D80" s="29" t="str">
        <f t="shared" si="115"/>
        <v/>
      </c>
      <c r="E80" s="29" t="s">
        <v>6</v>
      </c>
      <c r="F80" s="29">
        <v>3</v>
      </c>
      <c r="G80" s="29" t="s">
        <v>3</v>
      </c>
      <c r="H80" s="29">
        <v>5</v>
      </c>
      <c r="I80" s="35" t="str">
        <f t="shared" si="90"/>
        <v/>
      </c>
      <c r="J80" s="35" t="str">
        <f t="shared" si="91"/>
        <v/>
      </c>
      <c r="K80" s="35" t="str">
        <f t="shared" si="92"/>
        <v/>
      </c>
      <c r="L80" s="35" t="str">
        <f t="shared" si="93"/>
        <v/>
      </c>
      <c r="M80" s="35" t="str">
        <f t="shared" si="116"/>
        <v/>
      </c>
      <c r="N80" s="35" t="str">
        <f t="shared" si="117"/>
        <v/>
      </c>
      <c r="O80" s="35" t="str">
        <f t="shared" si="94"/>
        <v/>
      </c>
      <c r="P80" s="35" t="str">
        <f t="shared" si="95"/>
        <v/>
      </c>
      <c r="Q80" s="35" t="str">
        <f t="shared" si="96"/>
        <v/>
      </c>
      <c r="R80" s="35" t="str">
        <f t="shared" si="97"/>
        <v/>
      </c>
      <c r="S80" s="35" t="str">
        <f t="shared" si="98"/>
        <v/>
      </c>
      <c r="T80" s="35" t="str">
        <f t="shared" si="99"/>
        <v/>
      </c>
      <c r="U80" s="35"/>
      <c r="V80" s="35"/>
      <c r="W80" s="35"/>
      <c r="X80" s="35"/>
      <c r="Y80" s="35"/>
      <c r="Z80" s="35" t="str">
        <f t="shared" si="100"/>
        <v/>
      </c>
      <c r="AA80" s="35" t="str">
        <f t="shared" si="101"/>
        <v/>
      </c>
      <c r="AB80" s="35" t="str">
        <f t="shared" si="102"/>
        <v/>
      </c>
      <c r="AC80" s="35" t="str">
        <f t="shared" si="103"/>
        <v/>
      </c>
      <c r="AD80" s="35" t="str">
        <f t="shared" si="118"/>
        <v>Tay, Chánh</v>
      </c>
      <c r="AE80" s="35" t="str">
        <f t="shared" si="119"/>
        <v>GVNN -6A1</v>
      </c>
      <c r="AF80" s="35" t="str">
        <f t="shared" si="104"/>
        <v>Ánh NV</v>
      </c>
      <c r="AG80" s="35" t="str">
        <f t="shared" si="105"/>
        <v>Văn -7A1</v>
      </c>
      <c r="AH80" s="35" t="str">
        <f t="shared" si="106"/>
        <v>Tân</v>
      </c>
      <c r="AI80" s="35" t="str">
        <f t="shared" si="107"/>
        <v>Toán -8A1</v>
      </c>
      <c r="AJ80" s="35" t="str">
        <f t="shared" si="108"/>
        <v/>
      </c>
      <c r="AK80" s="35" t="str">
        <f t="shared" si="109"/>
        <v/>
      </c>
      <c r="AL80" s="35" t="str">
        <f t="shared" si="110"/>
        <v/>
      </c>
      <c r="AM80" s="35" t="str">
        <f t="shared" si="111"/>
        <v/>
      </c>
    </row>
    <row r="81" spans="1:39" x14ac:dyDescent="0.25">
      <c r="A81" s="29" t="str">
        <f t="shared" si="112"/>
        <v>3Chiều1</v>
      </c>
      <c r="B81" s="29" t="str">
        <f t="shared" si="113"/>
        <v>3Chiều1Ngọc Ánh</v>
      </c>
      <c r="C81" s="29" t="str">
        <f t="shared" si="114"/>
        <v/>
      </c>
      <c r="D81" s="29" t="str">
        <f t="shared" si="115"/>
        <v/>
      </c>
      <c r="E81" s="29" t="s">
        <v>6</v>
      </c>
      <c r="F81" s="29">
        <v>3</v>
      </c>
      <c r="G81" s="29" t="s">
        <v>4</v>
      </c>
      <c r="H81" s="29">
        <v>1</v>
      </c>
      <c r="I81" s="35" t="str">
        <f t="shared" si="90"/>
        <v>Ngọc Ánh</v>
      </c>
      <c r="J81" s="35" t="str">
        <f t="shared" si="91"/>
        <v>TNXH -1A1</v>
      </c>
      <c r="K81" s="35" t="str">
        <f t="shared" si="92"/>
        <v>Huyền</v>
      </c>
      <c r="L81" s="35" t="str">
        <f t="shared" si="93"/>
        <v>GVVN -1C1</v>
      </c>
      <c r="M81" s="35" t="str">
        <f t="shared" si="116"/>
        <v>Nguyên</v>
      </c>
      <c r="N81" s="35" t="str">
        <f t="shared" si="117"/>
        <v>Tin -2A1</v>
      </c>
      <c r="O81" s="35" t="str">
        <f t="shared" si="94"/>
        <v>Xuân</v>
      </c>
      <c r="P81" s="35" t="str">
        <f t="shared" si="95"/>
        <v>TNXH -2C1</v>
      </c>
      <c r="Q81" s="35" t="str">
        <f t="shared" si="96"/>
        <v>Trà</v>
      </c>
      <c r="R81" s="35" t="str">
        <f t="shared" si="97"/>
        <v>GVVN -3A1</v>
      </c>
      <c r="S81" s="35" t="str">
        <f t="shared" si="98"/>
        <v>Chi</v>
      </c>
      <c r="T81" s="35" t="str">
        <f t="shared" si="99"/>
        <v>Toán -3C1</v>
      </c>
      <c r="U81" s="35"/>
      <c r="V81" s="35"/>
      <c r="W81" s="35"/>
      <c r="X81" s="35"/>
      <c r="Y81" s="35"/>
      <c r="Z81" s="35" t="str">
        <f t="shared" si="100"/>
        <v>Quỳnh</v>
      </c>
      <c r="AA81" s="35" t="str">
        <f t="shared" si="101"/>
        <v>GVVN -4C1</v>
      </c>
      <c r="AB81" s="35" t="str">
        <f t="shared" si="102"/>
        <v>Ngọc</v>
      </c>
      <c r="AC81" s="35" t="str">
        <f t="shared" si="103"/>
        <v>TViệt -5C1</v>
      </c>
      <c r="AD81" s="35" t="str">
        <f t="shared" si="118"/>
        <v>Tân</v>
      </c>
      <c r="AE81" s="35" t="str">
        <f t="shared" si="119"/>
        <v>Toán -6A1</v>
      </c>
      <c r="AF81" s="35" t="str">
        <f t="shared" si="104"/>
        <v>Tay, Chánh</v>
      </c>
      <c r="AG81" s="35" t="str">
        <f t="shared" si="105"/>
        <v>GVNN -7A1</v>
      </c>
      <c r="AH81" s="35" t="str">
        <f t="shared" si="106"/>
        <v>Nhung</v>
      </c>
      <c r="AI81" s="35" t="str">
        <f t="shared" si="107"/>
        <v>KHTN -8A1</v>
      </c>
      <c r="AJ81" s="35" t="str">
        <f t="shared" si="108"/>
        <v>Hiền</v>
      </c>
      <c r="AK81" s="35" t="str">
        <f t="shared" si="109"/>
        <v>HĐ tự chọn -TTH1</v>
      </c>
      <c r="AL81" s="35" t="str">
        <f t="shared" si="110"/>
        <v>MN1</v>
      </c>
      <c r="AM81" s="35" t="str">
        <f t="shared" si="111"/>
        <v>HĐ tự chọn -TTH2</v>
      </c>
    </row>
    <row r="82" spans="1:39" x14ac:dyDescent="0.25">
      <c r="A82" s="29" t="str">
        <f t="shared" si="112"/>
        <v>3Chiều2</v>
      </c>
      <c r="B82" s="29" t="str">
        <f t="shared" si="113"/>
        <v>3Chiều2Ngọc Ánh</v>
      </c>
      <c r="C82" s="29" t="str">
        <f t="shared" si="114"/>
        <v/>
      </c>
      <c r="D82" s="29" t="str">
        <f t="shared" si="115"/>
        <v/>
      </c>
      <c r="E82" s="29" t="s">
        <v>6</v>
      </c>
      <c r="F82" s="29">
        <v>3</v>
      </c>
      <c r="G82" s="29" t="s">
        <v>4</v>
      </c>
      <c r="H82" s="29">
        <v>2</v>
      </c>
      <c r="I82" s="35" t="str">
        <f t="shared" si="90"/>
        <v>Ngọc Ánh</v>
      </c>
      <c r="J82" s="35" t="str">
        <f t="shared" si="91"/>
        <v>Toán -1A1</v>
      </c>
      <c r="K82" s="35" t="str">
        <f t="shared" si="92"/>
        <v>Nguyên</v>
      </c>
      <c r="L82" s="35" t="str">
        <f t="shared" si="93"/>
        <v>Tin -1C1</v>
      </c>
      <c r="M82" s="35" t="str">
        <f t="shared" si="116"/>
        <v>Trang</v>
      </c>
      <c r="N82" s="35" t="str">
        <f t="shared" si="117"/>
        <v>GVVN -2A1</v>
      </c>
      <c r="O82" s="35" t="str">
        <f t="shared" si="94"/>
        <v>Trà</v>
      </c>
      <c r="P82" s="35" t="str">
        <f t="shared" si="95"/>
        <v>GVVN -2C1</v>
      </c>
      <c r="Q82" s="35" t="str">
        <f t="shared" si="96"/>
        <v>Ngọc</v>
      </c>
      <c r="R82" s="35" t="str">
        <f t="shared" si="97"/>
        <v>Toán -3A1</v>
      </c>
      <c r="S82" s="35" t="str">
        <f t="shared" si="98"/>
        <v>Ly</v>
      </c>
      <c r="T82" s="35" t="str">
        <f t="shared" si="99"/>
        <v>TViệt -3C1</v>
      </c>
      <c r="U82" s="35"/>
      <c r="V82" s="35"/>
      <c r="W82" s="35"/>
      <c r="X82" s="35"/>
      <c r="Y82" s="35"/>
      <c r="Z82" s="35" t="str">
        <f t="shared" si="100"/>
        <v>Phương Anh</v>
      </c>
      <c r="AA82" s="35" t="str">
        <f t="shared" si="101"/>
        <v>Toán -4C1</v>
      </c>
      <c r="AB82" s="35" t="str">
        <f t="shared" si="102"/>
        <v>Bích</v>
      </c>
      <c r="AC82" s="35" t="str">
        <f t="shared" si="103"/>
        <v>GVVN -5C1</v>
      </c>
      <c r="AD82" s="35" t="str">
        <f t="shared" si="118"/>
        <v>Hà</v>
      </c>
      <c r="AE82" s="35" t="str">
        <f t="shared" si="119"/>
        <v>Văn -6A1</v>
      </c>
      <c r="AF82" s="35" t="str">
        <f t="shared" si="104"/>
        <v>Tân</v>
      </c>
      <c r="AG82" s="35" t="str">
        <f t="shared" si="105"/>
        <v>Toán -7A1</v>
      </c>
      <c r="AH82" s="35" t="str">
        <f t="shared" si="106"/>
        <v>Nhung</v>
      </c>
      <c r="AI82" s="35" t="str">
        <f t="shared" si="107"/>
        <v>KHTN -8A1</v>
      </c>
      <c r="AJ82" s="35" t="str">
        <f t="shared" si="108"/>
        <v>Hiền</v>
      </c>
      <c r="AK82" s="35" t="str">
        <f t="shared" si="109"/>
        <v>Tìm hiểu thiên nhiên -TTH1</v>
      </c>
      <c r="AL82" s="35" t="str">
        <f t="shared" si="110"/>
        <v>MN1</v>
      </c>
      <c r="AM82" s="35" t="str">
        <f t="shared" si="111"/>
        <v>Tìm hiểu thiên nhiên -TTH2</v>
      </c>
    </row>
    <row r="83" spans="1:39" x14ac:dyDescent="0.25">
      <c r="A83" s="29" t="str">
        <f t="shared" si="112"/>
        <v>3Chiều3</v>
      </c>
      <c r="B83" s="29" t="str">
        <f t="shared" si="113"/>
        <v>3Chiều3Ngọc Ánh</v>
      </c>
      <c r="C83" s="29" t="str">
        <f t="shared" si="114"/>
        <v/>
      </c>
      <c r="D83" s="29" t="str">
        <f t="shared" si="115"/>
        <v/>
      </c>
      <c r="E83" s="29" t="s">
        <v>6</v>
      </c>
      <c r="F83" s="29">
        <v>3</v>
      </c>
      <c r="G83" s="29" t="s">
        <v>4</v>
      </c>
      <c r="H83" s="29">
        <v>3</v>
      </c>
      <c r="I83" s="35" t="str">
        <f t="shared" si="90"/>
        <v>Ngọc Ánh</v>
      </c>
      <c r="J83" s="35" t="str">
        <f t="shared" si="91"/>
        <v>KCST -1A1</v>
      </c>
      <c r="K83" s="35" t="str">
        <f t="shared" si="92"/>
        <v>Hồng</v>
      </c>
      <c r="L83" s="35" t="str">
        <f t="shared" si="93"/>
        <v>GDTC -1C1</v>
      </c>
      <c r="M83" s="35" t="str">
        <f t="shared" si="116"/>
        <v>Linh TH</v>
      </c>
      <c r="N83" s="35" t="str">
        <f t="shared" si="117"/>
        <v>Toán -2A1</v>
      </c>
      <c r="O83" s="35" t="str">
        <f t="shared" si="94"/>
        <v>Chi</v>
      </c>
      <c r="P83" s="35" t="str">
        <f t="shared" si="95"/>
        <v>Toán -2C1</v>
      </c>
      <c r="Q83" s="35" t="str">
        <f t="shared" si="96"/>
        <v>Ngọc</v>
      </c>
      <c r="R83" s="35" t="str">
        <f t="shared" si="97"/>
        <v>Toán -3A1</v>
      </c>
      <c r="S83" s="35" t="str">
        <f t="shared" si="98"/>
        <v>Ly</v>
      </c>
      <c r="T83" s="35" t="str">
        <f t="shared" si="99"/>
        <v>TViệt -3C1</v>
      </c>
      <c r="U83" s="35"/>
      <c r="V83" s="35"/>
      <c r="W83" s="35"/>
      <c r="X83" s="35"/>
      <c r="Y83" s="35"/>
      <c r="Z83" s="35" t="str">
        <f t="shared" si="100"/>
        <v>Quỳnh</v>
      </c>
      <c r="AA83" s="35" t="str">
        <f t="shared" si="101"/>
        <v>Science -4C1</v>
      </c>
      <c r="AB83" s="35" t="str">
        <f t="shared" si="102"/>
        <v>Bích</v>
      </c>
      <c r="AC83" s="35" t="str">
        <f t="shared" si="103"/>
        <v>Science -5C1</v>
      </c>
      <c r="AD83" s="35" t="str">
        <f t="shared" si="118"/>
        <v>Hà</v>
      </c>
      <c r="AE83" s="35" t="str">
        <f t="shared" si="119"/>
        <v>Đọc sách -6A1</v>
      </c>
      <c r="AF83" s="35" t="str">
        <f t="shared" si="104"/>
        <v>Nguyên</v>
      </c>
      <c r="AG83" s="35" t="str">
        <f t="shared" si="105"/>
        <v>Tin -7A1</v>
      </c>
      <c r="AH83" s="35" t="str">
        <f t="shared" si="106"/>
        <v>Ánh NV</v>
      </c>
      <c r="AI83" s="35" t="str">
        <f t="shared" si="107"/>
        <v>Văn -8A1</v>
      </c>
      <c r="AJ83" s="35" t="str">
        <f t="shared" si="108"/>
        <v>Hiền</v>
      </c>
      <c r="AK83" s="35" t="str">
        <f t="shared" si="109"/>
        <v>TViệt -TTH1</v>
      </c>
      <c r="AL83" s="35" t="str">
        <f t="shared" si="110"/>
        <v>Trang</v>
      </c>
      <c r="AM83" s="35" t="str">
        <f t="shared" si="111"/>
        <v>GVVN -TTH2</v>
      </c>
    </row>
    <row r="84" spans="1:39" x14ac:dyDescent="0.25">
      <c r="A84" s="29" t="str">
        <f t="shared" si="112"/>
        <v>3Chiều4</v>
      </c>
      <c r="B84" s="29" t="str">
        <f t="shared" si="113"/>
        <v>3Chiều4Trang</v>
      </c>
      <c r="C84" s="29" t="str">
        <f t="shared" si="114"/>
        <v/>
      </c>
      <c r="D84" s="29" t="str">
        <f t="shared" si="115"/>
        <v/>
      </c>
      <c r="E84" s="29" t="s">
        <v>6</v>
      </c>
      <c r="F84" s="29">
        <v>3</v>
      </c>
      <c r="G84" s="29" t="s">
        <v>4</v>
      </c>
      <c r="H84" s="29">
        <v>4</v>
      </c>
      <c r="I84" s="35" t="str">
        <f t="shared" si="90"/>
        <v>Trang</v>
      </c>
      <c r="J84" s="35" t="str">
        <f t="shared" si="91"/>
        <v>GVVN -1A1</v>
      </c>
      <c r="K84" s="35" t="str">
        <f t="shared" si="92"/>
        <v>Hồng</v>
      </c>
      <c r="L84" s="35" t="str">
        <f t="shared" si="93"/>
        <v>GDTC -1C1</v>
      </c>
      <c r="M84" s="35" t="str">
        <f t="shared" si="116"/>
        <v>Linh TH</v>
      </c>
      <c r="N84" s="35" t="str">
        <f t="shared" si="117"/>
        <v>Toán -2A1</v>
      </c>
      <c r="O84" s="35" t="str">
        <f t="shared" si="94"/>
        <v>Xuân</v>
      </c>
      <c r="P84" s="35" t="str">
        <f t="shared" si="95"/>
        <v>TViệt -2C1</v>
      </c>
      <c r="Q84" s="35" t="str">
        <f t="shared" si="96"/>
        <v>Trà</v>
      </c>
      <c r="R84" s="35" t="str">
        <f t="shared" si="97"/>
        <v>GVVN -3A1</v>
      </c>
      <c r="S84" s="35" t="str">
        <f t="shared" si="98"/>
        <v>Bích</v>
      </c>
      <c r="T84" s="35" t="str">
        <f t="shared" si="99"/>
        <v>GVVN -3C1</v>
      </c>
      <c r="U84" s="35"/>
      <c r="V84" s="35"/>
      <c r="W84" s="35"/>
      <c r="X84" s="35"/>
      <c r="Y84" s="35"/>
      <c r="Z84" s="35" t="str">
        <f t="shared" si="100"/>
        <v>Ly</v>
      </c>
      <c r="AA84" s="35" t="str">
        <f t="shared" si="101"/>
        <v>TViệt -4C1</v>
      </c>
      <c r="AB84" s="35" t="str">
        <f t="shared" si="102"/>
        <v>Chi</v>
      </c>
      <c r="AC84" s="35" t="str">
        <f t="shared" si="103"/>
        <v>Toán -5C1</v>
      </c>
      <c r="AD84" s="35" t="str">
        <f t="shared" si="118"/>
        <v>Tân</v>
      </c>
      <c r="AE84" s="35" t="str">
        <f t="shared" si="119"/>
        <v>Toán -6A1</v>
      </c>
      <c r="AF84" s="35" t="str">
        <f t="shared" si="104"/>
        <v>Nguyên</v>
      </c>
      <c r="AG84" s="35" t="str">
        <f t="shared" si="105"/>
        <v>Robotics -7A1</v>
      </c>
      <c r="AH84" s="35" t="str">
        <f t="shared" si="106"/>
        <v>Ánh NV</v>
      </c>
      <c r="AI84" s="35" t="str">
        <f t="shared" si="107"/>
        <v>Văn -8A1</v>
      </c>
      <c r="AJ84" s="35" t="str">
        <f t="shared" si="108"/>
        <v>Huyền</v>
      </c>
      <c r="AK84" s="35" t="str">
        <f t="shared" si="109"/>
        <v>GVVN -TTH1</v>
      </c>
      <c r="AL84" s="35" t="str">
        <f t="shared" si="110"/>
        <v>MN1</v>
      </c>
      <c r="AM84" s="35" t="str">
        <f t="shared" si="111"/>
        <v>TViệt -TTH2</v>
      </c>
    </row>
    <row r="85" spans="1:39" x14ac:dyDescent="0.25">
      <c r="A85" s="29" t="str">
        <f t="shared" si="112"/>
        <v>3Chiều5</v>
      </c>
      <c r="B85" s="29" t="str">
        <f t="shared" si="113"/>
        <v>3Chiều5</v>
      </c>
      <c r="C85" s="29" t="str">
        <f t="shared" si="114"/>
        <v/>
      </c>
      <c r="D85" s="29" t="str">
        <f t="shared" si="115"/>
        <v/>
      </c>
      <c r="E85" s="29" t="s">
        <v>6</v>
      </c>
      <c r="F85" s="29">
        <v>3</v>
      </c>
      <c r="G85" s="29" t="s">
        <v>4</v>
      </c>
      <c r="H85" s="29">
        <v>5</v>
      </c>
      <c r="I85" s="35" t="str">
        <f t="shared" si="90"/>
        <v/>
      </c>
      <c r="J85" s="35" t="str">
        <f t="shared" si="91"/>
        <v/>
      </c>
      <c r="K85" s="35" t="str">
        <f t="shared" si="92"/>
        <v/>
      </c>
      <c r="L85" s="35" t="str">
        <f t="shared" si="93"/>
        <v/>
      </c>
      <c r="M85" s="35" t="str">
        <f t="shared" si="116"/>
        <v/>
      </c>
      <c r="N85" s="35" t="str">
        <f t="shared" si="117"/>
        <v/>
      </c>
      <c r="O85" s="35" t="str">
        <f t="shared" si="94"/>
        <v/>
      </c>
      <c r="P85" s="35" t="str">
        <f t="shared" si="95"/>
        <v/>
      </c>
      <c r="Q85" s="35" t="str">
        <f t="shared" si="96"/>
        <v/>
      </c>
      <c r="R85" s="35" t="str">
        <f t="shared" si="97"/>
        <v/>
      </c>
      <c r="S85" s="35" t="str">
        <f t="shared" si="98"/>
        <v/>
      </c>
      <c r="T85" s="35" t="str">
        <f t="shared" si="99"/>
        <v/>
      </c>
      <c r="U85" s="35"/>
      <c r="V85" s="35"/>
      <c r="W85" s="35"/>
      <c r="X85" s="35"/>
      <c r="Y85" s="35"/>
      <c r="Z85" s="35" t="str">
        <f t="shared" si="100"/>
        <v/>
      </c>
      <c r="AA85" s="35" t="str">
        <f t="shared" si="101"/>
        <v/>
      </c>
      <c r="AB85" s="35" t="str">
        <f t="shared" si="102"/>
        <v/>
      </c>
      <c r="AC85" s="35" t="str">
        <f t="shared" si="103"/>
        <v/>
      </c>
      <c r="AD85" s="35" t="str">
        <f t="shared" si="118"/>
        <v/>
      </c>
      <c r="AE85" s="35" t="str">
        <f t="shared" si="119"/>
        <v/>
      </c>
      <c r="AF85" s="35" t="str">
        <f t="shared" si="104"/>
        <v/>
      </c>
      <c r="AG85" s="35" t="str">
        <f t="shared" si="105"/>
        <v/>
      </c>
      <c r="AH85" s="35" t="str">
        <f t="shared" si="106"/>
        <v/>
      </c>
      <c r="AI85" s="35" t="str">
        <f t="shared" si="107"/>
        <v/>
      </c>
      <c r="AJ85" s="35" t="str">
        <f t="shared" si="108"/>
        <v/>
      </c>
      <c r="AK85" s="35" t="str">
        <f t="shared" si="109"/>
        <v/>
      </c>
      <c r="AL85" s="35" t="str">
        <f t="shared" si="110"/>
        <v/>
      </c>
      <c r="AM85" s="35" t="str">
        <f t="shared" si="111"/>
        <v/>
      </c>
    </row>
    <row r="86" spans="1:39" ht="15.95" customHeight="1" x14ac:dyDescent="0.25">
      <c r="A86" s="29" t="str">
        <f t="shared" si="112"/>
        <v>4Sáng1</v>
      </c>
      <c r="B86" s="29" t="str">
        <f t="shared" si="113"/>
        <v>4Sáng1Ngọc Ánh</v>
      </c>
      <c r="C86" s="29" t="str">
        <f t="shared" si="114"/>
        <v/>
      </c>
      <c r="D86" s="29" t="str">
        <f t="shared" si="115"/>
        <v/>
      </c>
      <c r="E86" s="29" t="s">
        <v>6</v>
      </c>
      <c r="F86" s="29">
        <v>4</v>
      </c>
      <c r="G86" s="29" t="s">
        <v>3</v>
      </c>
      <c r="H86" s="29">
        <v>1</v>
      </c>
      <c r="I86" s="35" t="str">
        <f t="shared" si="90"/>
        <v>Ngọc Ánh</v>
      </c>
      <c r="J86" s="35" t="str">
        <f t="shared" si="91"/>
        <v>TViệt -1A1</v>
      </c>
      <c r="K86" s="35" t="str">
        <f t="shared" si="92"/>
        <v>Huyền</v>
      </c>
      <c r="L86" s="35" t="str">
        <f t="shared" si="93"/>
        <v>GVVN -1C1</v>
      </c>
      <c r="M86" s="35" t="str">
        <f t="shared" si="116"/>
        <v>Aziz, Trang</v>
      </c>
      <c r="N86" s="35" t="str">
        <f t="shared" si="117"/>
        <v>GVNN -2A1</v>
      </c>
      <c r="O86" s="35" t="str">
        <f t="shared" si="94"/>
        <v>Tay, Trà</v>
      </c>
      <c r="P86" s="35" t="str">
        <f t="shared" si="95"/>
        <v>GVNN -2C1</v>
      </c>
      <c r="Q86" s="35" t="str">
        <f t="shared" si="96"/>
        <v>Ngọc</v>
      </c>
      <c r="R86" s="35" t="str">
        <f t="shared" si="97"/>
        <v>Toán -3A1</v>
      </c>
      <c r="S86" s="35" t="str">
        <f t="shared" si="98"/>
        <v>Chi</v>
      </c>
      <c r="T86" s="35" t="str">
        <f t="shared" si="99"/>
        <v>Toán -3C1</v>
      </c>
      <c r="U86" s="35"/>
      <c r="V86" s="35"/>
      <c r="W86" s="35"/>
      <c r="X86" s="35"/>
      <c r="Y86" s="35"/>
      <c r="Z86" s="35" t="str">
        <f t="shared" si="100"/>
        <v>Ly</v>
      </c>
      <c r="AA86" s="35" t="str">
        <f t="shared" si="101"/>
        <v>TViệt -4C1</v>
      </c>
      <c r="AB86" s="35" t="str">
        <f t="shared" si="102"/>
        <v>Bích</v>
      </c>
      <c r="AC86" s="35" t="str">
        <f t="shared" si="103"/>
        <v>GVVN -5C1</v>
      </c>
      <c r="AD86" s="35" t="str">
        <f t="shared" si="118"/>
        <v>Châu</v>
      </c>
      <c r="AE86" s="35" t="str">
        <f t="shared" si="119"/>
        <v>Tiếng Trung -6A1</v>
      </c>
      <c r="AF86" s="35" t="str">
        <f t="shared" si="104"/>
        <v>Ánh NV</v>
      </c>
      <c r="AG86" s="35" t="str">
        <f t="shared" si="105"/>
        <v>Văn -7A1</v>
      </c>
      <c r="AH86" s="35" t="str">
        <f t="shared" si="106"/>
        <v>Tân</v>
      </c>
      <c r="AI86" s="35" t="str">
        <f t="shared" si="107"/>
        <v>Toán -8A1</v>
      </c>
      <c r="AJ86" s="35" t="str">
        <f t="shared" si="108"/>
        <v>Hiền</v>
      </c>
      <c r="AK86" s="35" t="str">
        <f t="shared" si="109"/>
        <v>Lối sống -TTH1</v>
      </c>
      <c r="AL86" s="35" t="str">
        <f t="shared" si="110"/>
        <v>MN1</v>
      </c>
      <c r="AM86" s="35" t="str">
        <f t="shared" si="111"/>
        <v>Lối sống -TTH2</v>
      </c>
    </row>
    <row r="87" spans="1:39" ht="15.95" customHeight="1" x14ac:dyDescent="0.25">
      <c r="A87" s="29" t="str">
        <f t="shared" si="112"/>
        <v>4Sáng2</v>
      </c>
      <c r="B87" s="29" t="str">
        <f t="shared" si="113"/>
        <v>4Sáng2Ngọc Ánh</v>
      </c>
      <c r="C87" s="29" t="str">
        <f t="shared" si="114"/>
        <v/>
      </c>
      <c r="D87" s="29" t="str">
        <f t="shared" si="115"/>
        <v/>
      </c>
      <c r="E87" s="29" t="s">
        <v>6</v>
      </c>
      <c r="F87" s="29">
        <v>4</v>
      </c>
      <c r="G87" s="29" t="s">
        <v>3</v>
      </c>
      <c r="H87" s="29">
        <v>2</v>
      </c>
      <c r="I87" s="35" t="str">
        <f t="shared" si="90"/>
        <v>Ngọc Ánh</v>
      </c>
      <c r="J87" s="35" t="str">
        <f t="shared" si="91"/>
        <v>TViệt -1A1</v>
      </c>
      <c r="K87" s="35" t="str">
        <f t="shared" si="92"/>
        <v>Nhi</v>
      </c>
      <c r="L87" s="35" t="str">
        <f t="shared" si="93"/>
        <v>TViệt -1C1</v>
      </c>
      <c r="M87" s="35" t="str">
        <f t="shared" si="116"/>
        <v>Xuân</v>
      </c>
      <c r="N87" s="35" t="str">
        <f t="shared" si="117"/>
        <v>Viết sáng tạo -2A1</v>
      </c>
      <c r="O87" s="35" t="str">
        <f t="shared" si="94"/>
        <v>Chi</v>
      </c>
      <c r="P87" s="35" t="str">
        <f t="shared" si="95"/>
        <v>Toán -2C1</v>
      </c>
      <c r="Q87" s="35" t="str">
        <f t="shared" si="96"/>
        <v>Nguyên</v>
      </c>
      <c r="R87" s="35" t="str">
        <f t="shared" si="97"/>
        <v>Robotics -3A1</v>
      </c>
      <c r="S87" s="35" t="str">
        <f t="shared" si="98"/>
        <v>Tay, Bích</v>
      </c>
      <c r="T87" s="35" t="str">
        <f t="shared" si="99"/>
        <v>GVNN -3C1</v>
      </c>
      <c r="U87" s="35"/>
      <c r="V87" s="35"/>
      <c r="W87" s="35"/>
      <c r="X87" s="35"/>
      <c r="Y87" s="35"/>
      <c r="Z87" s="35" t="str">
        <f t="shared" si="100"/>
        <v>Quỳnh</v>
      </c>
      <c r="AA87" s="35" t="str">
        <f t="shared" si="101"/>
        <v>GVVN -4C1</v>
      </c>
      <c r="AB87" s="35" t="str">
        <f t="shared" si="102"/>
        <v>Ly</v>
      </c>
      <c r="AC87" s="35" t="str">
        <f t="shared" si="103"/>
        <v>TViệt -5C1</v>
      </c>
      <c r="AD87" s="35" t="str">
        <f t="shared" si="118"/>
        <v>Chánh</v>
      </c>
      <c r="AE87" s="35" t="str">
        <f t="shared" si="119"/>
        <v>GVVN -6A1</v>
      </c>
      <c r="AF87" s="35" t="str">
        <f t="shared" si="104"/>
        <v>Châu</v>
      </c>
      <c r="AG87" s="35" t="str">
        <f t="shared" si="105"/>
        <v>Tiếng Trung -7A1</v>
      </c>
      <c r="AH87" s="35" t="str">
        <f t="shared" si="106"/>
        <v>Trang ÂN</v>
      </c>
      <c r="AI87" s="35" t="str">
        <f t="shared" si="107"/>
        <v>Nhạc -8A1</v>
      </c>
      <c r="AJ87" s="35" t="str">
        <f t="shared" si="108"/>
        <v>Hiền</v>
      </c>
      <c r="AK87" s="35" t="str">
        <f t="shared" si="109"/>
        <v>KCST -TTH1</v>
      </c>
      <c r="AL87" s="35" t="str">
        <f t="shared" si="110"/>
        <v>Aziz, Huyền</v>
      </c>
      <c r="AM87" s="35" t="str">
        <f t="shared" si="111"/>
        <v>GVNN -TTH2</v>
      </c>
    </row>
    <row r="88" spans="1:39" ht="15.95" customHeight="1" x14ac:dyDescent="0.25">
      <c r="A88" s="29" t="str">
        <f t="shared" si="112"/>
        <v>4Sáng3</v>
      </c>
      <c r="B88" s="29" t="str">
        <f t="shared" si="113"/>
        <v>4Sáng3Ngọc Ánh</v>
      </c>
      <c r="C88" s="29" t="str">
        <f t="shared" si="114"/>
        <v/>
      </c>
      <c r="D88" s="29" t="str">
        <f t="shared" si="115"/>
        <v/>
      </c>
      <c r="E88" s="29" t="s">
        <v>6</v>
      </c>
      <c r="F88" s="29">
        <v>4</v>
      </c>
      <c r="G88" s="29" t="s">
        <v>3</v>
      </c>
      <c r="H88" s="29">
        <v>3</v>
      </c>
      <c r="I88" s="35" t="str">
        <f t="shared" si="90"/>
        <v>Ngọc Ánh</v>
      </c>
      <c r="J88" s="35" t="str">
        <f t="shared" si="91"/>
        <v>Toán -1A1</v>
      </c>
      <c r="K88" s="35" t="str">
        <f t="shared" si="92"/>
        <v>Nhi</v>
      </c>
      <c r="L88" s="35" t="str">
        <f t="shared" si="93"/>
        <v>TViệt -1C1</v>
      </c>
      <c r="M88" s="35" t="str">
        <f t="shared" si="116"/>
        <v>Hồng</v>
      </c>
      <c r="N88" s="35" t="str">
        <f t="shared" si="117"/>
        <v>GDTC -2A1</v>
      </c>
      <c r="O88" s="35" t="str">
        <f t="shared" si="94"/>
        <v>Xuân</v>
      </c>
      <c r="P88" s="35" t="str">
        <f t="shared" si="95"/>
        <v>TViệt -2C1</v>
      </c>
      <c r="Q88" s="35" t="str">
        <f t="shared" si="96"/>
        <v>Aziz, Trà</v>
      </c>
      <c r="R88" s="35" t="str">
        <f t="shared" si="97"/>
        <v>GVNN -3A1</v>
      </c>
      <c r="S88" s="35" t="str">
        <f t="shared" si="98"/>
        <v>Bích</v>
      </c>
      <c r="T88" s="35" t="str">
        <f t="shared" si="99"/>
        <v>Science -3C1</v>
      </c>
      <c r="U88" s="35"/>
      <c r="V88" s="35"/>
      <c r="W88" s="35"/>
      <c r="X88" s="35"/>
      <c r="Y88" s="35"/>
      <c r="Z88" s="35" t="str">
        <f t="shared" si="100"/>
        <v>Phương</v>
      </c>
      <c r="AA88" s="35" t="str">
        <f t="shared" si="101"/>
        <v>Mĩ thuật -4C1</v>
      </c>
      <c r="AB88" s="35" t="str">
        <f t="shared" si="102"/>
        <v>Trang ÂN</v>
      </c>
      <c r="AC88" s="35" t="str">
        <f t="shared" si="103"/>
        <v>Nhạc -5C1</v>
      </c>
      <c r="AD88" s="35" t="str">
        <f t="shared" si="118"/>
        <v>Hà</v>
      </c>
      <c r="AE88" s="35" t="str">
        <f t="shared" si="119"/>
        <v>Văn -6A1</v>
      </c>
      <c r="AF88" s="35" t="str">
        <f t="shared" si="104"/>
        <v>Chánh</v>
      </c>
      <c r="AG88" s="35" t="str">
        <f t="shared" si="105"/>
        <v>GVVN -7A1</v>
      </c>
      <c r="AH88" s="35" t="str">
        <f t="shared" si="106"/>
        <v>Châu</v>
      </c>
      <c r="AI88" s="35" t="str">
        <f t="shared" si="107"/>
        <v>Tiếng Trung -8A1</v>
      </c>
      <c r="AJ88" s="35" t="str">
        <f t="shared" si="108"/>
        <v>Huyền</v>
      </c>
      <c r="AK88" s="35" t="str">
        <f t="shared" si="109"/>
        <v>GVVN -TTH1</v>
      </c>
      <c r="AL88" s="35" t="str">
        <f t="shared" si="110"/>
        <v>Trang</v>
      </c>
      <c r="AM88" s="35" t="str">
        <f t="shared" si="111"/>
        <v>GVVN -TTH2</v>
      </c>
    </row>
    <row r="89" spans="1:39" ht="15.95" customHeight="1" x14ac:dyDescent="0.25">
      <c r="A89" s="29" t="str">
        <f t="shared" si="112"/>
        <v>4Sáng4Aziz</v>
      </c>
      <c r="B89" s="29" t="str">
        <f t="shared" si="113"/>
        <v>4Sáng4Trang</v>
      </c>
      <c r="C89" s="29" t="str">
        <f t="shared" si="114"/>
        <v>Aziz</v>
      </c>
      <c r="D89" s="29" t="str">
        <f t="shared" si="115"/>
        <v>Trang</v>
      </c>
      <c r="E89" s="29" t="s">
        <v>6</v>
      </c>
      <c r="F89" s="29">
        <v>4</v>
      </c>
      <c r="G89" s="29" t="s">
        <v>3</v>
      </c>
      <c r="H89" s="29">
        <v>4</v>
      </c>
      <c r="I89" s="35" t="str">
        <f t="shared" si="90"/>
        <v>Aziz, Trang</v>
      </c>
      <c r="J89" s="35" t="str">
        <f t="shared" si="91"/>
        <v>GVNN -1A1</v>
      </c>
      <c r="K89" s="35" t="str">
        <f t="shared" si="92"/>
        <v>Nhi</v>
      </c>
      <c r="L89" s="35" t="str">
        <f t="shared" si="93"/>
        <v>KCST -1C1</v>
      </c>
      <c r="M89" s="35" t="str">
        <f t="shared" si="116"/>
        <v>Hồng</v>
      </c>
      <c r="N89" s="35" t="str">
        <f t="shared" si="117"/>
        <v>GDTC -2A1</v>
      </c>
      <c r="O89" s="35" t="str">
        <f t="shared" si="94"/>
        <v>Xuân</v>
      </c>
      <c r="P89" s="35" t="str">
        <f t="shared" si="95"/>
        <v>TViệt -2C1</v>
      </c>
      <c r="Q89" s="35" t="str">
        <f t="shared" si="96"/>
        <v>Ngọc</v>
      </c>
      <c r="R89" s="35" t="str">
        <f t="shared" si="97"/>
        <v>TViệt -3A1</v>
      </c>
      <c r="S89" s="35" t="str">
        <f t="shared" si="98"/>
        <v>Nguyên</v>
      </c>
      <c r="T89" s="35" t="str">
        <f t="shared" si="99"/>
        <v>Tin -3C1</v>
      </c>
      <c r="U89" s="35"/>
      <c r="V89" s="35"/>
      <c r="W89" s="35"/>
      <c r="X89" s="35"/>
      <c r="Y89" s="35"/>
      <c r="Z89" s="35" t="str">
        <f t="shared" si="100"/>
        <v>Phương Anh</v>
      </c>
      <c r="AA89" s="35" t="str">
        <f t="shared" si="101"/>
        <v>Toán -4C1</v>
      </c>
      <c r="AB89" s="35" t="str">
        <f t="shared" si="102"/>
        <v>Chi</v>
      </c>
      <c r="AC89" s="35" t="str">
        <f t="shared" si="103"/>
        <v>Toán -5C1</v>
      </c>
      <c r="AD89" s="35" t="str">
        <f t="shared" si="118"/>
        <v>Hà</v>
      </c>
      <c r="AE89" s="35" t="str">
        <f t="shared" si="119"/>
        <v>Văn -6A1</v>
      </c>
      <c r="AF89" s="35" t="str">
        <f t="shared" si="104"/>
        <v>Ánh NV</v>
      </c>
      <c r="AG89" s="35" t="str">
        <f t="shared" si="105"/>
        <v>Văn -7A1</v>
      </c>
      <c r="AH89" s="35" t="str">
        <f t="shared" si="106"/>
        <v>Tay, Quỳnh</v>
      </c>
      <c r="AI89" s="35" t="str">
        <f t="shared" si="107"/>
        <v>GVNN -8A1</v>
      </c>
      <c r="AJ89" s="35" t="str">
        <f t="shared" si="108"/>
        <v>Hiền</v>
      </c>
      <c r="AK89" s="35" t="str">
        <f t="shared" si="109"/>
        <v>Cảm xúc xã hội -TTH1</v>
      </c>
      <c r="AL89" s="35" t="str">
        <f t="shared" si="110"/>
        <v>Phương</v>
      </c>
      <c r="AM89" s="35" t="str">
        <f t="shared" si="111"/>
        <v>Mĩ thuật -TTH2</v>
      </c>
    </row>
    <row r="90" spans="1:39" ht="15.95" customHeight="1" x14ac:dyDescent="0.25">
      <c r="A90" s="29" t="str">
        <f t="shared" si="112"/>
        <v>4Sáng5</v>
      </c>
      <c r="B90" s="29" t="str">
        <f t="shared" si="113"/>
        <v>4Sáng5</v>
      </c>
      <c r="C90" s="29" t="str">
        <f t="shared" si="114"/>
        <v/>
      </c>
      <c r="D90" s="29" t="str">
        <f t="shared" si="115"/>
        <v/>
      </c>
      <c r="E90" s="29" t="s">
        <v>6</v>
      </c>
      <c r="F90" s="29">
        <v>4</v>
      </c>
      <c r="G90" s="29" t="s">
        <v>3</v>
      </c>
      <c r="H90" s="29">
        <v>5</v>
      </c>
      <c r="I90" s="35" t="str">
        <f t="shared" si="90"/>
        <v/>
      </c>
      <c r="J90" s="35" t="str">
        <f t="shared" si="91"/>
        <v/>
      </c>
      <c r="K90" s="35" t="str">
        <f t="shared" si="92"/>
        <v/>
      </c>
      <c r="L90" s="35" t="str">
        <f t="shared" si="93"/>
        <v/>
      </c>
      <c r="M90" s="35" t="str">
        <f t="shared" si="116"/>
        <v/>
      </c>
      <c r="N90" s="35" t="str">
        <f t="shared" si="117"/>
        <v/>
      </c>
      <c r="O90" s="35" t="str">
        <f t="shared" si="94"/>
        <v/>
      </c>
      <c r="P90" s="35" t="str">
        <f t="shared" si="95"/>
        <v/>
      </c>
      <c r="Q90" s="35" t="str">
        <f t="shared" si="96"/>
        <v/>
      </c>
      <c r="R90" s="35" t="str">
        <f t="shared" si="97"/>
        <v/>
      </c>
      <c r="S90" s="35" t="str">
        <f t="shared" si="98"/>
        <v/>
      </c>
      <c r="T90" s="35" t="str">
        <f t="shared" si="99"/>
        <v/>
      </c>
      <c r="U90" s="35"/>
      <c r="V90" s="35"/>
      <c r="W90" s="35"/>
      <c r="X90" s="35"/>
      <c r="Y90" s="35"/>
      <c r="Z90" s="35" t="str">
        <f t="shared" si="100"/>
        <v/>
      </c>
      <c r="AA90" s="35" t="str">
        <f t="shared" si="101"/>
        <v/>
      </c>
      <c r="AB90" s="35" t="str">
        <f t="shared" si="102"/>
        <v/>
      </c>
      <c r="AC90" s="35" t="str">
        <f t="shared" si="103"/>
        <v/>
      </c>
      <c r="AD90" s="35" t="str">
        <f t="shared" si="118"/>
        <v>Phương</v>
      </c>
      <c r="AE90" s="35" t="str">
        <f t="shared" si="119"/>
        <v>Mĩ thuật -6A1</v>
      </c>
      <c r="AF90" s="35" t="str">
        <f t="shared" si="104"/>
        <v>Tay, Chánh</v>
      </c>
      <c r="AG90" s="35" t="str">
        <f t="shared" si="105"/>
        <v>GVNN -7A1</v>
      </c>
      <c r="AH90" s="35" t="str">
        <f t="shared" si="106"/>
        <v>Ánh NV</v>
      </c>
      <c r="AI90" s="35" t="str">
        <f t="shared" si="107"/>
        <v>Đọc sách -8A1</v>
      </c>
      <c r="AJ90" s="35" t="str">
        <f t="shared" si="108"/>
        <v/>
      </c>
      <c r="AK90" s="35" t="str">
        <f t="shared" si="109"/>
        <v/>
      </c>
      <c r="AL90" s="35" t="str">
        <f t="shared" si="110"/>
        <v/>
      </c>
      <c r="AM90" s="35" t="str">
        <f t="shared" si="111"/>
        <v/>
      </c>
    </row>
    <row r="91" spans="1:39" x14ac:dyDescent="0.25">
      <c r="A91" s="29" t="str">
        <f t="shared" si="112"/>
        <v>4Chiều1</v>
      </c>
      <c r="B91" s="29" t="str">
        <f t="shared" si="113"/>
        <v>4Chiều1Ngọc Ánh</v>
      </c>
      <c r="C91" s="29" t="str">
        <f t="shared" si="114"/>
        <v/>
      </c>
      <c r="D91" s="29" t="str">
        <f t="shared" si="115"/>
        <v/>
      </c>
      <c r="E91" s="29" t="s">
        <v>6</v>
      </c>
      <c r="F91" s="29">
        <v>4</v>
      </c>
      <c r="G91" s="29" t="s">
        <v>4</v>
      </c>
      <c r="H91" s="29">
        <v>1</v>
      </c>
      <c r="I91" s="35" t="str">
        <f t="shared" si="90"/>
        <v>Ngọc Ánh</v>
      </c>
      <c r="J91" s="35" t="str">
        <f t="shared" si="91"/>
        <v>TNXH -1A1</v>
      </c>
      <c r="K91" s="35" t="str">
        <f t="shared" si="92"/>
        <v>Trà</v>
      </c>
      <c r="L91" s="35" t="str">
        <f t="shared" si="93"/>
        <v>Science -1C1</v>
      </c>
      <c r="M91" s="35" t="str">
        <f t="shared" si="116"/>
        <v>Aziz, Trang</v>
      </c>
      <c r="N91" s="35" t="str">
        <f t="shared" si="117"/>
        <v>GVNN -2A1</v>
      </c>
      <c r="O91" s="35" t="str">
        <f t="shared" si="94"/>
        <v>Chi</v>
      </c>
      <c r="P91" s="35" t="str">
        <f t="shared" si="95"/>
        <v>Toán -2C1</v>
      </c>
      <c r="Q91" s="35" t="str">
        <f t="shared" si="96"/>
        <v>Thanh</v>
      </c>
      <c r="R91" s="35" t="str">
        <f t="shared" si="97"/>
        <v>Tiếng Trung -3A1</v>
      </c>
      <c r="S91" s="35" t="str">
        <f t="shared" si="98"/>
        <v>Phương</v>
      </c>
      <c r="T91" s="35" t="str">
        <f t="shared" si="99"/>
        <v>Mĩ thuật -3C1</v>
      </c>
      <c r="U91" s="35"/>
      <c r="V91" s="35"/>
      <c r="W91" s="35"/>
      <c r="X91" s="35"/>
      <c r="Y91" s="35"/>
      <c r="Z91" s="35" t="str">
        <f t="shared" si="100"/>
        <v>Phương Anh</v>
      </c>
      <c r="AA91" s="35" t="str">
        <f t="shared" si="101"/>
        <v>Toán -4C1</v>
      </c>
      <c r="AB91" s="35" t="str">
        <f t="shared" si="102"/>
        <v>Tay, Bích</v>
      </c>
      <c r="AC91" s="35" t="str">
        <f t="shared" si="103"/>
        <v>GVNN -5C1</v>
      </c>
      <c r="AD91" s="35" t="str">
        <f t="shared" si="118"/>
        <v>Tay, Chánh</v>
      </c>
      <c r="AE91" s="35" t="str">
        <f t="shared" si="119"/>
        <v>GVNN -6A1</v>
      </c>
      <c r="AF91" s="35" t="str">
        <f t="shared" si="104"/>
        <v>Tân</v>
      </c>
      <c r="AG91" s="35" t="str">
        <f t="shared" si="105"/>
        <v>Toán -7A1</v>
      </c>
      <c r="AH91" s="35" t="str">
        <f t="shared" si="106"/>
        <v>Ánh NV</v>
      </c>
      <c r="AI91" s="35" t="str">
        <f t="shared" si="107"/>
        <v>Văn -8A1</v>
      </c>
      <c r="AJ91" s="35" t="str">
        <f t="shared" si="108"/>
        <v>Hiền</v>
      </c>
      <c r="AK91" s="35" t="str">
        <f t="shared" si="109"/>
        <v>HĐ tự chọn -TTH1</v>
      </c>
      <c r="AL91" s="35" t="str">
        <f t="shared" si="110"/>
        <v>MN1</v>
      </c>
      <c r="AM91" s="35" t="str">
        <f t="shared" si="111"/>
        <v>HĐ tự chọn -TTH2</v>
      </c>
    </row>
    <row r="92" spans="1:39" x14ac:dyDescent="0.25">
      <c r="A92" s="29" t="str">
        <f t="shared" si="112"/>
        <v>4Chiều2Aziz</v>
      </c>
      <c r="B92" s="29" t="str">
        <f t="shared" si="113"/>
        <v>4Chiều2Trang</v>
      </c>
      <c r="C92" s="29" t="str">
        <f t="shared" si="114"/>
        <v>Aziz</v>
      </c>
      <c r="D92" s="29" t="str">
        <f t="shared" si="115"/>
        <v>Trang</v>
      </c>
      <c r="E92" s="29" t="s">
        <v>6</v>
      </c>
      <c r="F92" s="29">
        <v>4</v>
      </c>
      <c r="G92" s="29" t="s">
        <v>4</v>
      </c>
      <c r="H92" s="29">
        <v>2</v>
      </c>
      <c r="I92" s="35" t="str">
        <f t="shared" si="90"/>
        <v>Aziz, Trang</v>
      </c>
      <c r="J92" s="35" t="str">
        <f t="shared" si="91"/>
        <v>GVNN -1A1</v>
      </c>
      <c r="K92" s="35" t="str">
        <f t="shared" si="92"/>
        <v>Thanh</v>
      </c>
      <c r="L92" s="35" t="str">
        <f t="shared" si="93"/>
        <v>Tiếng Trung -1C1</v>
      </c>
      <c r="M92" s="35" t="str">
        <f t="shared" si="116"/>
        <v>Linh TH</v>
      </c>
      <c r="N92" s="35" t="str">
        <f t="shared" si="117"/>
        <v>TViệt -2A1</v>
      </c>
      <c r="O92" s="35" t="str">
        <f t="shared" si="94"/>
        <v>Trà</v>
      </c>
      <c r="P92" s="35" t="str">
        <f t="shared" si="95"/>
        <v>GVVN -2C1</v>
      </c>
      <c r="Q92" s="35" t="str">
        <f t="shared" si="96"/>
        <v>Nhi</v>
      </c>
      <c r="R92" s="35" t="str">
        <f t="shared" si="97"/>
        <v>TNXH -3A1</v>
      </c>
      <c r="S92" s="35" t="str">
        <f t="shared" si="98"/>
        <v>Ly</v>
      </c>
      <c r="T92" s="35" t="str">
        <f t="shared" si="99"/>
        <v>TViệt -3C1</v>
      </c>
      <c r="U92" s="35"/>
      <c r="V92" s="35"/>
      <c r="W92" s="35"/>
      <c r="X92" s="35"/>
      <c r="Y92" s="35"/>
      <c r="Z92" s="35" t="str">
        <f t="shared" si="100"/>
        <v>Quỳnh</v>
      </c>
      <c r="AA92" s="35" t="str">
        <f t="shared" si="101"/>
        <v>Science -4C1</v>
      </c>
      <c r="AB92" s="35" t="str">
        <f t="shared" si="102"/>
        <v>Chi</v>
      </c>
      <c r="AC92" s="35" t="str">
        <f t="shared" si="103"/>
        <v>Toán -5C1</v>
      </c>
      <c r="AD92" s="35" t="str">
        <f t="shared" si="118"/>
        <v>Chánh</v>
      </c>
      <c r="AE92" s="35" t="str">
        <f t="shared" si="119"/>
        <v>GVVN -6A1</v>
      </c>
      <c r="AF92" s="35" t="str">
        <f t="shared" si="104"/>
        <v>Hà</v>
      </c>
      <c r="AG92" s="35" t="str">
        <f t="shared" si="105"/>
        <v>LS&amp;ĐL -7A1</v>
      </c>
      <c r="AH92" s="35" t="str">
        <f t="shared" si="106"/>
        <v>Phương</v>
      </c>
      <c r="AI92" s="35" t="str">
        <f t="shared" si="107"/>
        <v>Mĩ thuật -8A1</v>
      </c>
      <c r="AJ92" s="35" t="str">
        <f t="shared" si="108"/>
        <v>Huyền</v>
      </c>
      <c r="AK92" s="35" t="str">
        <f t="shared" si="109"/>
        <v>GVVN -TTH1</v>
      </c>
      <c r="AL92" s="35" t="str">
        <f t="shared" si="110"/>
        <v>MN1</v>
      </c>
      <c r="AM92" s="35" t="str">
        <f t="shared" si="111"/>
        <v>Toán -TTH2</v>
      </c>
    </row>
    <row r="93" spans="1:39" x14ac:dyDescent="0.25">
      <c r="A93" s="29" t="str">
        <f t="shared" si="112"/>
        <v>4Chiều3</v>
      </c>
      <c r="B93" s="29" t="str">
        <f t="shared" si="113"/>
        <v>4Chiều3Thanh</v>
      </c>
      <c r="C93" s="29" t="str">
        <f t="shared" si="114"/>
        <v/>
      </c>
      <c r="D93" s="29" t="str">
        <f t="shared" si="115"/>
        <v/>
      </c>
      <c r="E93" s="29" t="s">
        <v>6</v>
      </c>
      <c r="F93" s="29">
        <v>4</v>
      </c>
      <c r="G93" s="29" t="s">
        <v>4</v>
      </c>
      <c r="H93" s="29">
        <v>3</v>
      </c>
      <c r="I93" s="35" t="str">
        <f t="shared" si="90"/>
        <v>Thanh</v>
      </c>
      <c r="J93" s="35" t="str">
        <f t="shared" si="91"/>
        <v>Tiếng Trung -1A1</v>
      </c>
      <c r="K93" s="35" t="str">
        <f t="shared" si="92"/>
        <v>Tay, Huyền</v>
      </c>
      <c r="L93" s="35" t="str">
        <f t="shared" si="93"/>
        <v>GVNN -1C1</v>
      </c>
      <c r="M93" s="35" t="str">
        <f t="shared" si="116"/>
        <v>Linh TH</v>
      </c>
      <c r="N93" s="35" t="str">
        <f t="shared" si="117"/>
        <v>TViệt -2A1</v>
      </c>
      <c r="O93" s="35" t="str">
        <f t="shared" si="94"/>
        <v>Hồng</v>
      </c>
      <c r="P93" s="35" t="str">
        <f t="shared" si="95"/>
        <v>GDTC -2C1</v>
      </c>
      <c r="Q93" s="35" t="str">
        <f t="shared" si="96"/>
        <v>Aziz, Trà</v>
      </c>
      <c r="R93" s="35" t="str">
        <f t="shared" si="97"/>
        <v>GVNN -3A1</v>
      </c>
      <c r="S93" s="35" t="str">
        <f t="shared" si="98"/>
        <v>Bích</v>
      </c>
      <c r="T93" s="35" t="str">
        <f t="shared" si="99"/>
        <v>GVVN -3C1</v>
      </c>
      <c r="U93" s="35"/>
      <c r="V93" s="35"/>
      <c r="W93" s="35"/>
      <c r="X93" s="35"/>
      <c r="Y93" s="35"/>
      <c r="Z93" s="35" t="str">
        <f t="shared" si="100"/>
        <v>Nguyên</v>
      </c>
      <c r="AA93" s="35" t="str">
        <f t="shared" si="101"/>
        <v>Tin -4C1</v>
      </c>
      <c r="AB93" s="35" t="str">
        <f t="shared" si="102"/>
        <v>Phương</v>
      </c>
      <c r="AC93" s="35" t="str">
        <f t="shared" si="103"/>
        <v>Mĩ thuật -5C1</v>
      </c>
      <c r="AD93" s="35" t="str">
        <f t="shared" si="118"/>
        <v>Tay, Chánh</v>
      </c>
      <c r="AE93" s="35" t="str">
        <f t="shared" si="119"/>
        <v>GVNN -6A1</v>
      </c>
      <c r="AF93" s="35" t="str">
        <f t="shared" si="104"/>
        <v>Tay, Chánh</v>
      </c>
      <c r="AG93" s="35" t="str">
        <f t="shared" si="105"/>
        <v>GVNN -7A1</v>
      </c>
      <c r="AH93" s="35" t="str">
        <f t="shared" si="106"/>
        <v>Quỳnh</v>
      </c>
      <c r="AI93" s="35" t="str">
        <f t="shared" si="107"/>
        <v>GVVN -8A1</v>
      </c>
      <c r="AJ93" s="35" t="str">
        <f t="shared" si="108"/>
        <v>Hiền</v>
      </c>
      <c r="AK93" s="35" t="str">
        <f t="shared" si="109"/>
        <v>Toán -TTH1</v>
      </c>
      <c r="AL93" s="35" t="str">
        <f t="shared" si="110"/>
        <v>Trang</v>
      </c>
      <c r="AM93" s="35" t="str">
        <f t="shared" si="111"/>
        <v>GVVN -TTH2</v>
      </c>
    </row>
    <row r="94" spans="1:39" x14ac:dyDescent="0.25">
      <c r="A94" s="29" t="str">
        <f t="shared" si="112"/>
        <v>4Chiều4</v>
      </c>
      <c r="B94" s="29" t="str">
        <f t="shared" si="113"/>
        <v>4Chiều4Phương</v>
      </c>
      <c r="C94" s="29" t="str">
        <f t="shared" si="114"/>
        <v/>
      </c>
      <c r="D94" s="29" t="str">
        <f t="shared" si="115"/>
        <v/>
      </c>
      <c r="E94" s="29" t="s">
        <v>6</v>
      </c>
      <c r="F94" s="29">
        <v>4</v>
      </c>
      <c r="G94" s="29" t="s">
        <v>4</v>
      </c>
      <c r="H94" s="29">
        <v>4</v>
      </c>
      <c r="I94" s="35" t="str">
        <f t="shared" si="90"/>
        <v>Phương</v>
      </c>
      <c r="J94" s="35" t="str">
        <f t="shared" si="91"/>
        <v>Mĩ thuật -1A1</v>
      </c>
      <c r="K94" s="35" t="str">
        <f t="shared" si="92"/>
        <v>Phương Anh</v>
      </c>
      <c r="L94" s="35" t="str">
        <f t="shared" si="93"/>
        <v>Toán -1C1</v>
      </c>
      <c r="M94" s="35" t="str">
        <f t="shared" si="116"/>
        <v>Nguyên</v>
      </c>
      <c r="N94" s="35" t="str">
        <f t="shared" si="117"/>
        <v>Robotics -2A1</v>
      </c>
      <c r="O94" s="35" t="str">
        <f t="shared" si="94"/>
        <v>Hồng</v>
      </c>
      <c r="P94" s="35" t="str">
        <f t="shared" si="95"/>
        <v>GDTC -2C1</v>
      </c>
      <c r="Q94" s="35" t="str">
        <f t="shared" si="96"/>
        <v>Ngọc</v>
      </c>
      <c r="R94" s="35" t="str">
        <f t="shared" si="97"/>
        <v>Toán -3A1</v>
      </c>
      <c r="S94" s="35" t="str">
        <f t="shared" si="98"/>
        <v>Nhi</v>
      </c>
      <c r="T94" s="35" t="str">
        <f t="shared" si="99"/>
        <v>TNXH -3C1</v>
      </c>
      <c r="U94" s="35"/>
      <c r="V94" s="35"/>
      <c r="W94" s="35"/>
      <c r="X94" s="35"/>
      <c r="Y94" s="35"/>
      <c r="Z94" s="35" t="str">
        <f t="shared" si="100"/>
        <v>Tay, Quỳnh</v>
      </c>
      <c r="AA94" s="35" t="str">
        <f t="shared" si="101"/>
        <v>GVNN -4C1</v>
      </c>
      <c r="AB94" s="35" t="str">
        <f t="shared" si="102"/>
        <v>Thanh</v>
      </c>
      <c r="AC94" s="35" t="str">
        <f t="shared" si="103"/>
        <v>Tiếng Trung -5C1</v>
      </c>
      <c r="AD94" s="35" t="str">
        <f t="shared" si="118"/>
        <v>Hà</v>
      </c>
      <c r="AE94" s="35" t="str">
        <f t="shared" si="119"/>
        <v>LS&amp;ĐL -6A1</v>
      </c>
      <c r="AF94" s="35" t="str">
        <f t="shared" si="104"/>
        <v>Ánh NV</v>
      </c>
      <c r="AG94" s="35" t="str">
        <f t="shared" si="105"/>
        <v>Đọc sách -7A1</v>
      </c>
      <c r="AH94" s="35" t="str">
        <f t="shared" si="106"/>
        <v>Hà</v>
      </c>
      <c r="AI94" s="35" t="str">
        <f t="shared" si="107"/>
        <v>LS&amp;ĐL -8A1</v>
      </c>
      <c r="AJ94" s="35" t="str">
        <f t="shared" si="108"/>
        <v>Hiền</v>
      </c>
      <c r="AK94" s="35" t="str">
        <f t="shared" si="109"/>
        <v>VĐ Ngoài trời -TTH1</v>
      </c>
      <c r="AL94" s="35" t="str">
        <f t="shared" si="110"/>
        <v>MN1</v>
      </c>
      <c r="AM94" s="35" t="str">
        <f t="shared" si="111"/>
        <v>VĐ Ngoài trời -TTH2</v>
      </c>
    </row>
    <row r="95" spans="1:39" x14ac:dyDescent="0.25">
      <c r="A95" s="29" t="str">
        <f t="shared" si="112"/>
        <v>4Chiều5</v>
      </c>
      <c r="B95" s="29" t="str">
        <f t="shared" si="113"/>
        <v>4Chiều5</v>
      </c>
      <c r="C95" s="29" t="str">
        <f t="shared" si="114"/>
        <v/>
      </c>
      <c r="D95" s="29" t="str">
        <f t="shared" si="115"/>
        <v/>
      </c>
      <c r="E95" s="29" t="s">
        <v>6</v>
      </c>
      <c r="F95" s="29">
        <v>4</v>
      </c>
      <c r="G95" s="29" t="s">
        <v>4</v>
      </c>
      <c r="H95" s="29">
        <v>5</v>
      </c>
      <c r="I95" s="35" t="str">
        <f t="shared" si="90"/>
        <v/>
      </c>
      <c r="J95" s="35" t="str">
        <f t="shared" si="91"/>
        <v/>
      </c>
      <c r="K95" s="35" t="str">
        <f t="shared" si="92"/>
        <v/>
      </c>
      <c r="L95" s="35" t="str">
        <f t="shared" si="93"/>
        <v/>
      </c>
      <c r="M95" s="35" t="str">
        <f t="shared" si="116"/>
        <v/>
      </c>
      <c r="N95" s="35" t="str">
        <f t="shared" si="117"/>
        <v/>
      </c>
      <c r="O95" s="35" t="str">
        <f t="shared" si="94"/>
        <v/>
      </c>
      <c r="P95" s="35" t="str">
        <f t="shared" si="95"/>
        <v/>
      </c>
      <c r="Q95" s="35" t="str">
        <f t="shared" si="96"/>
        <v/>
      </c>
      <c r="R95" s="35" t="str">
        <f t="shared" si="97"/>
        <v/>
      </c>
      <c r="S95" s="35" t="str">
        <f t="shared" si="98"/>
        <v/>
      </c>
      <c r="T95" s="35" t="str">
        <f t="shared" si="99"/>
        <v/>
      </c>
      <c r="U95" s="35"/>
      <c r="V95" s="35"/>
      <c r="W95" s="35"/>
      <c r="X95" s="35"/>
      <c r="Y95" s="35"/>
      <c r="Z95" s="35" t="str">
        <f t="shared" si="100"/>
        <v/>
      </c>
      <c r="AA95" s="35" t="str">
        <f t="shared" si="101"/>
        <v/>
      </c>
      <c r="AB95" s="35" t="str">
        <f t="shared" si="102"/>
        <v/>
      </c>
      <c r="AC95" s="35" t="str">
        <f t="shared" si="103"/>
        <v/>
      </c>
      <c r="AD95" s="35" t="str">
        <f t="shared" si="118"/>
        <v/>
      </c>
      <c r="AE95" s="35" t="str">
        <f t="shared" si="119"/>
        <v/>
      </c>
      <c r="AF95" s="35" t="str">
        <f t="shared" si="104"/>
        <v/>
      </c>
      <c r="AG95" s="35" t="str">
        <f t="shared" si="105"/>
        <v/>
      </c>
      <c r="AH95" s="35" t="str">
        <f t="shared" si="106"/>
        <v/>
      </c>
      <c r="AI95" s="35" t="str">
        <f t="shared" si="107"/>
        <v/>
      </c>
      <c r="AJ95" s="35" t="str">
        <f t="shared" si="108"/>
        <v/>
      </c>
      <c r="AK95" s="35" t="str">
        <f t="shared" si="109"/>
        <v/>
      </c>
      <c r="AL95" s="35" t="str">
        <f t="shared" si="110"/>
        <v/>
      </c>
      <c r="AM95" s="35" t="str">
        <f t="shared" si="111"/>
        <v/>
      </c>
    </row>
    <row r="96" spans="1:39" ht="15.95" customHeight="1" x14ac:dyDescent="0.25">
      <c r="A96" s="29" t="str">
        <f t="shared" si="112"/>
        <v>5Sáng1Aziz</v>
      </c>
      <c r="B96" s="29" t="str">
        <f t="shared" si="113"/>
        <v>5Sáng1Trang</v>
      </c>
      <c r="C96" s="29" t="str">
        <f t="shared" si="114"/>
        <v>Aziz</v>
      </c>
      <c r="D96" s="29" t="str">
        <f t="shared" si="115"/>
        <v>Trang</v>
      </c>
      <c r="E96" s="29" t="s">
        <v>6</v>
      </c>
      <c r="F96" s="29">
        <v>5</v>
      </c>
      <c r="G96" s="29" t="s">
        <v>3</v>
      </c>
      <c r="H96" s="29">
        <v>1</v>
      </c>
      <c r="I96" s="35" t="str">
        <f t="shared" si="90"/>
        <v>Aziz, Trang</v>
      </c>
      <c r="J96" s="35" t="str">
        <f t="shared" si="91"/>
        <v>GVNN -1A1</v>
      </c>
      <c r="K96" s="35" t="str">
        <f t="shared" si="92"/>
        <v>Huyền</v>
      </c>
      <c r="L96" s="35" t="str">
        <f t="shared" si="93"/>
        <v>GVVN -1C1</v>
      </c>
      <c r="M96" s="35" t="str">
        <f t="shared" si="116"/>
        <v>Trang ÂN</v>
      </c>
      <c r="N96" s="35" t="str">
        <f t="shared" si="117"/>
        <v>Nhạc -2A1</v>
      </c>
      <c r="O96" s="35" t="str">
        <f t="shared" si="94"/>
        <v>Trà</v>
      </c>
      <c r="P96" s="35" t="str">
        <f t="shared" si="95"/>
        <v>GVVN -2C1</v>
      </c>
      <c r="Q96" s="35" t="str">
        <f t="shared" si="96"/>
        <v>Ngọc</v>
      </c>
      <c r="R96" s="35" t="str">
        <f t="shared" si="97"/>
        <v>Toán -3A1</v>
      </c>
      <c r="S96" s="35" t="str">
        <f t="shared" si="98"/>
        <v>Tay, Bích</v>
      </c>
      <c r="T96" s="35" t="str">
        <f t="shared" si="99"/>
        <v>GVNN -3C1</v>
      </c>
      <c r="U96" s="35"/>
      <c r="V96" s="35"/>
      <c r="W96" s="35"/>
      <c r="X96" s="35"/>
      <c r="Y96" s="35"/>
      <c r="Z96" s="35" t="str">
        <f t="shared" si="100"/>
        <v>Phương Anh</v>
      </c>
      <c r="AA96" s="35" t="str">
        <f t="shared" si="101"/>
        <v>Toán -4C1</v>
      </c>
      <c r="AB96" s="35" t="str">
        <f t="shared" si="102"/>
        <v>Hồng</v>
      </c>
      <c r="AC96" s="35" t="str">
        <f t="shared" si="103"/>
        <v>GDTC -5C1</v>
      </c>
      <c r="AD96" s="35" t="str">
        <f t="shared" si="118"/>
        <v>Nhung</v>
      </c>
      <c r="AE96" s="35" t="str">
        <f t="shared" si="119"/>
        <v>KHTN -6A1</v>
      </c>
      <c r="AF96" s="35" t="str">
        <f t="shared" si="104"/>
        <v>Tay, Chánh</v>
      </c>
      <c r="AG96" s="35" t="str">
        <f t="shared" si="105"/>
        <v>GVNN -7A1</v>
      </c>
      <c r="AH96" s="35" t="str">
        <f t="shared" si="106"/>
        <v>Quỳnh</v>
      </c>
      <c r="AI96" s="35" t="str">
        <f t="shared" si="107"/>
        <v>GVVN -8A1</v>
      </c>
      <c r="AJ96" s="35" t="str">
        <f t="shared" si="108"/>
        <v>Hiền</v>
      </c>
      <c r="AK96" s="35" t="str">
        <f t="shared" si="109"/>
        <v>TViệt -TTH1</v>
      </c>
      <c r="AL96" s="35" t="str">
        <f t="shared" si="110"/>
        <v>MN1</v>
      </c>
      <c r="AM96" s="35" t="str">
        <f t="shared" si="111"/>
        <v>TViệt -TTH2</v>
      </c>
    </row>
    <row r="97" spans="1:39" ht="15.95" customHeight="1" x14ac:dyDescent="0.25">
      <c r="A97" s="29" t="str">
        <f t="shared" si="112"/>
        <v>5Sáng2</v>
      </c>
      <c r="B97" s="29" t="str">
        <f t="shared" si="113"/>
        <v>5Sáng2Nguyên</v>
      </c>
      <c r="C97" s="29" t="str">
        <f t="shared" si="114"/>
        <v/>
      </c>
      <c r="D97" s="29" t="str">
        <f t="shared" si="115"/>
        <v/>
      </c>
      <c r="E97" s="29" t="s">
        <v>6</v>
      </c>
      <c r="F97" s="29">
        <v>5</v>
      </c>
      <c r="G97" s="29" t="s">
        <v>3</v>
      </c>
      <c r="H97" s="29">
        <v>2</v>
      </c>
      <c r="I97" s="35" t="str">
        <f t="shared" si="90"/>
        <v>Nguyên</v>
      </c>
      <c r="J97" s="35" t="str">
        <f t="shared" si="91"/>
        <v>Robotics -1A1</v>
      </c>
      <c r="K97" s="35" t="str">
        <f t="shared" si="92"/>
        <v>Tay, Huyền</v>
      </c>
      <c r="L97" s="35" t="str">
        <f t="shared" si="93"/>
        <v>GVNN -1C1</v>
      </c>
      <c r="M97" s="35" t="str">
        <f t="shared" si="116"/>
        <v>Aziz, Trang</v>
      </c>
      <c r="N97" s="35" t="str">
        <f t="shared" si="117"/>
        <v>GVNN -2A1</v>
      </c>
      <c r="O97" s="35" t="str">
        <f t="shared" si="94"/>
        <v>Chi</v>
      </c>
      <c r="P97" s="35" t="str">
        <f t="shared" si="95"/>
        <v>Toán -2C1</v>
      </c>
      <c r="Q97" s="35" t="str">
        <f t="shared" si="96"/>
        <v>Ngọc</v>
      </c>
      <c r="R97" s="35" t="str">
        <f t="shared" si="97"/>
        <v>TViệt -3A1</v>
      </c>
      <c r="S97" s="35" t="str">
        <f t="shared" si="98"/>
        <v>Trang ÂN</v>
      </c>
      <c r="T97" s="35" t="str">
        <f t="shared" si="99"/>
        <v>Nhạc -3C1</v>
      </c>
      <c r="U97" s="35"/>
      <c r="V97" s="35"/>
      <c r="W97" s="35"/>
      <c r="X97" s="35"/>
      <c r="Y97" s="35"/>
      <c r="Z97" s="35" t="str">
        <f t="shared" si="100"/>
        <v>Quỳnh</v>
      </c>
      <c r="AA97" s="35" t="str">
        <f t="shared" si="101"/>
        <v>Science -4C1</v>
      </c>
      <c r="AB97" s="35" t="str">
        <f t="shared" si="102"/>
        <v>Hồng</v>
      </c>
      <c r="AC97" s="35" t="str">
        <f t="shared" si="103"/>
        <v>GDTC -5C1</v>
      </c>
      <c r="AD97" s="35" t="str">
        <f t="shared" si="118"/>
        <v>Nhung</v>
      </c>
      <c r="AE97" s="35" t="str">
        <f t="shared" si="119"/>
        <v>KHTN -6A1</v>
      </c>
      <c r="AF97" s="35" t="str">
        <f t="shared" si="104"/>
        <v>Tân</v>
      </c>
      <c r="AG97" s="35" t="str">
        <f t="shared" si="105"/>
        <v>Toán -7A1</v>
      </c>
      <c r="AH97" s="35" t="str">
        <f t="shared" si="106"/>
        <v>Hà</v>
      </c>
      <c r="AI97" s="35" t="str">
        <f t="shared" si="107"/>
        <v>LS&amp;ĐL -8A1</v>
      </c>
      <c r="AJ97" s="35" t="str">
        <f t="shared" si="108"/>
        <v>Hiền</v>
      </c>
      <c r="AK97" s="35" t="str">
        <f t="shared" si="109"/>
        <v>Vận động theo nhạc -TTH1</v>
      </c>
      <c r="AL97" s="35" t="str">
        <f t="shared" si="110"/>
        <v>MN1</v>
      </c>
      <c r="AM97" s="35" t="str">
        <f t="shared" si="111"/>
        <v>Cảm xúc xã hội -TTH2</v>
      </c>
    </row>
    <row r="98" spans="1:39" ht="15.95" customHeight="1" x14ac:dyDescent="0.25">
      <c r="A98" s="29" t="str">
        <f t="shared" si="112"/>
        <v>5Sáng3</v>
      </c>
      <c r="B98" s="29" t="str">
        <f t="shared" si="113"/>
        <v>5Sáng3Hồng</v>
      </c>
      <c r="C98" s="29" t="str">
        <f t="shared" si="114"/>
        <v/>
      </c>
      <c r="D98" s="29" t="str">
        <f t="shared" si="115"/>
        <v/>
      </c>
      <c r="E98" s="29" t="s">
        <v>6</v>
      </c>
      <c r="F98" s="29">
        <v>5</v>
      </c>
      <c r="G98" s="29" t="s">
        <v>3</v>
      </c>
      <c r="H98" s="29">
        <v>3</v>
      </c>
      <c r="I98" s="35" t="str">
        <f t="shared" ref="I98:I123" si="120">IF(H38=0,"",RIGHT(H38,LEN(H38)-FIND("-",H38)-1))</f>
        <v>Hồng</v>
      </c>
      <c r="J98" s="35" t="str">
        <f t="shared" ref="J98:J123" si="121">IF(H38=0,"",LEFT(H38,FIND("-",H38))&amp;$H$4)</f>
        <v>GDTC -1A1</v>
      </c>
      <c r="K98" s="35" t="str">
        <f t="shared" ref="K98:K114" si="122">IF(I38=0,"",RIGHT(I38,LEN(I38)-FIND("-",I38)-1))</f>
        <v>Phương Anh</v>
      </c>
      <c r="L98" s="35" t="str">
        <f t="shared" ref="L98:L117" si="123">IF(I38=0,"",LEFT(I38,FIND("-",I38))&amp;$I$4)</f>
        <v>Toán -1C1</v>
      </c>
      <c r="M98" s="35" t="str">
        <f t="shared" si="116"/>
        <v>Linh TH</v>
      </c>
      <c r="N98" s="35" t="str">
        <f t="shared" si="117"/>
        <v>TDNN -2A1</v>
      </c>
      <c r="O98" s="35" t="str">
        <f t="shared" ref="O98:O114" si="124">IF(K38=0,"",RIGHT(K38,LEN(K38)-FIND("-",K38)-1))</f>
        <v>Trang ÂN</v>
      </c>
      <c r="P98" s="35" t="str">
        <f t="shared" ref="P98:P120" si="125">IF(K38=0,"",LEFT(K38,FIND("-",K38))&amp;$K$4)</f>
        <v>Nhạc -2C1</v>
      </c>
      <c r="Q98" s="35" t="str">
        <f t="shared" ref="Q98:Q120" si="126">IF(L38=0,"",RIGHT(L38,LEN(L38)-FIND("-",L38)-1))</f>
        <v>Aziz, Trà</v>
      </c>
      <c r="R98" s="35" t="str">
        <f t="shared" ref="R98:R120" si="127">IF(L38=0,"",LEFT(L38,FIND("-",L38))&amp;$L$4)</f>
        <v>GVNN -3A1</v>
      </c>
      <c r="S98" s="35" t="str">
        <f t="shared" ref="S98:S120" si="128">IF(M38=0,"",RIGHT(M38,LEN(M38)-FIND("-",M38)-1))</f>
        <v>Chi</v>
      </c>
      <c r="T98" s="35" t="str">
        <f t="shared" ref="T98:T120" si="129">IF(M38=0,"",LEFT(M38,FIND("-",M38))&amp;$M$4)</f>
        <v>Toán -3C1</v>
      </c>
      <c r="U98" s="35"/>
      <c r="V98" s="35"/>
      <c r="W98" s="35"/>
      <c r="X98" s="35"/>
      <c r="Y98" s="35"/>
      <c r="Z98" s="35" t="str">
        <f t="shared" ref="Z98:Z120" si="130">IF(N38=0,"",RIGHT(N38,LEN(N38)-FIND("-",N38)-1))</f>
        <v>Ly</v>
      </c>
      <c r="AA98" s="35" t="str">
        <f t="shared" ref="AA98:AA120" si="131">IF(N38=0,"",LEFT(N38,FIND("-",N38))&amp;$N$4)</f>
        <v>TViệt -4C1</v>
      </c>
      <c r="AB98" s="35" t="str">
        <f t="shared" ref="AB98:AB120" si="132">IF(O38=0,"",RIGHT(O38,LEN(O38)-FIND("-",O38)-1))</f>
        <v>Bích</v>
      </c>
      <c r="AC98" s="35" t="str">
        <f t="shared" ref="AC98:AC120" si="133">IF(O38=0,"",LEFT(O38,FIND("-",O38))&amp;$O$4)</f>
        <v>GVVN -5C1</v>
      </c>
      <c r="AD98" s="35" t="e">
        <f t="shared" si="118"/>
        <v>#REF!</v>
      </c>
      <c r="AE98" s="35" t="e">
        <f t="shared" si="119"/>
        <v>#REF!</v>
      </c>
      <c r="AF98" s="35" t="str">
        <f t="shared" ref="AF98:AF120" si="134">IF(Q38=0,"",RIGHT(Q38,LEN(Q38)-FIND("-",Q38)-1))</f>
        <v>Nhung</v>
      </c>
      <c r="AG98" s="35" t="str">
        <f t="shared" ref="AG98:AG120" si="135">IF(Q38=0,"",LEFT(Q38,FIND("-",Q38))&amp;$Q$4)</f>
        <v>KHTN -7A1</v>
      </c>
      <c r="AH98" s="35" t="str">
        <f t="shared" ref="AH98:AH120" si="136">IF(R38=0,"",RIGHT(R38,LEN(R38)-FIND("-",R38)-1))</f>
        <v>Ánh NV</v>
      </c>
      <c r="AI98" s="35" t="str">
        <f t="shared" ref="AI98:AI120" si="137">IF(R38=0,"",LEFT(R38,FIND("-",R38))&amp;$R$4)</f>
        <v>Văn -8A1</v>
      </c>
      <c r="AJ98" s="35" t="str">
        <f t="shared" ref="AJ98:AJ120" si="138">IF(S38=0,"",RIGHT(S38,LEN(S38)-FIND("-",S38)-1))</f>
        <v>Hiền</v>
      </c>
      <c r="AK98" s="35" t="str">
        <f t="shared" ref="AK98:AK120" si="139">IF(S38=0,"",LEFT(S38,FIND("-",S38))&amp;$S$4)</f>
        <v>TViệt -TTH1</v>
      </c>
      <c r="AL98" s="35" t="str">
        <f t="shared" ref="AL98:AL120" si="140">IF(T38=0,"",RIGHT(T38,LEN(T38)-FIND("-",T38)-1))</f>
        <v>Trang</v>
      </c>
      <c r="AM98" s="35" t="str">
        <f t="shared" ref="AM98:AM123" si="141">IF(T38=0,"",LEFT(T38,FIND("-",T38))&amp;$T$4)</f>
        <v>GVVN -TTH2</v>
      </c>
    </row>
    <row r="99" spans="1:39" ht="15.95" customHeight="1" x14ac:dyDescent="0.25">
      <c r="A99" s="29" t="str">
        <f t="shared" si="112"/>
        <v>5Sáng4</v>
      </c>
      <c r="B99" s="29" t="str">
        <f t="shared" si="113"/>
        <v>5Sáng4Hồng</v>
      </c>
      <c r="C99" s="29" t="str">
        <f t="shared" si="114"/>
        <v/>
      </c>
      <c r="D99" s="29" t="str">
        <f t="shared" si="115"/>
        <v/>
      </c>
      <c r="E99" s="29" t="s">
        <v>6</v>
      </c>
      <c r="F99" s="29">
        <v>5</v>
      </c>
      <c r="G99" s="29" t="s">
        <v>3</v>
      </c>
      <c r="H99" s="29">
        <v>4</v>
      </c>
      <c r="I99" s="35" t="str">
        <f t="shared" si="120"/>
        <v>Hồng</v>
      </c>
      <c r="J99" s="35" t="str">
        <f t="shared" si="121"/>
        <v>GDTC -1A1</v>
      </c>
      <c r="K99" s="35" t="str">
        <f t="shared" si="122"/>
        <v>Nhi</v>
      </c>
      <c r="L99" s="35" t="str">
        <f t="shared" si="123"/>
        <v>TNXH -1C1</v>
      </c>
      <c r="M99" s="35" t="str">
        <f t="shared" si="116"/>
        <v>Aziz, Trang</v>
      </c>
      <c r="N99" s="35" t="str">
        <f t="shared" si="117"/>
        <v>GVNN -2A1</v>
      </c>
      <c r="O99" s="35" t="str">
        <f t="shared" si="124"/>
        <v>Nguyên</v>
      </c>
      <c r="P99" s="35" t="str">
        <f t="shared" si="125"/>
        <v>Robotics -2C1</v>
      </c>
      <c r="Q99" s="35" t="str">
        <f t="shared" si="126"/>
        <v>Xuân</v>
      </c>
      <c r="R99" s="35" t="str">
        <f t="shared" si="127"/>
        <v>Viết sáng tạo -3A1</v>
      </c>
      <c r="S99" s="35" t="str">
        <f t="shared" si="128"/>
        <v>Bích</v>
      </c>
      <c r="T99" s="35" t="str">
        <f t="shared" si="129"/>
        <v>GVVN -3C1</v>
      </c>
      <c r="U99" s="35"/>
      <c r="V99" s="35"/>
      <c r="W99" s="35"/>
      <c r="X99" s="35"/>
      <c r="Y99" s="35"/>
      <c r="Z99" s="35" t="str">
        <f t="shared" si="130"/>
        <v>Quỳnh</v>
      </c>
      <c r="AA99" s="35" t="str">
        <f t="shared" si="131"/>
        <v>GVVN -4C1</v>
      </c>
      <c r="AB99" s="35" t="str">
        <f t="shared" si="132"/>
        <v>Chi</v>
      </c>
      <c r="AC99" s="35" t="str">
        <f t="shared" si="133"/>
        <v>Toán -5C1</v>
      </c>
      <c r="AD99" s="35" t="e">
        <f t="shared" si="118"/>
        <v>#REF!</v>
      </c>
      <c r="AE99" s="35" t="e">
        <f t="shared" si="119"/>
        <v>#REF!</v>
      </c>
      <c r="AF99" s="35" t="str">
        <f t="shared" si="134"/>
        <v>Nhung</v>
      </c>
      <c r="AG99" s="35" t="str">
        <f t="shared" si="135"/>
        <v>KHTN -7A1</v>
      </c>
      <c r="AH99" s="35" t="str">
        <f t="shared" si="136"/>
        <v>Ánh NV</v>
      </c>
      <c r="AI99" s="35" t="str">
        <f t="shared" si="137"/>
        <v>Văn -8A1</v>
      </c>
      <c r="AJ99" s="35" t="str">
        <f t="shared" si="138"/>
        <v>Huyền</v>
      </c>
      <c r="AK99" s="35" t="str">
        <f t="shared" si="139"/>
        <v>GVVN -TTH1</v>
      </c>
      <c r="AL99" s="35" t="str">
        <f t="shared" si="140"/>
        <v>MN1</v>
      </c>
      <c r="AM99" s="35" t="str">
        <f t="shared" si="141"/>
        <v>KCST -TTH2</v>
      </c>
    </row>
    <row r="100" spans="1:39" ht="15.95" customHeight="1" x14ac:dyDescent="0.25">
      <c r="A100" s="29" t="str">
        <f t="shared" si="112"/>
        <v>5Sáng5</v>
      </c>
      <c r="B100" s="29" t="str">
        <f t="shared" si="113"/>
        <v>5Sáng5</v>
      </c>
      <c r="C100" s="29" t="str">
        <f t="shared" si="114"/>
        <v/>
      </c>
      <c r="D100" s="29" t="str">
        <f t="shared" si="115"/>
        <v/>
      </c>
      <c r="E100" s="29" t="s">
        <v>6</v>
      </c>
      <c r="F100" s="29">
        <v>5</v>
      </c>
      <c r="G100" s="29" t="s">
        <v>3</v>
      </c>
      <c r="H100" s="29">
        <v>5</v>
      </c>
      <c r="I100" s="35" t="str">
        <f t="shared" si="120"/>
        <v/>
      </c>
      <c r="J100" s="35" t="str">
        <f t="shared" si="121"/>
        <v/>
      </c>
      <c r="K100" s="35" t="str">
        <f t="shared" si="122"/>
        <v/>
      </c>
      <c r="L100" s="35" t="str">
        <f t="shared" si="123"/>
        <v/>
      </c>
      <c r="M100" s="35" t="str">
        <f t="shared" si="116"/>
        <v/>
      </c>
      <c r="N100" s="35" t="str">
        <f t="shared" si="117"/>
        <v/>
      </c>
      <c r="O100" s="35" t="str">
        <f t="shared" si="124"/>
        <v/>
      </c>
      <c r="P100" s="35" t="str">
        <f t="shared" si="125"/>
        <v/>
      </c>
      <c r="Q100" s="35" t="str">
        <f t="shared" si="126"/>
        <v/>
      </c>
      <c r="R100" s="35" t="str">
        <f t="shared" si="127"/>
        <v/>
      </c>
      <c r="S100" s="35" t="str">
        <f t="shared" si="128"/>
        <v/>
      </c>
      <c r="T100" s="35" t="str">
        <f t="shared" si="129"/>
        <v/>
      </c>
      <c r="U100" s="35"/>
      <c r="V100" s="35"/>
      <c r="W100" s="35"/>
      <c r="X100" s="35"/>
      <c r="Y100" s="35"/>
      <c r="Z100" s="35" t="str">
        <f t="shared" si="130"/>
        <v/>
      </c>
      <c r="AA100" s="35" t="str">
        <f t="shared" si="131"/>
        <v/>
      </c>
      <c r="AB100" s="35" t="str">
        <f t="shared" si="132"/>
        <v/>
      </c>
      <c r="AC100" s="35" t="str">
        <f t="shared" si="133"/>
        <v/>
      </c>
      <c r="AD100" s="35" t="str">
        <f t="shared" si="118"/>
        <v>Tân</v>
      </c>
      <c r="AE100" s="35" t="str">
        <f t="shared" si="119"/>
        <v>Toán -6A1</v>
      </c>
      <c r="AF100" s="35" t="str">
        <f t="shared" si="134"/>
        <v>Tay, Chánh</v>
      </c>
      <c r="AG100" s="35" t="str">
        <f t="shared" si="135"/>
        <v>GVNN -7A1</v>
      </c>
      <c r="AH100" s="35" t="str">
        <f t="shared" si="136"/>
        <v>Ánh NV</v>
      </c>
      <c r="AI100" s="35" t="str">
        <f t="shared" si="137"/>
        <v>GDĐP -8A1</v>
      </c>
      <c r="AJ100" s="35" t="str">
        <f t="shared" si="138"/>
        <v/>
      </c>
      <c r="AK100" s="35" t="str">
        <f t="shared" si="139"/>
        <v/>
      </c>
      <c r="AL100" s="35" t="str">
        <f t="shared" si="140"/>
        <v/>
      </c>
      <c r="AM100" s="35" t="str">
        <f t="shared" si="141"/>
        <v/>
      </c>
    </row>
    <row r="101" spans="1:39" x14ac:dyDescent="0.25">
      <c r="A101" s="29" t="str">
        <f t="shared" si="112"/>
        <v>5Chiều1Aziz</v>
      </c>
      <c r="B101" s="29" t="str">
        <f t="shared" si="113"/>
        <v>5Chiều1Trang</v>
      </c>
      <c r="C101" s="29" t="str">
        <f t="shared" si="114"/>
        <v>Aziz</v>
      </c>
      <c r="D101" s="29" t="str">
        <f t="shared" si="115"/>
        <v>Trang</v>
      </c>
      <c r="E101" s="29" t="s">
        <v>6</v>
      </c>
      <c r="F101" s="29">
        <v>5</v>
      </c>
      <c r="G101" s="29" t="s">
        <v>4</v>
      </c>
      <c r="H101" s="29">
        <v>1</v>
      </c>
      <c r="I101" s="35" t="str">
        <f t="shared" si="120"/>
        <v>Aziz, Trang</v>
      </c>
      <c r="J101" s="35" t="str">
        <f t="shared" si="121"/>
        <v>GVNN -1A1</v>
      </c>
      <c r="K101" s="35" t="str">
        <f t="shared" si="122"/>
        <v>Nhi</v>
      </c>
      <c r="L101" s="35" t="str">
        <f t="shared" si="123"/>
        <v>TViệt -1C1</v>
      </c>
      <c r="M101" s="35" t="str">
        <f t="shared" si="116"/>
        <v>Xuân</v>
      </c>
      <c r="N101" s="35" t="str">
        <f t="shared" si="117"/>
        <v>Viết sáng tạo -2A1</v>
      </c>
      <c r="O101" s="35" t="str">
        <f t="shared" si="124"/>
        <v>Chi</v>
      </c>
      <c r="P101" s="35" t="str">
        <f t="shared" si="125"/>
        <v>Toán -2C1</v>
      </c>
      <c r="Q101" s="35" t="str">
        <f t="shared" si="126"/>
        <v>Nguyên</v>
      </c>
      <c r="R101" s="35" t="str">
        <f t="shared" si="127"/>
        <v>Tin -3A1</v>
      </c>
      <c r="S101" s="35" t="str">
        <f t="shared" si="128"/>
        <v>Ly</v>
      </c>
      <c r="T101" s="35" t="str">
        <f t="shared" si="129"/>
        <v>TViệt -3C1</v>
      </c>
      <c r="U101" s="35"/>
      <c r="V101" s="35"/>
      <c r="W101" s="35"/>
      <c r="X101" s="35"/>
      <c r="Y101" s="35"/>
      <c r="Z101" s="35" t="str">
        <f t="shared" si="130"/>
        <v>Phương Anh</v>
      </c>
      <c r="AA101" s="35" t="str">
        <f t="shared" si="131"/>
        <v>Toán -4C1</v>
      </c>
      <c r="AB101" s="35" t="str">
        <f t="shared" si="132"/>
        <v>Tay, Bích</v>
      </c>
      <c r="AC101" s="35" t="str">
        <f t="shared" si="133"/>
        <v>GVNN -5C1</v>
      </c>
      <c r="AD101" s="35" t="str">
        <f t="shared" si="118"/>
        <v>Tân</v>
      </c>
      <c r="AE101" s="35" t="str">
        <f t="shared" si="119"/>
        <v>Toán -6A1</v>
      </c>
      <c r="AF101" s="35" t="str">
        <f t="shared" si="134"/>
        <v>Chánh</v>
      </c>
      <c r="AG101" s="35" t="str">
        <f t="shared" si="135"/>
        <v>GVVN -7A1</v>
      </c>
      <c r="AH101" s="35" t="str">
        <f t="shared" si="136"/>
        <v>Nhung</v>
      </c>
      <c r="AI101" s="35" t="str">
        <f t="shared" si="137"/>
        <v>KHTN -8A1</v>
      </c>
      <c r="AJ101" s="35" t="str">
        <f t="shared" si="138"/>
        <v>Hiền</v>
      </c>
      <c r="AK101" s="35" t="str">
        <f t="shared" si="139"/>
        <v>HĐ tự chọn -TTH1</v>
      </c>
      <c r="AL101" s="35" t="str">
        <f t="shared" si="140"/>
        <v>MN1</v>
      </c>
      <c r="AM101" s="35" t="str">
        <f t="shared" si="141"/>
        <v>HĐ tự chọn -TTH2</v>
      </c>
    </row>
    <row r="102" spans="1:39" x14ac:dyDescent="0.25">
      <c r="A102" s="29" t="str">
        <f t="shared" si="112"/>
        <v>5Chiều2</v>
      </c>
      <c r="B102" s="29" t="str">
        <f t="shared" si="113"/>
        <v>5Chiều2Ngọc Ánh</v>
      </c>
      <c r="C102" s="29" t="str">
        <f t="shared" si="114"/>
        <v/>
      </c>
      <c r="D102" s="29" t="str">
        <f t="shared" si="115"/>
        <v/>
      </c>
      <c r="E102" s="29" t="s">
        <v>6</v>
      </c>
      <c r="F102" s="29">
        <v>5</v>
      </c>
      <c r="G102" s="29" t="s">
        <v>4</v>
      </c>
      <c r="H102" s="29">
        <v>2</v>
      </c>
      <c r="I102" s="35" t="str">
        <f t="shared" si="120"/>
        <v>Ngọc Ánh</v>
      </c>
      <c r="J102" s="35" t="str">
        <f t="shared" si="121"/>
        <v>TViệt -1A1</v>
      </c>
      <c r="K102" s="35" t="str">
        <f t="shared" si="122"/>
        <v>Nhi</v>
      </c>
      <c r="L102" s="35" t="str">
        <f t="shared" si="123"/>
        <v>TViệt -1C1</v>
      </c>
      <c r="M102" s="35" t="str">
        <f t="shared" si="116"/>
        <v>Linh TH</v>
      </c>
      <c r="N102" s="35" t="str">
        <f t="shared" si="117"/>
        <v>Toán -2A1</v>
      </c>
      <c r="O102" s="35" t="str">
        <f t="shared" si="124"/>
        <v>Trà</v>
      </c>
      <c r="P102" s="35" t="str">
        <f t="shared" si="125"/>
        <v>GVVN -2C1</v>
      </c>
      <c r="Q102" s="35" t="str">
        <f t="shared" si="126"/>
        <v>Ngọc</v>
      </c>
      <c r="R102" s="35" t="str">
        <f t="shared" si="127"/>
        <v>Toán -3A1</v>
      </c>
      <c r="S102" s="35" t="str">
        <f t="shared" si="128"/>
        <v>Bích</v>
      </c>
      <c r="T102" s="35" t="str">
        <f t="shared" si="129"/>
        <v>GVVN -3C1</v>
      </c>
      <c r="U102" s="35"/>
      <c r="V102" s="35"/>
      <c r="W102" s="35"/>
      <c r="X102" s="35"/>
      <c r="Y102" s="35"/>
      <c r="Z102" s="35" t="str">
        <f t="shared" si="130"/>
        <v>Tay, Quỳnh</v>
      </c>
      <c r="AA102" s="35" t="str">
        <f t="shared" si="131"/>
        <v>GVNN -4C1</v>
      </c>
      <c r="AB102" s="35" t="str">
        <f t="shared" si="132"/>
        <v>Xuân</v>
      </c>
      <c r="AC102" s="35" t="str">
        <f t="shared" si="133"/>
        <v>Đạo đức -5C1</v>
      </c>
      <c r="AD102" s="35" t="str">
        <f t="shared" si="118"/>
        <v>Chánh</v>
      </c>
      <c r="AE102" s="35" t="str">
        <f t="shared" si="119"/>
        <v>GVVN -6A1</v>
      </c>
      <c r="AF102" s="35" t="str">
        <f t="shared" si="134"/>
        <v>Tân</v>
      </c>
      <c r="AG102" s="35" t="str">
        <f t="shared" si="135"/>
        <v>Toán -7A1</v>
      </c>
      <c r="AH102" s="35" t="str">
        <f t="shared" si="136"/>
        <v>Nhung</v>
      </c>
      <c r="AI102" s="35" t="str">
        <f t="shared" si="137"/>
        <v>KHTN -8A1</v>
      </c>
      <c r="AJ102" s="35" t="str">
        <f t="shared" si="138"/>
        <v>Nguyên</v>
      </c>
      <c r="AK102" s="35" t="str">
        <f t="shared" si="139"/>
        <v>Tin -TTH1</v>
      </c>
      <c r="AL102" s="35" t="str">
        <f t="shared" si="140"/>
        <v>Trang</v>
      </c>
      <c r="AM102" s="35" t="str">
        <f t="shared" si="141"/>
        <v>GVVN -TTH2</v>
      </c>
    </row>
    <row r="103" spans="1:39" x14ac:dyDescent="0.25">
      <c r="A103" s="29" t="str">
        <f t="shared" si="112"/>
        <v>5Chiều3</v>
      </c>
      <c r="B103" s="29" t="str">
        <f t="shared" si="113"/>
        <v>5Chiều3Ngọc Ánh</v>
      </c>
      <c r="C103" s="29" t="str">
        <f t="shared" si="114"/>
        <v/>
      </c>
      <c r="D103" s="29" t="str">
        <f t="shared" si="115"/>
        <v/>
      </c>
      <c r="E103" s="29" t="s">
        <v>6</v>
      </c>
      <c r="F103" s="29">
        <v>5</v>
      </c>
      <c r="G103" s="29" t="s">
        <v>4</v>
      </c>
      <c r="H103" s="29">
        <v>3</v>
      </c>
      <c r="I103" s="35" t="str">
        <f t="shared" si="120"/>
        <v>Ngọc Ánh</v>
      </c>
      <c r="J103" s="35" t="str">
        <f t="shared" si="121"/>
        <v>TViệt -1A1</v>
      </c>
      <c r="K103" s="35" t="str">
        <f t="shared" si="122"/>
        <v>Phương Anh</v>
      </c>
      <c r="L103" s="35" t="str">
        <f t="shared" si="123"/>
        <v>Toán -1C1</v>
      </c>
      <c r="M103" s="35" t="str">
        <f t="shared" si="116"/>
        <v>Linh TH</v>
      </c>
      <c r="N103" s="35" t="str">
        <f t="shared" si="117"/>
        <v>TViệt -2A1</v>
      </c>
      <c r="O103" s="35" t="str">
        <f t="shared" si="124"/>
        <v>Xuân</v>
      </c>
      <c r="P103" s="35" t="str">
        <f t="shared" si="125"/>
        <v>TNXH -2C1</v>
      </c>
      <c r="Q103" s="35" t="str">
        <f t="shared" si="126"/>
        <v>Aziz, Trà</v>
      </c>
      <c r="R103" s="35" t="str">
        <f t="shared" si="127"/>
        <v>GVNN -3A1</v>
      </c>
      <c r="S103" s="35" t="str">
        <f t="shared" si="128"/>
        <v>Chi</v>
      </c>
      <c r="T103" s="35" t="str">
        <f t="shared" si="129"/>
        <v>Toán -3C1</v>
      </c>
      <c r="U103" s="35"/>
      <c r="V103" s="35"/>
      <c r="W103" s="35"/>
      <c r="X103" s="35"/>
      <c r="Y103" s="35"/>
      <c r="Z103" s="35" t="str">
        <f t="shared" si="130"/>
        <v>Hồng</v>
      </c>
      <c r="AA103" s="35" t="str">
        <f t="shared" si="131"/>
        <v>GDTC -4C1</v>
      </c>
      <c r="AB103" s="35" t="str">
        <f t="shared" si="132"/>
        <v>Ngọc</v>
      </c>
      <c r="AC103" s="35" t="str">
        <f t="shared" si="133"/>
        <v>TViệt -5C1</v>
      </c>
      <c r="AD103" s="35" t="str">
        <f t="shared" si="118"/>
        <v>Tay, Chánh</v>
      </c>
      <c r="AE103" s="35" t="str">
        <f t="shared" si="119"/>
        <v>GVNN -6A1</v>
      </c>
      <c r="AF103" s="35" t="str">
        <f t="shared" si="134"/>
        <v>Ánh NV</v>
      </c>
      <c r="AG103" s="35" t="str">
        <f t="shared" si="135"/>
        <v>Văn -7A1</v>
      </c>
      <c r="AH103" s="35" t="str">
        <f t="shared" si="136"/>
        <v>Quỳnh</v>
      </c>
      <c r="AI103" s="35" t="str">
        <f t="shared" si="137"/>
        <v>GVVN -8A1</v>
      </c>
      <c r="AJ103" s="35" t="str">
        <f t="shared" si="138"/>
        <v>Huyền</v>
      </c>
      <c r="AK103" s="35" t="str">
        <f t="shared" si="139"/>
        <v>GVVN -TTH1</v>
      </c>
      <c r="AL103" s="35" t="str">
        <f t="shared" si="140"/>
        <v>Nguyên</v>
      </c>
      <c r="AM103" s="35" t="str">
        <f t="shared" si="141"/>
        <v>Tin -TTH2</v>
      </c>
    </row>
    <row r="104" spans="1:39" x14ac:dyDescent="0.25">
      <c r="A104" s="29" t="str">
        <f t="shared" si="112"/>
        <v>5Chiều4</v>
      </c>
      <c r="B104" s="29" t="str">
        <f t="shared" si="113"/>
        <v>5Chiều4Ngọc Ánh</v>
      </c>
      <c r="C104" s="29" t="str">
        <f t="shared" si="114"/>
        <v/>
      </c>
      <c r="D104" s="29" t="str">
        <f t="shared" si="115"/>
        <v/>
      </c>
      <c r="E104" s="29" t="s">
        <v>6</v>
      </c>
      <c r="F104" s="29">
        <v>5</v>
      </c>
      <c r="G104" s="29" t="s">
        <v>4</v>
      </c>
      <c r="H104" s="29">
        <v>4</v>
      </c>
      <c r="I104" s="35" t="str">
        <f t="shared" si="120"/>
        <v>Ngọc Ánh</v>
      </c>
      <c r="J104" s="35" t="str">
        <f t="shared" si="121"/>
        <v>Toán -1A1</v>
      </c>
      <c r="K104" s="35" t="str">
        <f t="shared" si="122"/>
        <v>Nguyên</v>
      </c>
      <c r="L104" s="35" t="str">
        <f t="shared" si="123"/>
        <v>Robotics -1C1</v>
      </c>
      <c r="M104" s="35" t="str">
        <f t="shared" si="116"/>
        <v>Linh TH</v>
      </c>
      <c r="N104" s="35" t="str">
        <f t="shared" si="117"/>
        <v>TViệt -2A1</v>
      </c>
      <c r="O104" s="35" t="str">
        <f t="shared" si="124"/>
        <v>Tay, Trà</v>
      </c>
      <c r="P104" s="35" t="str">
        <f t="shared" si="125"/>
        <v>GVNN -2C1</v>
      </c>
      <c r="Q104" s="35" t="str">
        <f t="shared" si="126"/>
        <v>Xuân</v>
      </c>
      <c r="R104" s="35" t="str">
        <f t="shared" si="127"/>
        <v>Đọc sách -3A1</v>
      </c>
      <c r="S104" s="35" t="str">
        <f t="shared" si="128"/>
        <v>Bích</v>
      </c>
      <c r="T104" s="35" t="str">
        <f t="shared" si="129"/>
        <v>Science -3C1</v>
      </c>
      <c r="U104" s="35"/>
      <c r="V104" s="35"/>
      <c r="W104" s="35"/>
      <c r="X104" s="35"/>
      <c r="Y104" s="35"/>
      <c r="Z104" s="35" t="str">
        <f t="shared" si="130"/>
        <v>Hồng</v>
      </c>
      <c r="AA104" s="35" t="str">
        <f t="shared" si="131"/>
        <v>GDTC -4C1</v>
      </c>
      <c r="AB104" s="35" t="str">
        <f t="shared" si="132"/>
        <v>Chi</v>
      </c>
      <c r="AC104" s="35" t="str">
        <f t="shared" si="133"/>
        <v>Toán -5C1</v>
      </c>
      <c r="AD104" s="35" t="str">
        <f t="shared" si="118"/>
        <v>Phương Anh</v>
      </c>
      <c r="AE104" s="35" t="str">
        <f t="shared" si="119"/>
        <v>HĐTN -6A1</v>
      </c>
      <c r="AF104" s="35" t="str">
        <f t="shared" si="134"/>
        <v>Ánh NV</v>
      </c>
      <c r="AG104" s="35" t="str">
        <f t="shared" si="135"/>
        <v>Văn -7A1</v>
      </c>
      <c r="AH104" s="35" t="str">
        <f t="shared" si="136"/>
        <v>Tân</v>
      </c>
      <c r="AI104" s="35" t="str">
        <f t="shared" si="137"/>
        <v>Toán -8A1</v>
      </c>
      <c r="AJ104" s="35" t="str">
        <f t="shared" si="138"/>
        <v>Aziz, Huyền</v>
      </c>
      <c r="AK104" s="35" t="str">
        <f t="shared" si="139"/>
        <v>GVNN -TTH1</v>
      </c>
      <c r="AL104" s="35" t="str">
        <f t="shared" si="140"/>
        <v>MN1</v>
      </c>
      <c r="AM104" s="35" t="str">
        <f t="shared" si="141"/>
        <v>Vận động theo nhạc -TTH2</v>
      </c>
    </row>
    <row r="105" spans="1:39" x14ac:dyDescent="0.25">
      <c r="A105" s="29" t="str">
        <f t="shared" si="112"/>
        <v>5Chiều5</v>
      </c>
      <c r="B105" s="29" t="str">
        <f t="shared" si="113"/>
        <v>5Chiều5</v>
      </c>
      <c r="C105" s="29" t="str">
        <f t="shared" si="114"/>
        <v/>
      </c>
      <c r="D105" s="29" t="str">
        <f t="shared" si="115"/>
        <v/>
      </c>
      <c r="E105" s="29" t="s">
        <v>6</v>
      </c>
      <c r="F105" s="29">
        <v>5</v>
      </c>
      <c r="G105" s="29" t="s">
        <v>4</v>
      </c>
      <c r="H105" s="29">
        <v>5</v>
      </c>
      <c r="I105" s="35" t="str">
        <f t="shared" si="120"/>
        <v/>
      </c>
      <c r="J105" s="35" t="str">
        <f t="shared" si="121"/>
        <v/>
      </c>
      <c r="K105" s="35" t="str">
        <f t="shared" si="122"/>
        <v/>
      </c>
      <c r="L105" s="35" t="str">
        <f t="shared" si="123"/>
        <v/>
      </c>
      <c r="M105" s="35" t="str">
        <f t="shared" si="116"/>
        <v/>
      </c>
      <c r="N105" s="35" t="str">
        <f t="shared" si="117"/>
        <v/>
      </c>
      <c r="O105" s="35" t="str">
        <f t="shared" si="124"/>
        <v/>
      </c>
      <c r="P105" s="35" t="str">
        <f t="shared" si="125"/>
        <v/>
      </c>
      <c r="Q105" s="35" t="str">
        <f t="shared" si="126"/>
        <v/>
      </c>
      <c r="R105" s="35" t="str">
        <f t="shared" si="127"/>
        <v/>
      </c>
      <c r="S105" s="35" t="str">
        <f t="shared" si="128"/>
        <v/>
      </c>
      <c r="T105" s="35" t="str">
        <f t="shared" si="129"/>
        <v/>
      </c>
      <c r="U105" s="35"/>
      <c r="V105" s="35"/>
      <c r="W105" s="35"/>
      <c r="X105" s="35"/>
      <c r="Y105" s="35"/>
      <c r="Z105" s="35" t="str">
        <f t="shared" si="130"/>
        <v/>
      </c>
      <c r="AA105" s="35" t="str">
        <f t="shared" si="131"/>
        <v/>
      </c>
      <c r="AB105" s="35" t="str">
        <f t="shared" si="132"/>
        <v/>
      </c>
      <c r="AC105" s="35" t="str">
        <f t="shared" si="133"/>
        <v/>
      </c>
      <c r="AD105" s="35" t="str">
        <f t="shared" si="118"/>
        <v/>
      </c>
      <c r="AE105" s="35" t="str">
        <f t="shared" si="119"/>
        <v/>
      </c>
      <c r="AF105" s="35" t="str">
        <f t="shared" si="134"/>
        <v/>
      </c>
      <c r="AG105" s="35" t="str">
        <f t="shared" si="135"/>
        <v/>
      </c>
      <c r="AH105" s="35" t="str">
        <f t="shared" si="136"/>
        <v/>
      </c>
      <c r="AI105" s="35" t="str">
        <f t="shared" si="137"/>
        <v/>
      </c>
      <c r="AJ105" s="35" t="str">
        <f t="shared" si="138"/>
        <v/>
      </c>
      <c r="AK105" s="35" t="str">
        <f t="shared" si="139"/>
        <v/>
      </c>
      <c r="AL105" s="35" t="str">
        <f t="shared" si="140"/>
        <v/>
      </c>
      <c r="AM105" s="35" t="str">
        <f t="shared" si="141"/>
        <v/>
      </c>
    </row>
    <row r="106" spans="1:39" ht="15.95" customHeight="1" x14ac:dyDescent="0.25">
      <c r="A106" s="29" t="str">
        <f t="shared" si="112"/>
        <v>6Sáng1</v>
      </c>
      <c r="B106" s="29" t="str">
        <f t="shared" si="113"/>
        <v>6Sáng1Ngọc Ánh</v>
      </c>
      <c r="C106" s="29" t="str">
        <f t="shared" si="114"/>
        <v/>
      </c>
      <c r="D106" s="29" t="str">
        <f t="shared" si="115"/>
        <v/>
      </c>
      <c r="E106" s="29" t="s">
        <v>6</v>
      </c>
      <c r="F106" s="29">
        <v>6</v>
      </c>
      <c r="G106" s="29" t="s">
        <v>3</v>
      </c>
      <c r="H106" s="29">
        <v>1</v>
      </c>
      <c r="I106" s="35" t="str">
        <f t="shared" si="120"/>
        <v>Ngọc Ánh</v>
      </c>
      <c r="J106" s="35" t="str">
        <f t="shared" si="121"/>
        <v>TViệt -1A1</v>
      </c>
      <c r="K106" s="35" t="str">
        <f t="shared" si="122"/>
        <v>Nhi</v>
      </c>
      <c r="L106" s="35" t="str">
        <f t="shared" si="123"/>
        <v>TViệt -1C1</v>
      </c>
      <c r="M106" s="35" t="str">
        <f t="shared" si="116"/>
        <v>Linh TH</v>
      </c>
      <c r="N106" s="35" t="str">
        <f t="shared" si="117"/>
        <v>TDNN -2A1</v>
      </c>
      <c r="O106" s="35" t="str">
        <f t="shared" si="124"/>
        <v>Nguyên</v>
      </c>
      <c r="P106" s="35" t="str">
        <f t="shared" si="125"/>
        <v>Tin -2C1</v>
      </c>
      <c r="Q106" s="35" t="str">
        <f t="shared" si="126"/>
        <v>Ngọc</v>
      </c>
      <c r="R106" s="35" t="str">
        <f t="shared" si="127"/>
        <v>TViệt -3A1</v>
      </c>
      <c r="S106" s="35" t="str">
        <f t="shared" si="128"/>
        <v>Chi</v>
      </c>
      <c r="T106" s="35" t="str">
        <f t="shared" si="129"/>
        <v>Toán -3C1</v>
      </c>
      <c r="U106" s="35"/>
      <c r="V106" s="35"/>
      <c r="W106" s="35"/>
      <c r="X106" s="35"/>
      <c r="Y106" s="35"/>
      <c r="Z106" s="35" t="str">
        <f t="shared" si="130"/>
        <v>Phương Anh</v>
      </c>
      <c r="AA106" s="35" t="str">
        <f t="shared" si="131"/>
        <v>Toán -4C1</v>
      </c>
      <c r="AB106" s="35" t="str">
        <f t="shared" si="132"/>
        <v>Bích</v>
      </c>
      <c r="AC106" s="35" t="str">
        <f t="shared" si="133"/>
        <v>GVVN -5C1</v>
      </c>
      <c r="AD106" s="35" t="str">
        <f t="shared" si="118"/>
        <v>Hà</v>
      </c>
      <c r="AE106" s="35" t="str">
        <f t="shared" si="119"/>
        <v>LS&amp;ĐL -6A1</v>
      </c>
      <c r="AF106" s="35" t="str">
        <f t="shared" si="134"/>
        <v>Phương</v>
      </c>
      <c r="AG106" s="35" t="str">
        <f t="shared" si="135"/>
        <v>Mĩ thuật -7A1</v>
      </c>
      <c r="AH106" s="35" t="str">
        <f t="shared" si="136"/>
        <v>Hồng</v>
      </c>
      <c r="AI106" s="35" t="str">
        <f t="shared" si="137"/>
        <v>GDTC -8A1</v>
      </c>
      <c r="AJ106" s="35" t="str">
        <f t="shared" si="138"/>
        <v>Aziz Huyền</v>
      </c>
      <c r="AK106" s="35" t="str">
        <f t="shared" si="139"/>
        <v>GVNN -TTH1</v>
      </c>
      <c r="AL106" s="35" t="str">
        <f t="shared" si="140"/>
        <v>Trang ÂN</v>
      </c>
      <c r="AM106" s="35" t="str">
        <f t="shared" si="141"/>
        <v>Nhạc -TTH2</v>
      </c>
    </row>
    <row r="107" spans="1:39" ht="15.95" customHeight="1" x14ac:dyDescent="0.25">
      <c r="A107" s="29" t="str">
        <f t="shared" si="112"/>
        <v>6Sáng2</v>
      </c>
      <c r="B107" s="29" t="str">
        <f t="shared" si="113"/>
        <v>6Sáng2gọc Ánh</v>
      </c>
      <c r="C107" s="29" t="str">
        <f t="shared" si="114"/>
        <v/>
      </c>
      <c r="D107" s="29" t="str">
        <f t="shared" si="115"/>
        <v/>
      </c>
      <c r="E107" s="29" t="s">
        <v>6</v>
      </c>
      <c r="F107" s="29">
        <v>6</v>
      </c>
      <c r="G107" s="29" t="s">
        <v>3</v>
      </c>
      <c r="H107" s="29">
        <v>2</v>
      </c>
      <c r="I107" s="35" t="str">
        <f t="shared" si="120"/>
        <v>gọc Ánh</v>
      </c>
      <c r="J107" s="35" t="str">
        <f t="shared" si="121"/>
        <v>TViệt -1A1</v>
      </c>
      <c r="K107" s="35" t="str">
        <f t="shared" si="122"/>
        <v>Huyền</v>
      </c>
      <c r="L107" s="35" t="str">
        <f t="shared" si="123"/>
        <v>GVVN -1C1</v>
      </c>
      <c r="M107" s="35" t="str">
        <f t="shared" si="116"/>
        <v>Trang</v>
      </c>
      <c r="N107" s="35" t="str">
        <f t="shared" si="117"/>
        <v>GVVN -2A1</v>
      </c>
      <c r="O107" s="35" t="str">
        <f t="shared" si="124"/>
        <v>Phương</v>
      </c>
      <c r="P107" s="35" t="str">
        <f t="shared" si="125"/>
        <v>Mĩ thuật -2C1</v>
      </c>
      <c r="Q107" s="35" t="str">
        <f t="shared" si="126"/>
        <v>Ngọc</v>
      </c>
      <c r="R107" s="35" t="str">
        <f t="shared" si="127"/>
        <v>TViệt -3A1</v>
      </c>
      <c r="S107" s="35" t="str">
        <f t="shared" si="128"/>
        <v>Nguyên</v>
      </c>
      <c r="T107" s="35" t="str">
        <f t="shared" si="129"/>
        <v>Robotics -3C1</v>
      </c>
      <c r="U107" s="35"/>
      <c r="V107" s="35"/>
      <c r="W107" s="35"/>
      <c r="X107" s="35"/>
      <c r="Y107" s="35"/>
      <c r="Z107" s="35" t="str">
        <f t="shared" si="130"/>
        <v>Quỳnh</v>
      </c>
      <c r="AA107" s="35" t="str">
        <f t="shared" si="131"/>
        <v>GVVN -4C1</v>
      </c>
      <c r="AB107" s="35" t="str">
        <f t="shared" si="132"/>
        <v>Chi</v>
      </c>
      <c r="AC107" s="35" t="str">
        <f t="shared" si="133"/>
        <v>Toán -5C1</v>
      </c>
      <c r="AD107" s="35" t="str">
        <f t="shared" si="118"/>
        <v>Tân</v>
      </c>
      <c r="AE107" s="35" t="str">
        <f t="shared" si="119"/>
        <v>Toán -6A1</v>
      </c>
      <c r="AF107" s="35" t="str">
        <f t="shared" si="134"/>
        <v>Hà</v>
      </c>
      <c r="AG107" s="35" t="str">
        <f t="shared" si="135"/>
        <v>GDCD -7A1</v>
      </c>
      <c r="AH107" s="35" t="str">
        <f t="shared" si="136"/>
        <v>Hồng</v>
      </c>
      <c r="AI107" s="35" t="str">
        <f t="shared" si="137"/>
        <v>GDTC -8A1</v>
      </c>
      <c r="AJ107" s="35" t="str">
        <f t="shared" si="138"/>
        <v>Hiền</v>
      </c>
      <c r="AK107" s="35" t="str">
        <f t="shared" si="139"/>
        <v>Cãm xúc xã hội -TTH1</v>
      </c>
      <c r="AL107" s="35" t="str">
        <f t="shared" si="140"/>
        <v>MN1</v>
      </c>
      <c r="AM107" s="35" t="str">
        <f t="shared" si="141"/>
        <v>TViệt -TTH2</v>
      </c>
    </row>
    <row r="108" spans="1:39" ht="15.95" customHeight="1" x14ac:dyDescent="0.25">
      <c r="A108" s="29" t="str">
        <f t="shared" si="112"/>
        <v>6Sáng3</v>
      </c>
      <c r="B108" s="29" t="str">
        <f t="shared" si="113"/>
        <v>6Sáng3Trang</v>
      </c>
      <c r="C108" s="29" t="str">
        <f t="shared" si="114"/>
        <v/>
      </c>
      <c r="D108" s="29" t="str">
        <f t="shared" si="115"/>
        <v/>
      </c>
      <c r="E108" s="29" t="s">
        <v>6</v>
      </c>
      <c r="F108" s="29">
        <v>6</v>
      </c>
      <c r="G108" s="29" t="s">
        <v>3</v>
      </c>
      <c r="H108" s="29">
        <v>3</v>
      </c>
      <c r="I108" s="35" t="str">
        <f t="shared" si="120"/>
        <v>Trang</v>
      </c>
      <c r="J108" s="35" t="str">
        <f t="shared" si="121"/>
        <v>GVVN -1A1</v>
      </c>
      <c r="K108" s="35" t="str">
        <f t="shared" si="122"/>
        <v>Phương</v>
      </c>
      <c r="L108" s="35" t="str">
        <f t="shared" si="123"/>
        <v>Mĩ thuật -1C1</v>
      </c>
      <c r="M108" s="35" t="str">
        <f t="shared" si="116"/>
        <v>Linh TH</v>
      </c>
      <c r="N108" s="35" t="str">
        <f t="shared" si="117"/>
        <v>Toán -2A1</v>
      </c>
      <c r="O108" s="35" t="str">
        <f t="shared" si="124"/>
        <v>Xuân</v>
      </c>
      <c r="P108" s="35" t="str">
        <f t="shared" si="125"/>
        <v>TViệt -2C1</v>
      </c>
      <c r="Q108" s="35" t="str">
        <f t="shared" si="126"/>
        <v>Trà</v>
      </c>
      <c r="R108" s="35" t="str">
        <f t="shared" si="127"/>
        <v>GVVN -3A1</v>
      </c>
      <c r="S108" s="35" t="str">
        <f t="shared" si="128"/>
        <v>Nhi</v>
      </c>
      <c r="T108" s="35" t="str">
        <f t="shared" si="129"/>
        <v>TNXH -3C1</v>
      </c>
      <c r="U108" s="35"/>
      <c r="V108" s="35"/>
      <c r="W108" s="35"/>
      <c r="X108" s="35"/>
      <c r="Y108" s="35"/>
      <c r="Z108" s="35" t="str">
        <f t="shared" si="130"/>
        <v>Ly</v>
      </c>
      <c r="AA108" s="35" t="str">
        <f t="shared" si="131"/>
        <v>TViệt -4C1</v>
      </c>
      <c r="AB108" s="35" t="str">
        <f t="shared" si="132"/>
        <v>Ngọc</v>
      </c>
      <c r="AC108" s="35" t="str">
        <f t="shared" si="133"/>
        <v>TViệt -5C1</v>
      </c>
      <c r="AD108" s="35" t="str">
        <f t="shared" si="118"/>
        <v>Tân</v>
      </c>
      <c r="AE108" s="35" t="str">
        <f t="shared" si="119"/>
        <v>Toán -6A1</v>
      </c>
      <c r="AF108" s="35" t="str">
        <f t="shared" si="134"/>
        <v>Hà</v>
      </c>
      <c r="AG108" s="35" t="str">
        <f t="shared" si="135"/>
        <v>LS&amp;ĐL -7A1</v>
      </c>
      <c r="AH108" s="35" t="str">
        <f t="shared" si="136"/>
        <v>Tay, Quỳnh</v>
      </c>
      <c r="AI108" s="35" t="str">
        <f t="shared" si="137"/>
        <v>GVNN -8A1</v>
      </c>
      <c r="AJ108" s="35" t="str">
        <f t="shared" si="138"/>
        <v>Trang ÂN</v>
      </c>
      <c r="AK108" s="35" t="str">
        <f t="shared" si="139"/>
        <v>Nhạc -TTH1</v>
      </c>
      <c r="AL108" s="35" t="str">
        <f t="shared" si="140"/>
        <v>MN1</v>
      </c>
      <c r="AM108" s="35" t="str">
        <f t="shared" si="141"/>
        <v>TViệt -TTH2</v>
      </c>
    </row>
    <row r="109" spans="1:39" ht="15.95" customHeight="1" x14ac:dyDescent="0.25">
      <c r="A109" s="29" t="str">
        <f t="shared" si="112"/>
        <v>6Sáng4</v>
      </c>
      <c r="B109" s="29" t="str">
        <f t="shared" si="113"/>
        <v>6Sáng4Ngọc Ánh</v>
      </c>
      <c r="C109" s="29" t="str">
        <f t="shared" si="114"/>
        <v/>
      </c>
      <c r="D109" s="29" t="str">
        <f t="shared" si="115"/>
        <v/>
      </c>
      <c r="E109" s="29" t="s">
        <v>6</v>
      </c>
      <c r="F109" s="29">
        <v>6</v>
      </c>
      <c r="G109" s="29" t="s">
        <v>3</v>
      </c>
      <c r="H109" s="29">
        <v>4</v>
      </c>
      <c r="I109" s="35" t="str">
        <f t="shared" si="120"/>
        <v>Ngọc Ánh</v>
      </c>
      <c r="J109" s="35" t="str">
        <f t="shared" si="121"/>
        <v>Toán -1A1</v>
      </c>
      <c r="K109" s="35" t="str">
        <f t="shared" si="122"/>
        <v>Phương Anh</v>
      </c>
      <c r="L109" s="35" t="str">
        <f t="shared" si="123"/>
        <v>Toán -1C1</v>
      </c>
      <c r="M109" s="35" t="str">
        <f t="shared" si="116"/>
        <v>Linh TH</v>
      </c>
      <c r="N109" s="35" t="str">
        <f t="shared" si="117"/>
        <v>Toán -2A1</v>
      </c>
      <c r="O109" s="35" t="str">
        <f t="shared" si="124"/>
        <v>Xuân</v>
      </c>
      <c r="P109" s="35" t="str">
        <f t="shared" si="125"/>
        <v>TViệt -2C1</v>
      </c>
      <c r="Q109" s="35" t="str">
        <f t="shared" si="126"/>
        <v>Phương</v>
      </c>
      <c r="R109" s="35" t="str">
        <f t="shared" si="127"/>
        <v>Mĩ thuật -3A1</v>
      </c>
      <c r="S109" s="35" t="str">
        <f t="shared" si="128"/>
        <v>Bích</v>
      </c>
      <c r="T109" s="35" t="str">
        <f t="shared" si="129"/>
        <v>GVVN -3C1</v>
      </c>
      <c r="U109" s="35"/>
      <c r="V109" s="35"/>
      <c r="W109" s="35"/>
      <c r="X109" s="35"/>
      <c r="Y109" s="35"/>
      <c r="Z109" s="35" t="str">
        <f t="shared" si="130"/>
        <v>Ly</v>
      </c>
      <c r="AA109" s="35" t="str">
        <f t="shared" si="131"/>
        <v>LS&amp;ĐL -4C1</v>
      </c>
      <c r="AB109" s="35" t="str">
        <f t="shared" si="132"/>
        <v>Ngọc</v>
      </c>
      <c r="AC109" s="35" t="str">
        <f t="shared" si="133"/>
        <v>TViệt -5C1</v>
      </c>
      <c r="AD109" s="35" t="str">
        <f t="shared" si="118"/>
        <v>Nguyên</v>
      </c>
      <c r="AE109" s="35" t="str">
        <f t="shared" si="119"/>
        <v>Tin -6A1</v>
      </c>
      <c r="AF109" s="35" t="str">
        <f t="shared" si="134"/>
        <v>Hồng</v>
      </c>
      <c r="AG109" s="35" t="str">
        <f t="shared" si="135"/>
        <v>GDTC -7A1</v>
      </c>
      <c r="AH109" s="35" t="str">
        <f t="shared" si="136"/>
        <v>Quỳnh</v>
      </c>
      <c r="AI109" s="35" t="str">
        <f t="shared" si="137"/>
        <v>GVVN -8A1</v>
      </c>
      <c r="AJ109" s="35" t="str">
        <f t="shared" si="138"/>
        <v>Hiền</v>
      </c>
      <c r="AK109" s="35" t="str">
        <f t="shared" si="139"/>
        <v>TViệt -TTH1</v>
      </c>
      <c r="AL109" s="35" t="str">
        <f t="shared" si="140"/>
        <v>Aziz, Huyền</v>
      </c>
      <c r="AM109" s="35" t="str">
        <f t="shared" si="141"/>
        <v>GVNN -TTH2</v>
      </c>
    </row>
    <row r="110" spans="1:39" ht="15.95" customHeight="1" x14ac:dyDescent="0.25">
      <c r="A110" s="29" t="str">
        <f t="shared" si="112"/>
        <v>6Sáng5</v>
      </c>
      <c r="B110" s="29" t="str">
        <f t="shared" si="113"/>
        <v>6Sáng5</v>
      </c>
      <c r="C110" s="29" t="str">
        <f t="shared" si="114"/>
        <v/>
      </c>
      <c r="D110" s="29" t="str">
        <f t="shared" si="115"/>
        <v/>
      </c>
      <c r="E110" s="29" t="s">
        <v>6</v>
      </c>
      <c r="F110" s="29">
        <v>6</v>
      </c>
      <c r="G110" s="29" t="s">
        <v>3</v>
      </c>
      <c r="H110" s="29">
        <v>5</v>
      </c>
      <c r="I110" s="35" t="str">
        <f t="shared" si="120"/>
        <v/>
      </c>
      <c r="J110" s="35" t="str">
        <f t="shared" si="121"/>
        <v/>
      </c>
      <c r="K110" s="35" t="str">
        <f t="shared" si="122"/>
        <v/>
      </c>
      <c r="L110" s="35" t="str">
        <f t="shared" si="123"/>
        <v/>
      </c>
      <c r="M110" s="35" t="str">
        <f t="shared" si="116"/>
        <v/>
      </c>
      <c r="N110" s="35" t="str">
        <f t="shared" si="117"/>
        <v/>
      </c>
      <c r="O110" s="35" t="str">
        <f t="shared" si="124"/>
        <v/>
      </c>
      <c r="P110" s="35" t="str">
        <f t="shared" si="125"/>
        <v/>
      </c>
      <c r="Q110" s="35" t="str">
        <f t="shared" si="126"/>
        <v/>
      </c>
      <c r="R110" s="35" t="str">
        <f t="shared" si="127"/>
        <v/>
      </c>
      <c r="S110" s="35" t="str">
        <f t="shared" si="128"/>
        <v/>
      </c>
      <c r="T110" s="35" t="str">
        <f t="shared" si="129"/>
        <v/>
      </c>
      <c r="U110" s="35"/>
      <c r="V110" s="35"/>
      <c r="W110" s="35"/>
      <c r="X110" s="35"/>
      <c r="Y110" s="35"/>
      <c r="Z110" s="35" t="str">
        <f t="shared" si="130"/>
        <v/>
      </c>
      <c r="AA110" s="35" t="str">
        <f t="shared" si="131"/>
        <v/>
      </c>
      <c r="AB110" s="35" t="str">
        <f t="shared" si="132"/>
        <v>Ph.Anh</v>
      </c>
      <c r="AC110" s="35" t="str">
        <f t="shared" si="133"/>
        <v>Toán -5C1</v>
      </c>
      <c r="AD110" s="35" t="str">
        <f t="shared" si="118"/>
        <v>Nguyên</v>
      </c>
      <c r="AE110" s="35" t="str">
        <f t="shared" si="119"/>
        <v>Robotics -6A1</v>
      </c>
      <c r="AF110" s="35" t="str">
        <f t="shared" si="134"/>
        <v/>
      </c>
      <c r="AG110" s="35" t="str">
        <f t="shared" si="135"/>
        <v/>
      </c>
      <c r="AH110" s="35" t="str">
        <f t="shared" si="136"/>
        <v/>
      </c>
      <c r="AI110" s="35" t="str">
        <f t="shared" si="137"/>
        <v/>
      </c>
      <c r="AJ110" s="35" t="str">
        <f t="shared" si="138"/>
        <v/>
      </c>
      <c r="AK110" s="35" t="str">
        <f t="shared" si="139"/>
        <v/>
      </c>
      <c r="AL110" s="35" t="str">
        <f t="shared" si="140"/>
        <v/>
      </c>
      <c r="AM110" s="35" t="str">
        <f t="shared" si="141"/>
        <v/>
      </c>
    </row>
    <row r="111" spans="1:39" ht="15.95" customHeight="1" x14ac:dyDescent="0.25">
      <c r="A111" s="29" t="str">
        <f t="shared" si="112"/>
        <v>6Chiều1</v>
      </c>
      <c r="B111" s="29" t="str">
        <f t="shared" si="113"/>
        <v>6Chiều1Trang</v>
      </c>
      <c r="C111" s="29" t="str">
        <f t="shared" si="114"/>
        <v/>
      </c>
      <c r="D111" s="29" t="str">
        <f t="shared" si="115"/>
        <v/>
      </c>
      <c r="E111" s="29" t="s">
        <v>6</v>
      </c>
      <c r="F111" s="29">
        <v>6</v>
      </c>
      <c r="G111" s="29" t="s">
        <v>4</v>
      </c>
      <c r="H111" s="29">
        <v>1</v>
      </c>
      <c r="I111" s="35" t="str">
        <f t="shared" si="120"/>
        <v>Trang</v>
      </c>
      <c r="J111" s="35" t="str">
        <f t="shared" si="121"/>
        <v>GVVN -1A1</v>
      </c>
      <c r="K111" s="35" t="str">
        <f t="shared" si="122"/>
        <v>Huyền</v>
      </c>
      <c r="L111" s="35" t="str">
        <f t="shared" si="123"/>
        <v>GVVN -1C1</v>
      </c>
      <c r="M111" s="35" t="str">
        <f t="shared" si="116"/>
        <v>Xuân</v>
      </c>
      <c r="N111" s="35" t="str">
        <f t="shared" si="117"/>
        <v>Đọc sách -2A1</v>
      </c>
      <c r="O111" s="35" t="str">
        <f t="shared" si="124"/>
        <v>Trà</v>
      </c>
      <c r="P111" s="35" t="str">
        <f t="shared" si="125"/>
        <v>GVVN -2C1</v>
      </c>
      <c r="Q111" s="35" t="str">
        <f t="shared" si="126"/>
        <v>Nhi</v>
      </c>
      <c r="R111" s="35" t="str">
        <f t="shared" si="127"/>
        <v>Đạo đức -3A1</v>
      </c>
      <c r="S111" s="35" t="str">
        <f t="shared" si="128"/>
        <v>Chi</v>
      </c>
      <c r="T111" s="35" t="str">
        <f t="shared" si="129"/>
        <v>Toán -3C1</v>
      </c>
      <c r="U111" s="35"/>
      <c r="V111" s="35"/>
      <c r="W111" s="35"/>
      <c r="X111" s="35"/>
      <c r="Y111" s="35"/>
      <c r="Z111" s="35" t="str">
        <f t="shared" si="130"/>
        <v>Ly</v>
      </c>
      <c r="AA111" s="35" t="str">
        <f t="shared" si="131"/>
        <v>TViệt -4C1</v>
      </c>
      <c r="AB111" s="35" t="str">
        <f t="shared" si="132"/>
        <v>Bích</v>
      </c>
      <c r="AC111" s="35" t="str">
        <f t="shared" si="133"/>
        <v>Science -5C1</v>
      </c>
      <c r="AD111" s="35" t="str">
        <f t="shared" si="118"/>
        <v>Hồng</v>
      </c>
      <c r="AE111" s="35" t="str">
        <f t="shared" si="119"/>
        <v>GDTC -6A1</v>
      </c>
      <c r="AF111" s="35" t="str">
        <f t="shared" si="134"/>
        <v>Tân</v>
      </c>
      <c r="AG111" s="35" t="str">
        <f t="shared" si="135"/>
        <v>Toán -7A1</v>
      </c>
      <c r="AH111" s="35" t="str">
        <f t="shared" si="136"/>
        <v>Nguyên</v>
      </c>
      <c r="AI111" s="35" t="str">
        <f t="shared" si="137"/>
        <v>Tin -8A1</v>
      </c>
      <c r="AJ111" s="35" t="str">
        <f t="shared" si="138"/>
        <v>Hiền</v>
      </c>
      <c r="AK111" s="35" t="str">
        <f t="shared" si="139"/>
        <v>HĐ tự chọn -TTH1</v>
      </c>
      <c r="AL111" s="35" t="str">
        <f t="shared" si="140"/>
        <v>MN1</v>
      </c>
      <c r="AM111" s="35" t="str">
        <f t="shared" si="141"/>
        <v>HĐ tự chọn -TTH2</v>
      </c>
    </row>
    <row r="112" spans="1:39" ht="15.95" customHeight="1" x14ac:dyDescent="0.25">
      <c r="A112" s="29" t="str">
        <f t="shared" si="112"/>
        <v>6Chiều2</v>
      </c>
      <c r="B112" s="29" t="str">
        <f t="shared" si="113"/>
        <v>6Chiều2Xuân</v>
      </c>
      <c r="C112" s="29" t="str">
        <f t="shared" si="114"/>
        <v/>
      </c>
      <c r="D112" s="29" t="str">
        <f t="shared" si="115"/>
        <v/>
      </c>
      <c r="E112" s="29" t="s">
        <v>6</v>
      </c>
      <c r="F112" s="29">
        <v>6</v>
      </c>
      <c r="G112" s="29" t="s">
        <v>4</v>
      </c>
      <c r="H112" s="29">
        <v>2</v>
      </c>
      <c r="I112" s="35" t="str">
        <f t="shared" si="120"/>
        <v>Xuân</v>
      </c>
      <c r="J112" s="35" t="str">
        <f t="shared" si="121"/>
        <v>Đọc sách -1A1</v>
      </c>
      <c r="K112" s="35" t="str">
        <f t="shared" si="122"/>
        <v>Nhi</v>
      </c>
      <c r="L112" s="35" t="str">
        <f t="shared" si="123"/>
        <v>KCST -1C1</v>
      </c>
      <c r="M112" s="35" t="str">
        <f t="shared" si="116"/>
        <v>Trang</v>
      </c>
      <c r="N112" s="35" t="str">
        <f t="shared" si="117"/>
        <v>GVVN -2A1</v>
      </c>
      <c r="O112" s="35" t="str">
        <f t="shared" si="124"/>
        <v>Chi</v>
      </c>
      <c r="P112" s="35" t="str">
        <f t="shared" si="125"/>
        <v>Toán -2C1</v>
      </c>
      <c r="Q112" s="35" t="str">
        <f t="shared" si="126"/>
        <v>Ngọc</v>
      </c>
      <c r="R112" s="35" t="str">
        <f t="shared" si="127"/>
        <v>TViệt -3A1</v>
      </c>
      <c r="S112" s="35" t="str">
        <f t="shared" si="128"/>
        <v>Ly</v>
      </c>
      <c r="T112" s="35" t="str">
        <f t="shared" si="129"/>
        <v>TViệt -3C1</v>
      </c>
      <c r="U112" s="35"/>
      <c r="V112" s="35"/>
      <c r="W112" s="35"/>
      <c r="X112" s="35"/>
      <c r="Y112" s="35"/>
      <c r="Z112" s="35" t="str">
        <f t="shared" si="130"/>
        <v>Phương Anh</v>
      </c>
      <c r="AA112" s="35" t="str">
        <f t="shared" si="131"/>
        <v>Toán -4C1</v>
      </c>
      <c r="AB112" s="35" t="str">
        <f t="shared" si="132"/>
        <v>Bích</v>
      </c>
      <c r="AC112" s="35" t="str">
        <f t="shared" si="133"/>
        <v>GVVN -5C1</v>
      </c>
      <c r="AD112" s="35" t="str">
        <f t="shared" si="118"/>
        <v>Hồng</v>
      </c>
      <c r="AE112" s="35" t="str">
        <f t="shared" si="119"/>
        <v>GDTC -6A1</v>
      </c>
      <c r="AF112" s="35" t="str">
        <f t="shared" si="134"/>
        <v>Tân</v>
      </c>
      <c r="AG112" s="35" t="str">
        <f t="shared" si="135"/>
        <v>Toán -7A1</v>
      </c>
      <c r="AH112" s="35" t="str">
        <f t="shared" si="136"/>
        <v>Nguyên</v>
      </c>
      <c r="AI112" s="35" t="str">
        <f t="shared" si="137"/>
        <v>Robotics -8A1</v>
      </c>
      <c r="AJ112" s="35" t="str">
        <f t="shared" si="138"/>
        <v>Phương</v>
      </c>
      <c r="AK112" s="35" t="str">
        <f t="shared" si="139"/>
        <v>Mĩ thuật -TTH1</v>
      </c>
      <c r="AL112" s="35" t="str">
        <f t="shared" si="140"/>
        <v>MN1</v>
      </c>
      <c r="AM112" s="35" t="str">
        <f t="shared" si="141"/>
        <v>Cảm xúc xã hội -TTH2</v>
      </c>
    </row>
    <row r="113" spans="1:39" ht="15.95" customHeight="1" x14ac:dyDescent="0.25">
      <c r="A113" s="29" t="str">
        <f t="shared" si="112"/>
        <v>6Chiều3</v>
      </c>
      <c r="B113" s="29" t="str">
        <f t="shared" si="113"/>
        <v>6Chiều3Ngọc Ánh</v>
      </c>
      <c r="C113" s="29" t="str">
        <f t="shared" si="114"/>
        <v/>
      </c>
      <c r="D113" s="29" t="str">
        <f t="shared" si="115"/>
        <v/>
      </c>
      <c r="E113" s="29" t="s">
        <v>6</v>
      </c>
      <c r="F113" s="29">
        <v>6</v>
      </c>
      <c r="G113" s="29" t="s">
        <v>4</v>
      </c>
      <c r="H113" s="29">
        <v>3</v>
      </c>
      <c r="I113" s="35" t="str">
        <f t="shared" si="120"/>
        <v>Ngọc Ánh</v>
      </c>
      <c r="J113" s="35" t="str">
        <f t="shared" si="121"/>
        <v>TViệt -1A1</v>
      </c>
      <c r="K113" s="35" t="str">
        <f t="shared" si="122"/>
        <v>Nhi</v>
      </c>
      <c r="L113" s="35" t="str">
        <f t="shared" si="123"/>
        <v>TNXH -1C1</v>
      </c>
      <c r="M113" s="35" t="str">
        <f t="shared" si="116"/>
        <v>Phương</v>
      </c>
      <c r="N113" s="35" t="str">
        <f t="shared" si="117"/>
        <v>Mĩ thuật -2A1</v>
      </c>
      <c r="O113" s="35" t="str">
        <f t="shared" si="124"/>
        <v>Xuân</v>
      </c>
      <c r="P113" s="35" t="str">
        <f t="shared" si="125"/>
        <v>Viết sáng tạo -2C1</v>
      </c>
      <c r="Q113" s="35" t="str">
        <f t="shared" si="126"/>
        <v>Trà</v>
      </c>
      <c r="R113" s="35" t="str">
        <f t="shared" si="127"/>
        <v>GVVN -3A1</v>
      </c>
      <c r="S113" s="35" t="str">
        <f t="shared" si="128"/>
        <v>Bích</v>
      </c>
      <c r="T113" s="35" t="str">
        <f t="shared" si="129"/>
        <v>GVVN -3C1</v>
      </c>
      <c r="U113" s="35"/>
      <c r="V113" s="35"/>
      <c r="W113" s="35"/>
      <c r="X113" s="35"/>
      <c r="Y113" s="35"/>
      <c r="Z113" s="35" t="str">
        <f t="shared" si="130"/>
        <v>Nguyên</v>
      </c>
      <c r="AA113" s="35" t="str">
        <f t="shared" si="131"/>
        <v>Robotics -4C1</v>
      </c>
      <c r="AB113" s="35" t="str">
        <f t="shared" si="132"/>
        <v>Ly</v>
      </c>
      <c r="AC113" s="35" t="str">
        <f t="shared" si="133"/>
        <v>LS&amp;ĐL -5C1</v>
      </c>
      <c r="AD113" s="35" t="str">
        <f t="shared" si="118"/>
        <v>Hà</v>
      </c>
      <c r="AE113" s="35" t="str">
        <f t="shared" si="119"/>
        <v>Văn -6A1</v>
      </c>
      <c r="AF113" s="35" t="str">
        <f t="shared" si="134"/>
        <v>Ánh NV</v>
      </c>
      <c r="AG113" s="35" t="str">
        <f t="shared" si="135"/>
        <v>Văn -7A1</v>
      </c>
      <c r="AH113" s="35" t="str">
        <f t="shared" si="136"/>
        <v>Tân</v>
      </c>
      <c r="AI113" s="35" t="str">
        <f t="shared" si="137"/>
        <v>Toán -8A1</v>
      </c>
      <c r="AJ113" s="35" t="str">
        <f t="shared" si="138"/>
        <v>Aziz, Huyền</v>
      </c>
      <c r="AK113" s="35" t="str">
        <f t="shared" si="139"/>
        <v>GVNN -TTH1</v>
      </c>
      <c r="AL113" s="35" t="str">
        <f t="shared" si="140"/>
        <v>MN1</v>
      </c>
      <c r="AM113" s="35" t="str">
        <f t="shared" si="141"/>
        <v>Toán -TTH2</v>
      </c>
    </row>
    <row r="114" spans="1:39" ht="15.95" customHeight="1" x14ac:dyDescent="0.25">
      <c r="A114" s="29" t="str">
        <f t="shared" si="112"/>
        <v>6Chiều4</v>
      </c>
      <c r="B114" s="29" t="str">
        <f t="shared" si="113"/>
        <v>6Chiều4Ngọc Ánh</v>
      </c>
      <c r="C114" s="29" t="str">
        <f t="shared" si="114"/>
        <v/>
      </c>
      <c r="D114" s="29" t="str">
        <f t="shared" si="115"/>
        <v/>
      </c>
      <c r="E114" s="29" t="s">
        <v>6</v>
      </c>
      <c r="F114" s="29">
        <v>6</v>
      </c>
      <c r="G114" s="29" t="s">
        <v>4</v>
      </c>
      <c r="H114" s="29">
        <v>4</v>
      </c>
      <c r="I114" s="35" t="str">
        <f t="shared" si="120"/>
        <v>Ngọc Ánh</v>
      </c>
      <c r="J114" s="35" t="str">
        <f t="shared" si="121"/>
        <v>HĐTN -1A1</v>
      </c>
      <c r="K114" s="35" t="str">
        <f t="shared" si="122"/>
        <v>Nhi</v>
      </c>
      <c r="L114" s="35" t="str">
        <f t="shared" si="123"/>
        <v>HĐTN -1C1</v>
      </c>
      <c r="M114" s="35" t="str">
        <f t="shared" si="116"/>
        <v>Linh TH</v>
      </c>
      <c r="N114" s="35" t="str">
        <f t="shared" si="117"/>
        <v>HĐTN -2A1</v>
      </c>
      <c r="O114" s="35" t="str">
        <f t="shared" si="124"/>
        <v>Xuân</v>
      </c>
      <c r="P114" s="35" t="str">
        <f t="shared" si="125"/>
        <v>HĐTN -2C1</v>
      </c>
      <c r="Q114" s="35" t="str">
        <f t="shared" si="126"/>
        <v>Ngọc</v>
      </c>
      <c r="R114" s="35" t="str">
        <f t="shared" si="127"/>
        <v>Toán -3A1</v>
      </c>
      <c r="S114" s="35" t="str">
        <f t="shared" si="128"/>
        <v>Ly</v>
      </c>
      <c r="T114" s="35" t="str">
        <f t="shared" si="129"/>
        <v>HĐTN -3C1</v>
      </c>
      <c r="U114" s="35"/>
      <c r="V114" s="35"/>
      <c r="W114" s="35"/>
      <c r="X114" s="35"/>
      <c r="Y114" s="35"/>
      <c r="Z114" s="35" t="str">
        <f t="shared" si="130"/>
        <v>Quỳnh</v>
      </c>
      <c r="AA114" s="35" t="str">
        <f t="shared" si="131"/>
        <v>GVVN -4C1</v>
      </c>
      <c r="AB114" s="35" t="str">
        <f t="shared" si="132"/>
        <v>Chi</v>
      </c>
      <c r="AC114" s="35" t="str">
        <f t="shared" si="133"/>
        <v>Toán -5C1</v>
      </c>
      <c r="AD114" s="35" t="str">
        <f t="shared" si="118"/>
        <v>Hà</v>
      </c>
      <c r="AE114" s="35" t="str">
        <f t="shared" si="119"/>
        <v>Văn -6A1</v>
      </c>
      <c r="AF114" s="35" t="str">
        <f t="shared" si="134"/>
        <v>Ánh NV</v>
      </c>
      <c r="AG114" s="35" t="str">
        <f t="shared" si="135"/>
        <v>Văn -7A1</v>
      </c>
      <c r="AH114" s="35" t="str">
        <f t="shared" si="136"/>
        <v>Tân</v>
      </c>
      <c r="AI114" s="35" t="str">
        <f t="shared" si="137"/>
        <v>Toán -8A1</v>
      </c>
      <c r="AJ114" s="35" t="str">
        <f t="shared" si="138"/>
        <v>Hiền</v>
      </c>
      <c r="AK114" s="35" t="str">
        <f t="shared" si="139"/>
        <v>Toán -TTH1</v>
      </c>
      <c r="AL114" s="35" t="str">
        <f t="shared" si="140"/>
        <v>Aziz, Huyền</v>
      </c>
      <c r="AM114" s="35" t="str">
        <f t="shared" si="141"/>
        <v>GVNN -TTH2</v>
      </c>
    </row>
    <row r="115" spans="1:39" ht="15.95" customHeight="1" x14ac:dyDescent="0.25">
      <c r="A115" s="29" t="str">
        <f t="shared" si="112"/>
        <v>6Chiều5</v>
      </c>
      <c r="B115" s="29" t="str">
        <f t="shared" si="113"/>
        <v>6Chiều5</v>
      </c>
      <c r="C115" s="29" t="str">
        <f t="shared" si="114"/>
        <v/>
      </c>
      <c r="D115" s="29" t="str">
        <f t="shared" si="115"/>
        <v/>
      </c>
      <c r="E115" s="29" t="s">
        <v>6</v>
      </c>
      <c r="F115" s="29">
        <v>6</v>
      </c>
      <c r="G115" s="29" t="s">
        <v>4</v>
      </c>
      <c r="H115" s="29">
        <v>5</v>
      </c>
      <c r="I115" s="35" t="str">
        <f t="shared" si="120"/>
        <v/>
      </c>
      <c r="J115" s="35" t="str">
        <f t="shared" si="121"/>
        <v/>
      </c>
      <c r="K115" s="35" t="str">
        <f t="shared" ref="K115:K120" si="142">IF(K55=0,"",RIGHT(K55,LEN(K55)-FIND("-",K55)-1))</f>
        <v/>
      </c>
      <c r="L115" s="35" t="str">
        <f t="shared" si="123"/>
        <v/>
      </c>
      <c r="M115" s="35" t="str">
        <f t="shared" si="116"/>
        <v/>
      </c>
      <c r="N115" s="35" t="str">
        <f t="shared" si="117"/>
        <v/>
      </c>
      <c r="O115" s="35" t="str">
        <f>IF(L55=0,"",RIGHT(L55,LEN(L55)-FIND("-",L55)-1))</f>
        <v/>
      </c>
      <c r="P115" s="35" t="str">
        <f t="shared" si="125"/>
        <v/>
      </c>
      <c r="Q115" s="35" t="str">
        <f t="shared" si="126"/>
        <v/>
      </c>
      <c r="R115" s="35" t="str">
        <f t="shared" si="127"/>
        <v/>
      </c>
      <c r="S115" s="35" t="str">
        <f t="shared" si="128"/>
        <v/>
      </c>
      <c r="T115" s="35" t="str">
        <f t="shared" si="129"/>
        <v/>
      </c>
      <c r="U115" s="35"/>
      <c r="V115" s="35"/>
      <c r="W115" s="35"/>
      <c r="X115" s="35"/>
      <c r="Y115" s="35"/>
      <c r="Z115" s="35" t="str">
        <f t="shared" si="130"/>
        <v/>
      </c>
      <c r="AA115" s="35" t="str">
        <f t="shared" si="131"/>
        <v/>
      </c>
      <c r="AB115" s="35" t="str">
        <f t="shared" si="132"/>
        <v/>
      </c>
      <c r="AC115" s="35" t="str">
        <f t="shared" si="133"/>
        <v/>
      </c>
      <c r="AD115" s="35" t="str">
        <f t="shared" si="118"/>
        <v/>
      </c>
      <c r="AE115" s="35" t="str">
        <f t="shared" si="119"/>
        <v/>
      </c>
      <c r="AF115" s="35" t="str">
        <f t="shared" si="134"/>
        <v/>
      </c>
      <c r="AG115" s="35" t="str">
        <f t="shared" si="135"/>
        <v/>
      </c>
      <c r="AH115" s="35" t="str">
        <f t="shared" si="136"/>
        <v/>
      </c>
      <c r="AI115" s="35" t="str">
        <f t="shared" si="137"/>
        <v/>
      </c>
      <c r="AJ115" s="35" t="str">
        <f t="shared" si="138"/>
        <v/>
      </c>
      <c r="AK115" s="35" t="str">
        <f t="shared" si="139"/>
        <v/>
      </c>
      <c r="AL115" s="35" t="str">
        <f t="shared" si="140"/>
        <v/>
      </c>
      <c r="AM115" s="35" t="str">
        <f t="shared" si="141"/>
        <v/>
      </c>
    </row>
    <row r="116" spans="1:39" ht="15.95" customHeight="1" x14ac:dyDescent="0.25">
      <c r="A116" s="29" t="str">
        <f t="shared" si="112"/>
        <v>7Sáng1</v>
      </c>
      <c r="B116" s="29" t="str">
        <f t="shared" si="113"/>
        <v>7Sáng1</v>
      </c>
      <c r="C116" s="29" t="str">
        <f t="shared" si="114"/>
        <v/>
      </c>
      <c r="D116" s="29" t="str">
        <f t="shared" si="115"/>
        <v/>
      </c>
      <c r="E116" s="29" t="s">
        <v>6</v>
      </c>
      <c r="F116" s="29">
        <v>7</v>
      </c>
      <c r="G116" s="29" t="s">
        <v>3</v>
      </c>
      <c r="H116" s="29">
        <v>1</v>
      </c>
      <c r="I116" s="35" t="str">
        <f t="shared" si="120"/>
        <v/>
      </c>
      <c r="J116" s="35" t="str">
        <f t="shared" si="121"/>
        <v/>
      </c>
      <c r="K116" s="35" t="str">
        <f t="shared" si="142"/>
        <v/>
      </c>
      <c r="L116" s="35" t="str">
        <f t="shared" si="123"/>
        <v/>
      </c>
      <c r="M116" s="35" t="str">
        <f t="shared" si="116"/>
        <v/>
      </c>
      <c r="N116" s="35" t="str">
        <f t="shared" si="117"/>
        <v/>
      </c>
      <c r="O116" s="35" t="str">
        <f>IF(L56=0,"",RIGHT(L56,LEN(L56)-FIND("-",L56)-1))</f>
        <v/>
      </c>
      <c r="P116" s="35" t="str">
        <f t="shared" si="125"/>
        <v/>
      </c>
      <c r="Q116" s="35" t="str">
        <f t="shared" si="126"/>
        <v/>
      </c>
      <c r="R116" s="35" t="str">
        <f t="shared" si="127"/>
        <v/>
      </c>
      <c r="S116" s="35" t="str">
        <f t="shared" si="128"/>
        <v/>
      </c>
      <c r="T116" s="35" t="str">
        <f t="shared" si="129"/>
        <v/>
      </c>
      <c r="U116" s="35"/>
      <c r="V116" s="35"/>
      <c r="W116" s="35"/>
      <c r="X116" s="35"/>
      <c r="Y116" s="35"/>
      <c r="Z116" s="35" t="str">
        <f t="shared" si="130"/>
        <v/>
      </c>
      <c r="AA116" s="35" t="str">
        <f t="shared" si="131"/>
        <v/>
      </c>
      <c r="AB116" s="35" t="str">
        <f t="shared" si="132"/>
        <v/>
      </c>
      <c r="AC116" s="35" t="str">
        <f t="shared" si="133"/>
        <v/>
      </c>
      <c r="AD116" s="35" t="str">
        <f t="shared" si="118"/>
        <v/>
      </c>
      <c r="AE116" s="35" t="str">
        <f t="shared" si="119"/>
        <v/>
      </c>
      <c r="AF116" s="35" t="str">
        <f t="shared" si="134"/>
        <v/>
      </c>
      <c r="AG116" s="35" t="str">
        <f t="shared" si="135"/>
        <v/>
      </c>
      <c r="AH116" s="35" t="str">
        <f t="shared" si="136"/>
        <v/>
      </c>
      <c r="AI116" s="35" t="str">
        <f t="shared" si="137"/>
        <v/>
      </c>
      <c r="AJ116" s="35" t="str">
        <f t="shared" si="138"/>
        <v/>
      </c>
      <c r="AK116" s="35" t="str">
        <f t="shared" si="139"/>
        <v/>
      </c>
      <c r="AL116" s="35" t="str">
        <f t="shared" si="140"/>
        <v/>
      </c>
      <c r="AM116" s="35" t="str">
        <f t="shared" si="141"/>
        <v/>
      </c>
    </row>
    <row r="117" spans="1:39" ht="15.95" customHeight="1" x14ac:dyDescent="0.25">
      <c r="A117" s="29" t="str">
        <f t="shared" si="112"/>
        <v>7Sáng2</v>
      </c>
      <c r="B117" s="29" t="str">
        <f t="shared" si="113"/>
        <v>7Sáng2</v>
      </c>
      <c r="C117" s="29" t="str">
        <f t="shared" si="114"/>
        <v/>
      </c>
      <c r="D117" s="29" t="str">
        <f t="shared" si="115"/>
        <v/>
      </c>
      <c r="E117" s="29" t="s">
        <v>6</v>
      </c>
      <c r="F117" s="29">
        <v>7</v>
      </c>
      <c r="G117" s="29" t="s">
        <v>3</v>
      </c>
      <c r="H117" s="29">
        <v>2</v>
      </c>
      <c r="I117" s="35" t="str">
        <f t="shared" si="120"/>
        <v/>
      </c>
      <c r="J117" s="35" t="str">
        <f t="shared" si="121"/>
        <v/>
      </c>
      <c r="K117" s="35" t="str">
        <f t="shared" si="142"/>
        <v/>
      </c>
      <c r="L117" s="35" t="str">
        <f t="shared" si="123"/>
        <v/>
      </c>
      <c r="M117" s="35" t="str">
        <f t="shared" si="116"/>
        <v/>
      </c>
      <c r="N117" s="35" t="str">
        <f t="shared" si="117"/>
        <v/>
      </c>
      <c r="O117" s="35"/>
      <c r="P117" s="35" t="str">
        <f t="shared" si="125"/>
        <v/>
      </c>
      <c r="Q117" s="35" t="str">
        <f t="shared" si="126"/>
        <v/>
      </c>
      <c r="R117" s="35" t="str">
        <f t="shared" si="127"/>
        <v/>
      </c>
      <c r="S117" s="35" t="str">
        <f t="shared" si="128"/>
        <v/>
      </c>
      <c r="T117" s="35" t="str">
        <f t="shared" si="129"/>
        <v/>
      </c>
      <c r="U117" s="35"/>
      <c r="V117" s="35"/>
      <c r="W117" s="35"/>
      <c r="X117" s="35"/>
      <c r="Y117" s="35"/>
      <c r="Z117" s="35" t="str">
        <f t="shared" si="130"/>
        <v/>
      </c>
      <c r="AA117" s="35" t="str">
        <f t="shared" si="131"/>
        <v/>
      </c>
      <c r="AB117" s="35" t="str">
        <f t="shared" si="132"/>
        <v/>
      </c>
      <c r="AC117" s="35" t="str">
        <f t="shared" si="133"/>
        <v/>
      </c>
      <c r="AD117" s="35" t="str">
        <f t="shared" si="118"/>
        <v/>
      </c>
      <c r="AE117" s="35" t="str">
        <f t="shared" si="119"/>
        <v/>
      </c>
      <c r="AF117" s="35" t="str">
        <f t="shared" si="134"/>
        <v/>
      </c>
      <c r="AG117" s="35" t="str">
        <f t="shared" si="135"/>
        <v/>
      </c>
      <c r="AH117" s="35" t="str">
        <f t="shared" si="136"/>
        <v/>
      </c>
      <c r="AI117" s="35" t="str">
        <f t="shared" si="137"/>
        <v/>
      </c>
      <c r="AJ117" s="35" t="str">
        <f t="shared" si="138"/>
        <v/>
      </c>
      <c r="AK117" s="35" t="str">
        <f t="shared" si="139"/>
        <v/>
      </c>
      <c r="AL117" s="35" t="str">
        <f t="shared" si="140"/>
        <v/>
      </c>
      <c r="AM117" s="35" t="str">
        <f t="shared" si="141"/>
        <v/>
      </c>
    </row>
    <row r="118" spans="1:39" ht="15.95" customHeight="1" x14ac:dyDescent="0.25">
      <c r="A118" s="29" t="str">
        <f t="shared" si="112"/>
        <v>7Sáng3</v>
      </c>
      <c r="B118" s="29" t="str">
        <f t="shared" si="113"/>
        <v>7Sáng3</v>
      </c>
      <c r="C118" s="29" t="str">
        <f t="shared" si="114"/>
        <v/>
      </c>
      <c r="D118" s="29" t="str">
        <f t="shared" si="115"/>
        <v/>
      </c>
      <c r="E118" s="29" t="s">
        <v>6</v>
      </c>
      <c r="F118" s="29">
        <v>7</v>
      </c>
      <c r="G118" s="29" t="s">
        <v>3</v>
      </c>
      <c r="H118" s="29">
        <v>3</v>
      </c>
      <c r="I118" s="35" t="str">
        <f t="shared" si="120"/>
        <v/>
      </c>
      <c r="J118" s="35" t="str">
        <f t="shared" si="121"/>
        <v/>
      </c>
      <c r="K118" s="35" t="str">
        <f t="shared" si="142"/>
        <v/>
      </c>
      <c r="L118" s="35" t="str">
        <f>IF(L58=0,"",RIGHT(L58,LEN(L58)-FIND("-",L58)-1))</f>
        <v/>
      </c>
      <c r="M118" s="35" t="str">
        <f t="shared" si="116"/>
        <v/>
      </c>
      <c r="N118" s="35" t="str">
        <f t="shared" si="117"/>
        <v/>
      </c>
      <c r="O118" s="35"/>
      <c r="P118" s="35" t="str">
        <f t="shared" si="125"/>
        <v/>
      </c>
      <c r="Q118" s="35" t="str">
        <f t="shared" si="126"/>
        <v/>
      </c>
      <c r="R118" s="35" t="str">
        <f t="shared" si="127"/>
        <v/>
      </c>
      <c r="S118" s="35" t="str">
        <f t="shared" si="128"/>
        <v/>
      </c>
      <c r="T118" s="35" t="str">
        <f t="shared" si="129"/>
        <v/>
      </c>
      <c r="U118" s="35"/>
      <c r="V118" s="35"/>
      <c r="W118" s="35"/>
      <c r="X118" s="35"/>
      <c r="Y118" s="35"/>
      <c r="Z118" s="35" t="str">
        <f t="shared" si="130"/>
        <v/>
      </c>
      <c r="AA118" s="35" t="str">
        <f t="shared" si="131"/>
        <v/>
      </c>
      <c r="AB118" s="35" t="str">
        <f t="shared" si="132"/>
        <v/>
      </c>
      <c r="AC118" s="35" t="str">
        <f t="shared" si="133"/>
        <v/>
      </c>
      <c r="AD118" s="35" t="str">
        <f t="shared" si="118"/>
        <v/>
      </c>
      <c r="AE118" s="35" t="str">
        <f t="shared" si="119"/>
        <v/>
      </c>
      <c r="AF118" s="35" t="str">
        <f t="shared" si="134"/>
        <v/>
      </c>
      <c r="AG118" s="35" t="str">
        <f t="shared" si="135"/>
        <v/>
      </c>
      <c r="AH118" s="35" t="str">
        <f t="shared" si="136"/>
        <v/>
      </c>
      <c r="AI118" s="35" t="str">
        <f t="shared" si="137"/>
        <v/>
      </c>
      <c r="AJ118" s="35" t="str">
        <f t="shared" si="138"/>
        <v/>
      </c>
      <c r="AK118" s="35" t="str">
        <f t="shared" si="139"/>
        <v/>
      </c>
      <c r="AL118" s="35" t="str">
        <f t="shared" si="140"/>
        <v/>
      </c>
      <c r="AM118" s="35" t="str">
        <f t="shared" si="141"/>
        <v/>
      </c>
    </row>
    <row r="119" spans="1:39" ht="15.95" customHeight="1" x14ac:dyDescent="0.25">
      <c r="A119" s="29" t="str">
        <f t="shared" si="112"/>
        <v>7Sáng4</v>
      </c>
      <c r="B119" s="29" t="str">
        <f t="shared" si="113"/>
        <v>7Sáng4</v>
      </c>
      <c r="C119" s="29" t="str">
        <f t="shared" si="114"/>
        <v/>
      </c>
      <c r="D119" s="29" t="str">
        <f t="shared" si="115"/>
        <v/>
      </c>
      <c r="E119" s="29" t="s">
        <v>6</v>
      </c>
      <c r="F119" s="29">
        <v>7</v>
      </c>
      <c r="G119" s="29" t="s">
        <v>3</v>
      </c>
      <c r="H119" s="29">
        <v>4</v>
      </c>
      <c r="I119" s="35" t="str">
        <f t="shared" si="120"/>
        <v/>
      </c>
      <c r="J119" s="35" t="str">
        <f t="shared" si="121"/>
        <v/>
      </c>
      <c r="K119" s="35" t="str">
        <f t="shared" si="142"/>
        <v/>
      </c>
      <c r="L119" s="35" t="str">
        <f>IF(L59=0,"",RIGHT(L59,LEN(L59)-FIND("-",L59)-1))</f>
        <v/>
      </c>
      <c r="M119" s="35" t="str">
        <f t="shared" si="116"/>
        <v/>
      </c>
      <c r="N119" s="35" t="str">
        <f t="shared" si="117"/>
        <v/>
      </c>
      <c r="O119" s="35"/>
      <c r="P119" s="35" t="str">
        <f t="shared" si="125"/>
        <v/>
      </c>
      <c r="Q119" s="35" t="str">
        <f t="shared" si="126"/>
        <v/>
      </c>
      <c r="R119" s="35" t="str">
        <f t="shared" si="127"/>
        <v/>
      </c>
      <c r="S119" s="35" t="str">
        <f t="shared" si="128"/>
        <v/>
      </c>
      <c r="T119" s="35" t="str">
        <f t="shared" si="129"/>
        <v/>
      </c>
      <c r="U119" s="35"/>
      <c r="V119" s="35"/>
      <c r="W119" s="35"/>
      <c r="X119" s="35"/>
      <c r="Y119" s="35"/>
      <c r="Z119" s="35" t="str">
        <f t="shared" si="130"/>
        <v/>
      </c>
      <c r="AA119" s="35" t="str">
        <f t="shared" si="131"/>
        <v/>
      </c>
      <c r="AB119" s="35" t="str">
        <f t="shared" si="132"/>
        <v/>
      </c>
      <c r="AC119" s="35" t="str">
        <f t="shared" si="133"/>
        <v/>
      </c>
      <c r="AD119" s="35" t="str">
        <f t="shared" si="118"/>
        <v/>
      </c>
      <c r="AE119" s="35" t="str">
        <f t="shared" si="119"/>
        <v/>
      </c>
      <c r="AF119" s="35" t="str">
        <f t="shared" si="134"/>
        <v/>
      </c>
      <c r="AG119" s="35" t="str">
        <f t="shared" si="135"/>
        <v/>
      </c>
      <c r="AH119" s="35" t="str">
        <f t="shared" si="136"/>
        <v/>
      </c>
      <c r="AI119" s="35" t="str">
        <f t="shared" si="137"/>
        <v/>
      </c>
      <c r="AJ119" s="35" t="str">
        <f t="shared" si="138"/>
        <v/>
      </c>
      <c r="AK119" s="35" t="str">
        <f t="shared" si="139"/>
        <v/>
      </c>
      <c r="AL119" s="35" t="str">
        <f t="shared" si="140"/>
        <v/>
      </c>
      <c r="AM119" s="35" t="str">
        <f t="shared" si="141"/>
        <v/>
      </c>
    </row>
    <row r="120" spans="1:39" ht="15.95" customHeight="1" x14ac:dyDescent="0.25">
      <c r="A120" s="29" t="str">
        <f t="shared" si="112"/>
        <v>7Sáng5</v>
      </c>
      <c r="B120" s="29" t="str">
        <f t="shared" si="113"/>
        <v>7Sáng5</v>
      </c>
      <c r="C120" s="29" t="str">
        <f t="shared" si="114"/>
        <v/>
      </c>
      <c r="D120" s="29" t="str">
        <f t="shared" si="115"/>
        <v/>
      </c>
      <c r="E120" s="29" t="s">
        <v>6</v>
      </c>
      <c r="F120" s="29">
        <v>7</v>
      </c>
      <c r="G120" s="29" t="s">
        <v>3</v>
      </c>
      <c r="H120" s="29">
        <v>5</v>
      </c>
      <c r="I120" s="35" t="str">
        <f t="shared" si="120"/>
        <v/>
      </c>
      <c r="J120" s="35" t="str">
        <f t="shared" si="121"/>
        <v/>
      </c>
      <c r="K120" s="35" t="str">
        <f t="shared" si="142"/>
        <v/>
      </c>
      <c r="L120" s="35" t="str">
        <f>IF(L60=0,"",RIGHT(L60,LEN(L60)-FIND("-",L60)-1))</f>
        <v/>
      </c>
      <c r="M120" s="35" t="str">
        <f t="shared" si="116"/>
        <v/>
      </c>
      <c r="N120" s="35" t="str">
        <f t="shared" si="117"/>
        <v/>
      </c>
      <c r="O120" s="35"/>
      <c r="P120" s="35" t="str">
        <f t="shared" si="125"/>
        <v/>
      </c>
      <c r="Q120" s="35" t="str">
        <f t="shared" si="126"/>
        <v/>
      </c>
      <c r="R120" s="35" t="str">
        <f t="shared" si="127"/>
        <v/>
      </c>
      <c r="S120" s="35" t="str">
        <f t="shared" si="128"/>
        <v/>
      </c>
      <c r="T120" s="35" t="str">
        <f t="shared" si="129"/>
        <v/>
      </c>
      <c r="U120" s="35"/>
      <c r="V120" s="35"/>
      <c r="W120" s="35"/>
      <c r="X120" s="35"/>
      <c r="Y120" s="35"/>
      <c r="Z120" s="35" t="str">
        <f t="shared" si="130"/>
        <v/>
      </c>
      <c r="AA120" s="35" t="str">
        <f t="shared" si="131"/>
        <v/>
      </c>
      <c r="AB120" s="35" t="str">
        <f t="shared" si="132"/>
        <v/>
      </c>
      <c r="AC120" s="35" t="str">
        <f t="shared" si="133"/>
        <v/>
      </c>
      <c r="AD120" s="35" t="str">
        <f t="shared" si="118"/>
        <v/>
      </c>
      <c r="AE120" s="35" t="str">
        <f t="shared" si="119"/>
        <v/>
      </c>
      <c r="AF120" s="35" t="str">
        <f t="shared" si="134"/>
        <v/>
      </c>
      <c r="AG120" s="35" t="str">
        <f t="shared" si="135"/>
        <v/>
      </c>
      <c r="AH120" s="35" t="str">
        <f t="shared" si="136"/>
        <v/>
      </c>
      <c r="AI120" s="35" t="str">
        <f t="shared" si="137"/>
        <v/>
      </c>
      <c r="AJ120" s="35" t="str">
        <f t="shared" si="138"/>
        <v/>
      </c>
      <c r="AK120" s="35" t="str">
        <f t="shared" si="139"/>
        <v/>
      </c>
      <c r="AL120" s="35" t="str">
        <f t="shared" si="140"/>
        <v/>
      </c>
      <c r="AM120" s="35" t="str">
        <f t="shared" si="141"/>
        <v/>
      </c>
    </row>
    <row r="121" spans="1:39" x14ac:dyDescent="0.25">
      <c r="A121" s="29" t="str">
        <f t="shared" si="112"/>
        <v>7Chiều1</v>
      </c>
      <c r="B121" s="29" t="str">
        <f t="shared" si="113"/>
        <v>7Chiều1</v>
      </c>
      <c r="C121" s="29" t="str">
        <f t="shared" si="114"/>
        <v/>
      </c>
      <c r="D121" s="29" t="str">
        <f t="shared" si="115"/>
        <v/>
      </c>
      <c r="E121" s="29" t="s">
        <v>6</v>
      </c>
      <c r="F121" s="29">
        <v>7</v>
      </c>
      <c r="G121" s="29" t="s">
        <v>4</v>
      </c>
      <c r="H121" s="29">
        <v>1</v>
      </c>
      <c r="I121" s="35" t="str">
        <f t="shared" si="120"/>
        <v/>
      </c>
      <c r="J121" s="35" t="str">
        <f t="shared" si="121"/>
        <v/>
      </c>
      <c r="K121" s="35" t="str">
        <f t="shared" ref="K121:K123" si="143">IF(J61=0,"",RIGHT(J61,LEN(J61)-FIND("-",J61)-1))</f>
        <v/>
      </c>
      <c r="L121" s="35" t="str">
        <f>IF(K61=0,"",RIGHT(K61,LEN(K61)-FIND("-",K61)-1))</f>
        <v/>
      </c>
      <c r="M121" s="35" t="str">
        <f t="shared" si="116"/>
        <v/>
      </c>
      <c r="N121" s="35" t="str">
        <f t="shared" si="117"/>
        <v/>
      </c>
      <c r="O121" s="35"/>
      <c r="P121" s="35" t="str">
        <f>IF(J61=0,"",LEFT(J61,FIND("-",J61))&amp;$K$4)</f>
        <v/>
      </c>
      <c r="Q121" s="35" t="str">
        <f>IF(K61=0,"",RIGHT(K61,LEN(K61)-FIND("-",K61)-1))</f>
        <v/>
      </c>
      <c r="R121" s="35" t="str">
        <f>IF(K61=0,"",LEFT(K61,FIND("-",K61))&amp;$L$4)</f>
        <v/>
      </c>
      <c r="S121" s="35" t="str">
        <f>IF(L61=0,"",RIGHT(L61,LEN(L61)-FIND("-",L61)-1))</f>
        <v/>
      </c>
      <c r="T121" s="35" t="str">
        <f>IF(L61=0,"",LEFT(L61,FIND("-",L61))&amp;$M$4)</f>
        <v/>
      </c>
      <c r="U121" s="35"/>
      <c r="V121" s="35"/>
      <c r="W121" s="35"/>
      <c r="X121" s="35"/>
      <c r="Y121" s="35"/>
      <c r="Z121" s="35" t="str">
        <f>IF(M61=0,"",RIGHT(M61,LEN(M61)-FIND("-",M61)-1))</f>
        <v/>
      </c>
      <c r="AA121" s="35" t="str">
        <f>IF(M61=0,"",LEFT(M61,FIND("-",M61))&amp;$N$4)</f>
        <v/>
      </c>
      <c r="AB121" s="35" t="str">
        <f>IF(N61=0,"",RIGHT(N61,LEN(N61)-FIND("-",N61)-1))</f>
        <v/>
      </c>
      <c r="AC121" s="35" t="str">
        <f>IF(N61=0,"",LEFT(N61,FIND("-",N61))&amp;$O$4)</f>
        <v/>
      </c>
      <c r="AD121" s="35" t="str">
        <f t="shared" si="118"/>
        <v/>
      </c>
      <c r="AE121" s="35" t="str">
        <f t="shared" si="119"/>
        <v/>
      </c>
      <c r="AF121" s="35" t="str">
        <f>IF(O61=0,"",RIGHT(O61,LEN(O61)-FIND("-",O61)-1))</f>
        <v/>
      </c>
      <c r="AG121" s="35" t="str">
        <f>IF(O61=0,"",LEFT(O61,FIND("-",O61))&amp;$Q$4)</f>
        <v/>
      </c>
      <c r="AH121" s="35" t="str">
        <f>IF(P61=0,"",RIGHT(P61,LEN(P61)-FIND("-",P61)-1))</f>
        <v/>
      </c>
      <c r="AI121" s="35" t="str">
        <f>IF(P61=0,"",LEFT(P61,FIND("-",P61))&amp;$R$4)</f>
        <v/>
      </c>
      <c r="AJ121" s="35" t="str">
        <f>IF(Q61=0,"",RIGHT(Q61,LEN(Q61)-FIND("-",Q61)-1))</f>
        <v/>
      </c>
      <c r="AK121" s="35" t="str">
        <f>IF(Q61=0,"",LEFT(Q61,FIND("-",Q61))&amp;$S$4)</f>
        <v/>
      </c>
      <c r="AL121" s="35" t="str">
        <f>IF(S61=0,"",RIGHT(S61,LEN(S61)-FIND("-",S61)-1))</f>
        <v/>
      </c>
      <c r="AM121" s="35" t="str">
        <f t="shared" si="141"/>
        <v/>
      </c>
    </row>
    <row r="122" spans="1:39" x14ac:dyDescent="0.25">
      <c r="A122" s="29" t="str">
        <f t="shared" si="112"/>
        <v>7Chiều2</v>
      </c>
      <c r="B122" s="29" t="str">
        <f t="shared" si="113"/>
        <v>7Chiều2</v>
      </c>
      <c r="C122" s="29" t="str">
        <f t="shared" si="114"/>
        <v/>
      </c>
      <c r="D122" s="29" t="str">
        <f t="shared" si="115"/>
        <v/>
      </c>
      <c r="E122" s="29" t="s">
        <v>6</v>
      </c>
      <c r="F122" s="29">
        <v>7</v>
      </c>
      <c r="G122" s="29" t="s">
        <v>4</v>
      </c>
      <c r="H122" s="29">
        <v>2</v>
      </c>
      <c r="I122" s="35" t="str">
        <f t="shared" si="120"/>
        <v/>
      </c>
      <c r="J122" s="35" t="str">
        <f t="shared" si="121"/>
        <v/>
      </c>
      <c r="K122" s="35" t="str">
        <f t="shared" si="143"/>
        <v/>
      </c>
      <c r="L122" s="35" t="str">
        <f>IF(K62=0,"",RIGHT(K62,LEN(K62)-FIND("-",K62)-1))</f>
        <v/>
      </c>
      <c r="M122" s="35" t="str">
        <f t="shared" si="116"/>
        <v/>
      </c>
      <c r="N122" s="35" t="str">
        <f t="shared" si="117"/>
        <v/>
      </c>
      <c r="O122" s="35"/>
      <c r="P122" s="35" t="str">
        <f>IF(J62=0,"",LEFT(J62,FIND("-",J62))&amp;$K$4)</f>
        <v/>
      </c>
      <c r="Q122" s="35" t="str">
        <f>IF(K62=0,"",RIGHT(K62,LEN(K62)-FIND("-",K62)-1))</f>
        <v/>
      </c>
      <c r="R122" s="35" t="str">
        <f>IF(K62=0,"",LEFT(K62,FIND("-",K62))&amp;$L$4)</f>
        <v/>
      </c>
      <c r="S122" s="35" t="str">
        <f>IF(L62=0,"",RIGHT(L62,LEN(L62)-FIND("-",L62)-1))</f>
        <v/>
      </c>
      <c r="T122" s="35" t="str">
        <f>IF(L62=0,"",LEFT(L62,FIND("-",L62))&amp;$M$4)</f>
        <v/>
      </c>
      <c r="U122" s="35"/>
      <c r="V122" s="35"/>
      <c r="W122" s="35"/>
      <c r="X122" s="35"/>
      <c r="Y122" s="35"/>
      <c r="Z122" s="35" t="str">
        <f>IF(M62=0,"",RIGHT(M62,LEN(M62)-FIND("-",M62)-1))</f>
        <v/>
      </c>
      <c r="AA122" s="35" t="str">
        <f>IF(M62=0,"",LEFT(M62,FIND("-",M62))&amp;$N$4)</f>
        <v/>
      </c>
      <c r="AB122" s="35" t="str">
        <f>IF(N62=0,"",RIGHT(N62,LEN(N62)-FIND("-",N62)-1))</f>
        <v/>
      </c>
      <c r="AC122" s="35" t="str">
        <f>IF(N62=0,"",LEFT(N62,FIND("-",N62))&amp;$O$4)</f>
        <v/>
      </c>
      <c r="AD122" s="35" t="str">
        <f t="shared" si="118"/>
        <v/>
      </c>
      <c r="AE122" s="35" t="str">
        <f t="shared" si="119"/>
        <v/>
      </c>
      <c r="AF122" s="35" t="str">
        <f>IF(O62=0,"",RIGHT(O62,LEN(O62)-FIND("-",O62)-1))</f>
        <v/>
      </c>
      <c r="AG122" s="35" t="str">
        <f>IF(O62=0,"",LEFT(O62,FIND("-",O62))&amp;$Q$4)</f>
        <v/>
      </c>
      <c r="AH122" s="35" t="str">
        <f>IF(P62=0,"",RIGHT(P62,LEN(P62)-FIND("-",P62)-1))</f>
        <v/>
      </c>
      <c r="AI122" s="35" t="str">
        <f>IF(P62=0,"",LEFT(P62,FIND("-",P62))&amp;$R$4)</f>
        <v/>
      </c>
      <c r="AJ122" s="35" t="str">
        <f>IF(Q62=0,"",RIGHT(Q62,LEN(Q62)-FIND("-",Q62)-1))</f>
        <v/>
      </c>
      <c r="AK122" s="35" t="str">
        <f>IF(Q62=0,"",LEFT(Q62,FIND("-",Q62))&amp;$S$4)</f>
        <v/>
      </c>
      <c r="AL122" s="35" t="str">
        <f>IF(S62=0,"",RIGHT(S62,LEN(S62)-FIND("-",S62)-1))</f>
        <v/>
      </c>
      <c r="AM122" s="35" t="str">
        <f t="shared" si="141"/>
        <v/>
      </c>
    </row>
    <row r="123" spans="1:39" x14ac:dyDescent="0.25">
      <c r="A123" s="29" t="str">
        <f t="shared" si="112"/>
        <v>7Chiều3</v>
      </c>
      <c r="B123" s="29" t="str">
        <f t="shared" si="113"/>
        <v>7Chiều3</v>
      </c>
      <c r="C123" s="29" t="str">
        <f t="shared" si="114"/>
        <v/>
      </c>
      <c r="D123" s="29" t="str">
        <f t="shared" si="115"/>
        <v/>
      </c>
      <c r="E123" s="29" t="s">
        <v>6</v>
      </c>
      <c r="F123" s="29">
        <v>7</v>
      </c>
      <c r="G123" s="29" t="s">
        <v>4</v>
      </c>
      <c r="H123" s="29">
        <v>3</v>
      </c>
      <c r="I123" s="35" t="str">
        <f t="shared" si="120"/>
        <v/>
      </c>
      <c r="J123" s="35" t="str">
        <f t="shared" si="121"/>
        <v/>
      </c>
      <c r="K123" s="35" t="str">
        <f t="shared" si="143"/>
        <v/>
      </c>
      <c r="L123" s="35" t="str">
        <f>IF(K63=0,"",RIGHT(K63,LEN(K63)-FIND("-",K63)-1))</f>
        <v/>
      </c>
      <c r="M123" s="35" t="str">
        <f t="shared" si="116"/>
        <v/>
      </c>
      <c r="N123" s="35" t="str">
        <f t="shared" si="117"/>
        <v/>
      </c>
      <c r="O123" s="35"/>
      <c r="P123" s="35" t="str">
        <f>IF(J63=0,"",LEFT(J63,FIND("-",J63))&amp;$K$4)</f>
        <v/>
      </c>
      <c r="Q123" s="35" t="str">
        <f>IF(K63=0,"",RIGHT(K63,LEN(K63)-FIND("-",K63)-1))</f>
        <v/>
      </c>
      <c r="R123" s="35" t="str">
        <f>IF(K63=0,"",LEFT(K63,FIND("-",K63))&amp;$L$4)</f>
        <v/>
      </c>
      <c r="S123" s="35" t="str">
        <f>IF(L63=0,"",RIGHT(L63,LEN(L63)-FIND("-",L63)-1))</f>
        <v/>
      </c>
      <c r="T123" s="35" t="str">
        <f>IF(L63=0,"",LEFT(L63,FIND("-",L63))&amp;$M$4)</f>
        <v/>
      </c>
      <c r="U123" s="35"/>
      <c r="V123" s="35"/>
      <c r="W123" s="35"/>
      <c r="X123" s="35"/>
      <c r="Y123" s="35"/>
      <c r="Z123" s="35" t="str">
        <f>IF(M63=0,"",RIGHT(M63,LEN(M63)-FIND("-",M63)-1))</f>
        <v/>
      </c>
      <c r="AA123" s="35" t="str">
        <f>IF(M63=0,"",LEFT(M63,FIND("-",M63))&amp;$N$4)</f>
        <v/>
      </c>
      <c r="AB123" s="35" t="str">
        <f>IF(N63=0,"",RIGHT(N63,LEN(N63)-FIND("-",N63)-1))</f>
        <v/>
      </c>
      <c r="AC123" s="35" t="str">
        <f>IF(N63=0,"",LEFT(N63,FIND("-",N63))&amp;$O$4)</f>
        <v/>
      </c>
      <c r="AD123" s="35" t="str">
        <f t="shared" si="118"/>
        <v/>
      </c>
      <c r="AE123" s="35" t="str">
        <f t="shared" si="119"/>
        <v/>
      </c>
      <c r="AF123" s="35" t="str">
        <f>IF(O63=0,"",RIGHT(O63,LEN(O63)-FIND("-",O63)-1))</f>
        <v/>
      </c>
      <c r="AG123" s="35" t="str">
        <f>IF(O63=0,"",LEFT(O63,FIND("-",O63))&amp;$Q$4)</f>
        <v/>
      </c>
      <c r="AH123" s="35" t="str">
        <f>IF(P63=0,"",RIGHT(P63,LEN(P63)-FIND("-",P63)-1))</f>
        <v/>
      </c>
      <c r="AI123" s="35" t="str">
        <f>IF(P63=0,"",LEFT(P63,FIND("-",P63))&amp;$R$4)</f>
        <v/>
      </c>
      <c r="AJ123" s="35" t="str">
        <f>IF(Q63=0,"",RIGHT(Q63,LEN(Q63)-FIND("-",Q63)-1))</f>
        <v/>
      </c>
      <c r="AK123" s="35" t="str">
        <f>IF(Q63=0,"",LEFT(Q63,FIND("-",Q63))&amp;$S$4)</f>
        <v/>
      </c>
      <c r="AL123" s="35" t="str">
        <f>IF(S63=0,"",RIGHT(S63,LEN(S63)-FIND("-",S63)-1))</f>
        <v/>
      </c>
      <c r="AM123" s="35" t="str">
        <f t="shared" si="141"/>
        <v/>
      </c>
    </row>
    <row r="124" spans="1:39" x14ac:dyDescent="0.25">
      <c r="A124" s="29" t="str">
        <f t="shared" si="112"/>
        <v>7Chiều4</v>
      </c>
      <c r="B124" s="29" t="e">
        <f t="shared" si="113"/>
        <v>#VALUE!</v>
      </c>
      <c r="C124" s="29" t="str">
        <f t="shared" si="114"/>
        <v/>
      </c>
      <c r="D124" s="29" t="str">
        <f t="shared" si="115"/>
        <v/>
      </c>
      <c r="E124" s="29" t="s">
        <v>6</v>
      </c>
      <c r="F124" s="29">
        <v>7</v>
      </c>
      <c r="G124" s="29" t="s">
        <v>4</v>
      </c>
      <c r="H124" s="29">
        <v>4</v>
      </c>
      <c r="I124" s="35" t="e">
        <f>IF(I64=0,"",RIGHT(I64,LEN(I64)-FIND("-",I64)-1))</f>
        <v>#VALUE!</v>
      </c>
      <c r="J124" s="35" t="e">
        <f>IF(I64=0,"",LEFT(I64,FIND("-",I64))&amp;$H$4)</f>
        <v>#VALUE!</v>
      </c>
      <c r="K124" s="35" t="e">
        <f>IF(K64=0,"",RIGHT(K64,LEN(K64)-FIND("-",K64)-1))</f>
        <v>#VALUE!</v>
      </c>
      <c r="L124" s="35" t="str">
        <f>IF(L64=0,"",RIGHT(L64,LEN(L64)-FIND("-",L64)-1))</f>
        <v/>
      </c>
      <c r="M124" s="35" t="str">
        <f t="shared" si="116"/>
        <v/>
      </c>
      <c r="N124" s="35" t="str">
        <f t="shared" si="117"/>
        <v/>
      </c>
      <c r="O124" s="35"/>
      <c r="P124" s="35" t="e">
        <f>IF(K64=0,"",LEFT(K64,FIND("-",K64))&amp;$K$4)</f>
        <v>#VALUE!</v>
      </c>
      <c r="Q124" s="35" t="str">
        <f>IF(L64=0,"",RIGHT(L64,LEN(L64)-FIND("-",L64)-1))</f>
        <v/>
      </c>
      <c r="R124" s="35" t="str">
        <f>IF(L64=0,"",LEFT(L64,FIND("-",L64))&amp;$L$4)</f>
        <v/>
      </c>
      <c r="S124" s="35" t="e">
        <f>IF(O64=0,"",RIGHT(O64,LEN(O64)-FIND("-",O64)-1))</f>
        <v>#VALUE!</v>
      </c>
      <c r="T124" s="35" t="e">
        <f>IF(O64=0,"",LEFT(O64,FIND("-",O64))&amp;$M$4)</f>
        <v>#VALUE!</v>
      </c>
      <c r="U124" s="35"/>
      <c r="V124" s="35"/>
      <c r="W124" s="35"/>
      <c r="X124" s="35"/>
      <c r="Y124" s="35"/>
      <c r="Z124" s="35" t="str">
        <f>IF(P64=0,"",RIGHT(P64,LEN(P64)-FIND("-",P64)-1))</f>
        <v/>
      </c>
      <c r="AA124" s="35" t="str">
        <f>IF(P64=0,"",LEFT(P64,FIND("-",P64))&amp;$N$4)</f>
        <v/>
      </c>
      <c r="AB124" s="35" t="e">
        <f>IF(Q64=0,"",RIGHT(Q64,LEN(Q64)-FIND("-",Q64)-1))</f>
        <v>#VALUE!</v>
      </c>
      <c r="AC124" s="35" t="e">
        <f>IF(Q64=0,"",LEFT(Q64,FIND("-",Q64))&amp;$O$4)</f>
        <v>#VALUE!</v>
      </c>
      <c r="AD124" s="35" t="str">
        <f t="shared" si="118"/>
        <v/>
      </c>
      <c r="AE124" s="35" t="str">
        <f t="shared" si="119"/>
        <v/>
      </c>
      <c r="AF124" s="35" t="str">
        <f>IF(R64=0,"",RIGHT(R64,LEN(R64)-FIND("-",R64)-1))</f>
        <v/>
      </c>
      <c r="AG124" s="35" t="str">
        <f>IF(R64=0,"",LEFT(R64,FIND("-",R64))&amp;$Q$4)</f>
        <v/>
      </c>
      <c r="AH124" s="35" t="e">
        <f>IF(S64=0,"",RIGHT(S64,LEN(S64)-FIND("-",S64)-1))</f>
        <v>#VALUE!</v>
      </c>
      <c r="AI124" s="35" t="e">
        <f>IF(S64=0,"",LEFT(S64,FIND("-",S64))&amp;$R$4)</f>
        <v>#VALUE!</v>
      </c>
      <c r="AJ124" s="35" t="str">
        <f>IF(T64=0,"",RIGHT(T64,LEN(T64)-FIND("-",T64)-1))</f>
        <v/>
      </c>
      <c r="AK124" s="35" t="str">
        <f>IF(T64=0,"",LEFT(T64,FIND("-",T64))&amp;$S$4)</f>
        <v/>
      </c>
      <c r="AL124" s="35" t="str">
        <f>IF(V64=0,"",RIGHT(V64,LEN(V64)-FIND("-",V64)-1))</f>
        <v/>
      </c>
      <c r="AM124" s="35" t="str">
        <f>IF(V64=0,"",LEFT(V64,FIND("-",V64))&amp;$T$4)</f>
        <v/>
      </c>
    </row>
    <row r="125" spans="1:39" x14ac:dyDescent="0.25">
      <c r="A125" s="29" t="str">
        <f t="shared" si="112"/>
        <v>7Chiều5</v>
      </c>
      <c r="B125" s="29" t="e">
        <f t="shared" si="113"/>
        <v>#VALUE!</v>
      </c>
      <c r="C125" s="29" t="str">
        <f t="shared" si="114"/>
        <v/>
      </c>
      <c r="D125" s="29" t="str">
        <f t="shared" si="115"/>
        <v/>
      </c>
      <c r="E125" s="29" t="s">
        <v>6</v>
      </c>
      <c r="F125" s="29">
        <v>7</v>
      </c>
      <c r="G125" s="29" t="s">
        <v>4</v>
      </c>
      <c r="H125" s="29">
        <v>5</v>
      </c>
      <c r="I125" s="35" t="e">
        <f t="shared" ref="I125" si="144">IF(I65=0,"",RIGHT(I65,LEN(I65)-FIND("-",I65)-1))</f>
        <v>#VALUE!</v>
      </c>
      <c r="J125" s="35" t="e">
        <f>IF(I65=0,"",LEFT(I65,FIND("-",I65))&amp;$H$4)</f>
        <v>#VALUE!</v>
      </c>
      <c r="K125" s="35" t="e">
        <f>IF(K65=0,"",RIGHT(K65,LEN(K65)-FIND("-",K65)-1))</f>
        <v>#VALUE!</v>
      </c>
      <c r="L125" s="35" t="str">
        <f>IF(L65=0,"",RIGHT(L65,LEN(L65)-FIND("-",L65)-1))</f>
        <v/>
      </c>
      <c r="M125" s="35" t="e">
        <f t="shared" si="116"/>
        <v>#VALUE!</v>
      </c>
      <c r="N125" s="35" t="e">
        <f t="shared" si="117"/>
        <v>#VALUE!</v>
      </c>
      <c r="O125" s="35"/>
      <c r="P125" s="35" t="e">
        <f>IF(K65=0,"",LEFT(K65,FIND("-",K65))&amp;$K$4)</f>
        <v>#VALUE!</v>
      </c>
      <c r="Q125" s="35" t="str">
        <f>IF(L65=0,"",RIGHT(L65,LEN(L65)-FIND("-",L65)-1))</f>
        <v/>
      </c>
      <c r="R125" s="35" t="str">
        <f>IF(L65=0,"",LEFT(L65,FIND("-",L65))&amp;$L$4)</f>
        <v/>
      </c>
      <c r="S125" s="35" t="e">
        <f t="shared" ref="S125" si="145">IF(O65=0,"",RIGHT(O65,LEN(O65)-FIND("-",O65)-1))</f>
        <v>#VALUE!</v>
      </c>
      <c r="T125" s="35" t="e">
        <f t="shared" ref="T125" si="146">IF(O65=0,"",LEFT(O65,FIND("-",O65))&amp;$M$4)</f>
        <v>#VALUE!</v>
      </c>
      <c r="U125" s="35"/>
      <c r="V125" s="35"/>
      <c r="W125" s="35"/>
      <c r="X125" s="35"/>
      <c r="Y125" s="35"/>
      <c r="Z125" s="35" t="str">
        <f t="shared" ref="Z125" si="147">IF(P65=0,"",RIGHT(P65,LEN(P65)-FIND("-",P65)-1))</f>
        <v/>
      </c>
      <c r="AA125" s="35" t="str">
        <f t="shared" ref="AA125" si="148">IF(P65=0,"",LEFT(P65,FIND("-",P65))&amp;$N$4)</f>
        <v/>
      </c>
      <c r="AB125" s="35" t="e">
        <f>IF(Q65=0,"",RIGHT(Q65,LEN(Q65)-FIND("-",Q65)-1))</f>
        <v>#VALUE!</v>
      </c>
      <c r="AC125" s="35" t="e">
        <f>IF(Q65=0,"",LEFT(Q65,FIND("-",Q65))&amp;$O$4)</f>
        <v>#VALUE!</v>
      </c>
      <c r="AD125" s="35" t="str">
        <f t="shared" si="118"/>
        <v/>
      </c>
      <c r="AE125" s="35" t="str">
        <f t="shared" si="119"/>
        <v/>
      </c>
      <c r="AF125" s="35" t="str">
        <f>IF(R65=0,"",RIGHT(R65,LEN(R65)-FIND("-",R65)-1))</f>
        <v/>
      </c>
      <c r="AG125" s="35" t="str">
        <f>IF(R65=0,"",LEFT(R65,FIND("-",R65))&amp;$Q$4)</f>
        <v/>
      </c>
      <c r="AH125" s="35" t="e">
        <f>IF(S65=0,"",RIGHT(S65,LEN(S65)-FIND("-",S65)-1))</f>
        <v>#VALUE!</v>
      </c>
      <c r="AI125" s="35" t="e">
        <f>IF(S65=0,"",LEFT(S65,FIND("-",S65))&amp;$R$4)</f>
        <v>#VALUE!</v>
      </c>
      <c r="AJ125" s="35" t="str">
        <f>IF(T65=0,"",RIGHT(T65,LEN(T65)-FIND("-",T65)-1))</f>
        <v/>
      </c>
      <c r="AK125" s="35" t="str">
        <f>IF(T65=0,"",LEFT(T65,FIND("-",T65))&amp;$S$4)</f>
        <v/>
      </c>
      <c r="AL125" s="35" t="str">
        <f>IF(V65=0,"",RIGHT(V65,LEN(V65)-FIND("-",V65)-1))</f>
        <v/>
      </c>
      <c r="AM125" s="35" t="str">
        <f>IF(V65=0,"",LEFT(V65,FIND("-",V65))&amp;$T$4)</f>
        <v/>
      </c>
    </row>
    <row r="126" spans="1:39" x14ac:dyDescent="0.25">
      <c r="A126" s="29" t="str">
        <f t="shared" si="112"/>
        <v>2Sáng1</v>
      </c>
      <c r="B126" s="29" t="str">
        <f t="shared" si="113"/>
        <v>2Sáng1Nhi</v>
      </c>
      <c r="C126" s="29" t="str">
        <f t="shared" si="114"/>
        <v/>
      </c>
      <c r="D126" s="29" t="str">
        <f t="shared" si="115"/>
        <v/>
      </c>
      <c r="E126" s="29" t="s">
        <v>8</v>
      </c>
      <c r="F126" s="29">
        <v>2</v>
      </c>
      <c r="G126" s="29" t="s">
        <v>3</v>
      </c>
      <c r="H126" s="29">
        <v>1</v>
      </c>
      <c r="I126" s="36" t="str">
        <f>K66</f>
        <v>Nhi</v>
      </c>
      <c r="J126" s="36" t="str">
        <f>L66</f>
        <v>Đạo đức -1C1</v>
      </c>
    </row>
    <row r="127" spans="1:39" x14ac:dyDescent="0.25">
      <c r="A127" s="29" t="str">
        <f t="shared" si="112"/>
        <v>2Sáng2Tay</v>
      </c>
      <c r="B127" s="29" t="str">
        <f t="shared" si="113"/>
        <v>2Sáng2Huyền</v>
      </c>
      <c r="C127" s="29" t="str">
        <f t="shared" si="114"/>
        <v>Tay</v>
      </c>
      <c r="D127" s="29" t="str">
        <f t="shared" si="115"/>
        <v>Huyền</v>
      </c>
      <c r="E127" s="29" t="s">
        <v>8</v>
      </c>
      <c r="F127" s="29">
        <v>2</v>
      </c>
      <c r="G127" s="29" t="s">
        <v>3</v>
      </c>
      <c r="H127" s="29">
        <v>2</v>
      </c>
      <c r="I127" s="36" t="str">
        <f t="shared" ref="I127:I185" si="149">K67</f>
        <v>Tay, Huyền</v>
      </c>
      <c r="J127" s="36" t="str">
        <f t="shared" ref="J127:J158" si="150">L67</f>
        <v>GVNN -1C1</v>
      </c>
    </row>
    <row r="128" spans="1:39" x14ac:dyDescent="0.25">
      <c r="A128" s="29" t="str">
        <f t="shared" si="112"/>
        <v>2Sáng3</v>
      </c>
      <c r="B128" s="29" t="str">
        <f t="shared" si="113"/>
        <v>2Sáng3Trang ÂN</v>
      </c>
      <c r="C128" s="29" t="str">
        <f t="shared" si="114"/>
        <v/>
      </c>
      <c r="D128" s="29" t="str">
        <f t="shared" si="115"/>
        <v/>
      </c>
      <c r="E128" s="29" t="s">
        <v>8</v>
      </c>
      <c r="F128" s="29">
        <v>2</v>
      </c>
      <c r="G128" s="29" t="s">
        <v>3</v>
      </c>
      <c r="H128" s="29">
        <v>3</v>
      </c>
      <c r="I128" s="36" t="str">
        <f t="shared" si="149"/>
        <v>Trang ÂN</v>
      </c>
      <c r="J128" s="36" t="str">
        <f t="shared" si="150"/>
        <v>Nhạc -1C1</v>
      </c>
    </row>
    <row r="129" spans="1:10" x14ac:dyDescent="0.25">
      <c r="A129" s="29" t="str">
        <f t="shared" si="112"/>
        <v>2Sáng4</v>
      </c>
      <c r="B129" s="29" t="str">
        <f t="shared" si="113"/>
        <v>2Sáng4Trà</v>
      </c>
      <c r="C129" s="29" t="str">
        <f t="shared" si="114"/>
        <v/>
      </c>
      <c r="D129" s="29" t="str">
        <f t="shared" si="115"/>
        <v/>
      </c>
      <c r="E129" s="29" t="s">
        <v>8</v>
      </c>
      <c r="F129" s="29">
        <v>2</v>
      </c>
      <c r="G129" s="29" t="s">
        <v>3</v>
      </c>
      <c r="H129" s="29">
        <v>4</v>
      </c>
      <c r="I129" s="36" t="str">
        <f t="shared" si="149"/>
        <v>Trà</v>
      </c>
      <c r="J129" s="36" t="str">
        <f t="shared" si="150"/>
        <v>Science -1C1</v>
      </c>
    </row>
    <row r="130" spans="1:10" x14ac:dyDescent="0.25">
      <c r="A130" s="29" t="str">
        <f t="shared" si="112"/>
        <v>2Sáng5</v>
      </c>
      <c r="B130" s="29" t="str">
        <f t="shared" si="113"/>
        <v>2Sáng5</v>
      </c>
      <c r="C130" s="29" t="str">
        <f t="shared" si="114"/>
        <v/>
      </c>
      <c r="D130" s="29" t="str">
        <f t="shared" si="115"/>
        <v/>
      </c>
      <c r="E130" s="29" t="s">
        <v>8</v>
      </c>
      <c r="F130" s="29">
        <v>2</v>
      </c>
      <c r="G130" s="29" t="s">
        <v>3</v>
      </c>
      <c r="H130" s="29">
        <v>5</v>
      </c>
      <c r="I130" s="36" t="str">
        <f t="shared" si="149"/>
        <v/>
      </c>
      <c r="J130" s="36" t="str">
        <f t="shared" si="150"/>
        <v/>
      </c>
    </row>
    <row r="131" spans="1:10" x14ac:dyDescent="0.25">
      <c r="A131" s="29" t="str">
        <f t="shared" ref="A131:A194" si="151">F131&amp;G131&amp;H131&amp;C131</f>
        <v>2Chiều1</v>
      </c>
      <c r="B131" s="29" t="str">
        <f t="shared" ref="B131:B194" si="152">IF(D131="",F131&amp;G131&amp;H131&amp;I131,F131&amp;G131&amp;H131&amp;D131)</f>
        <v>2Chiều1Nhi</v>
      </c>
      <c r="C131" s="29" t="str">
        <f t="shared" ref="C131:C194" si="153">IFERROR(LEFT(I131,FIND(",",I131)-1),"")</f>
        <v/>
      </c>
      <c r="D131" s="29" t="str">
        <f t="shared" ref="D131:D194" si="154">IF(C131="","",RIGHT(I131,LEN(I131)-FIND(",",I131)-1))</f>
        <v/>
      </c>
      <c r="E131" s="29" t="s">
        <v>8</v>
      </c>
      <c r="F131" s="29">
        <v>2</v>
      </c>
      <c r="G131" s="29" t="s">
        <v>4</v>
      </c>
      <c r="H131" s="29">
        <v>1</v>
      </c>
      <c r="I131" s="36" t="str">
        <f t="shared" si="149"/>
        <v>Nhi</v>
      </c>
      <c r="J131" s="36" t="str">
        <f t="shared" si="150"/>
        <v>TViệt -1C1</v>
      </c>
    </row>
    <row r="132" spans="1:10" x14ac:dyDescent="0.25">
      <c r="A132" s="29" t="str">
        <f t="shared" si="151"/>
        <v>2Chiều2</v>
      </c>
      <c r="B132" s="29" t="str">
        <f t="shared" si="152"/>
        <v>2Chiều2Huyền</v>
      </c>
      <c r="C132" s="29" t="str">
        <f t="shared" si="153"/>
        <v/>
      </c>
      <c r="D132" s="29" t="str">
        <f t="shared" si="154"/>
        <v/>
      </c>
      <c r="E132" s="29" t="s">
        <v>8</v>
      </c>
      <c r="F132" s="29">
        <v>2</v>
      </c>
      <c r="G132" s="29" t="s">
        <v>4</v>
      </c>
      <c r="H132" s="29">
        <v>2</v>
      </c>
      <c r="I132" s="36" t="str">
        <f t="shared" si="149"/>
        <v>Huyền</v>
      </c>
      <c r="J132" s="36" t="str">
        <f t="shared" si="150"/>
        <v>GVVN -1C1</v>
      </c>
    </row>
    <row r="133" spans="1:10" x14ac:dyDescent="0.25">
      <c r="A133" s="29" t="str">
        <f t="shared" si="151"/>
        <v>2Chiều3</v>
      </c>
      <c r="B133" s="29" t="str">
        <f t="shared" si="152"/>
        <v>2Chiều3Phương Anh</v>
      </c>
      <c r="C133" s="29" t="str">
        <f t="shared" si="153"/>
        <v/>
      </c>
      <c r="D133" s="29" t="str">
        <f t="shared" si="154"/>
        <v/>
      </c>
      <c r="E133" s="29" t="s">
        <v>8</v>
      </c>
      <c r="F133" s="29">
        <v>2</v>
      </c>
      <c r="G133" s="29" t="s">
        <v>4</v>
      </c>
      <c r="H133" s="29">
        <v>3</v>
      </c>
      <c r="I133" s="36" t="str">
        <f t="shared" si="149"/>
        <v>Phương Anh</v>
      </c>
      <c r="J133" s="36" t="str">
        <f t="shared" si="150"/>
        <v>Toán -1C1</v>
      </c>
    </row>
    <row r="134" spans="1:10" x14ac:dyDescent="0.25">
      <c r="A134" s="29" t="str">
        <f t="shared" si="151"/>
        <v>2Chiều4</v>
      </c>
      <c r="B134" s="29" t="str">
        <f t="shared" si="152"/>
        <v>2Chiều4Nhi</v>
      </c>
      <c r="C134" s="29" t="str">
        <f t="shared" si="153"/>
        <v/>
      </c>
      <c r="D134" s="29" t="str">
        <f t="shared" si="154"/>
        <v/>
      </c>
      <c r="E134" s="29" t="s">
        <v>8</v>
      </c>
      <c r="F134" s="29">
        <v>2</v>
      </c>
      <c r="G134" s="29" t="s">
        <v>4</v>
      </c>
      <c r="H134" s="29">
        <v>4</v>
      </c>
      <c r="I134" s="36" t="str">
        <f t="shared" si="149"/>
        <v>Nhi</v>
      </c>
      <c r="J134" s="36" t="str">
        <f t="shared" si="150"/>
        <v>TViệt -1C1</v>
      </c>
    </row>
    <row r="135" spans="1:10" x14ac:dyDescent="0.25">
      <c r="A135" s="29" t="str">
        <f t="shared" si="151"/>
        <v>2Chiều5</v>
      </c>
      <c r="B135" s="29" t="str">
        <f t="shared" si="152"/>
        <v>2Chiều5</v>
      </c>
      <c r="C135" s="29" t="str">
        <f t="shared" si="153"/>
        <v/>
      </c>
      <c r="D135" s="29" t="str">
        <f t="shared" si="154"/>
        <v/>
      </c>
      <c r="E135" s="29" t="s">
        <v>8</v>
      </c>
      <c r="F135" s="29">
        <v>2</v>
      </c>
      <c r="G135" s="29" t="s">
        <v>4</v>
      </c>
      <c r="H135" s="29">
        <v>5</v>
      </c>
      <c r="I135" s="36" t="str">
        <f t="shared" si="149"/>
        <v/>
      </c>
      <c r="J135" s="36" t="str">
        <f t="shared" si="150"/>
        <v/>
      </c>
    </row>
    <row r="136" spans="1:10" x14ac:dyDescent="0.25">
      <c r="A136" s="29" t="str">
        <f t="shared" si="151"/>
        <v>3Sáng1</v>
      </c>
      <c r="B136" s="29" t="str">
        <f t="shared" si="152"/>
        <v>3Sáng1Phương Anh</v>
      </c>
      <c r="C136" s="29" t="str">
        <f t="shared" si="153"/>
        <v/>
      </c>
      <c r="D136" s="29" t="str">
        <f t="shared" si="154"/>
        <v/>
      </c>
      <c r="E136" s="29" t="s">
        <v>8</v>
      </c>
      <c r="F136" s="29">
        <v>3</v>
      </c>
      <c r="G136" s="29" t="s">
        <v>3</v>
      </c>
      <c r="H136" s="29">
        <v>1</v>
      </c>
      <c r="I136" s="36" t="str">
        <f t="shared" si="149"/>
        <v>Phương Anh</v>
      </c>
      <c r="J136" s="36" t="str">
        <f t="shared" si="150"/>
        <v>Toán -1C1</v>
      </c>
    </row>
    <row r="137" spans="1:10" x14ac:dyDescent="0.25">
      <c r="A137" s="29" t="str">
        <f t="shared" si="151"/>
        <v>3Sáng2Tay</v>
      </c>
      <c r="B137" s="29" t="str">
        <f t="shared" si="152"/>
        <v>3Sáng2Huyền</v>
      </c>
      <c r="C137" s="29" t="str">
        <f t="shared" si="153"/>
        <v>Tay</v>
      </c>
      <c r="D137" s="29" t="str">
        <f t="shared" si="154"/>
        <v>Huyền</v>
      </c>
      <c r="E137" s="29" t="s">
        <v>8</v>
      </c>
      <c r="F137" s="29">
        <v>3</v>
      </c>
      <c r="G137" s="29" t="s">
        <v>3</v>
      </c>
      <c r="H137" s="29">
        <v>2</v>
      </c>
      <c r="I137" s="36" t="str">
        <f t="shared" si="149"/>
        <v>Tay, Huyền</v>
      </c>
      <c r="J137" s="36" t="str">
        <f t="shared" si="150"/>
        <v>GVNN -1C1</v>
      </c>
    </row>
    <row r="138" spans="1:10" x14ac:dyDescent="0.25">
      <c r="A138" s="29" t="str">
        <f t="shared" si="151"/>
        <v>3Sáng3</v>
      </c>
      <c r="B138" s="29" t="str">
        <f t="shared" si="152"/>
        <v>3Sáng3Nhi</v>
      </c>
      <c r="C138" s="29" t="str">
        <f t="shared" si="153"/>
        <v/>
      </c>
      <c r="D138" s="29" t="str">
        <f t="shared" si="154"/>
        <v/>
      </c>
      <c r="E138" s="29" t="s">
        <v>8</v>
      </c>
      <c r="F138" s="29">
        <v>3</v>
      </c>
      <c r="G138" s="29" t="s">
        <v>3</v>
      </c>
      <c r="H138" s="29">
        <v>3</v>
      </c>
      <c r="I138" s="36" t="str">
        <f t="shared" si="149"/>
        <v>Nhi</v>
      </c>
      <c r="J138" s="36" t="str">
        <f t="shared" si="150"/>
        <v>TViệt -1C1</v>
      </c>
    </row>
    <row r="139" spans="1:10" x14ac:dyDescent="0.25">
      <c r="A139" s="29" t="str">
        <f t="shared" si="151"/>
        <v>3Sáng4</v>
      </c>
      <c r="B139" s="29" t="str">
        <f t="shared" si="152"/>
        <v>3Sáng4Nhi</v>
      </c>
      <c r="C139" s="29" t="str">
        <f t="shared" si="153"/>
        <v/>
      </c>
      <c r="D139" s="29" t="str">
        <f t="shared" si="154"/>
        <v/>
      </c>
      <c r="E139" s="29" t="s">
        <v>8</v>
      </c>
      <c r="F139" s="29">
        <v>3</v>
      </c>
      <c r="G139" s="29" t="s">
        <v>3</v>
      </c>
      <c r="H139" s="29">
        <v>4</v>
      </c>
      <c r="I139" s="36" t="str">
        <f t="shared" si="149"/>
        <v>Nhi</v>
      </c>
      <c r="J139" s="36" t="str">
        <f t="shared" si="150"/>
        <v>TViệt -1C1</v>
      </c>
    </row>
    <row r="140" spans="1:10" x14ac:dyDescent="0.25">
      <c r="A140" s="29" t="str">
        <f t="shared" si="151"/>
        <v>3Sáng5</v>
      </c>
      <c r="B140" s="29" t="str">
        <f t="shared" si="152"/>
        <v>3Sáng5</v>
      </c>
      <c r="C140" s="29" t="str">
        <f t="shared" si="153"/>
        <v/>
      </c>
      <c r="D140" s="29" t="str">
        <f t="shared" si="154"/>
        <v/>
      </c>
      <c r="E140" s="29" t="s">
        <v>8</v>
      </c>
      <c r="F140" s="29">
        <v>3</v>
      </c>
      <c r="G140" s="29" t="s">
        <v>3</v>
      </c>
      <c r="H140" s="29">
        <v>5</v>
      </c>
      <c r="I140" s="36" t="str">
        <f t="shared" si="149"/>
        <v/>
      </c>
      <c r="J140" s="36" t="str">
        <f t="shared" si="150"/>
        <v/>
      </c>
    </row>
    <row r="141" spans="1:10" x14ac:dyDescent="0.25">
      <c r="A141" s="29" t="str">
        <f t="shared" si="151"/>
        <v>3Chiều1</v>
      </c>
      <c r="B141" s="29" t="str">
        <f t="shared" si="152"/>
        <v>3Chiều1Huyền</v>
      </c>
      <c r="C141" s="29" t="str">
        <f t="shared" si="153"/>
        <v/>
      </c>
      <c r="D141" s="29" t="str">
        <f t="shared" si="154"/>
        <v/>
      </c>
      <c r="E141" s="29" t="s">
        <v>8</v>
      </c>
      <c r="F141" s="29">
        <v>3</v>
      </c>
      <c r="G141" s="29" t="s">
        <v>4</v>
      </c>
      <c r="H141" s="29">
        <v>1</v>
      </c>
      <c r="I141" s="36" t="str">
        <f t="shared" si="149"/>
        <v>Huyền</v>
      </c>
      <c r="J141" s="36" t="str">
        <f t="shared" si="150"/>
        <v>GVVN -1C1</v>
      </c>
    </row>
    <row r="142" spans="1:10" x14ac:dyDescent="0.25">
      <c r="A142" s="29" t="str">
        <f t="shared" si="151"/>
        <v>3Chiều2</v>
      </c>
      <c r="B142" s="29" t="str">
        <f t="shared" si="152"/>
        <v>3Chiều2Nguyên</v>
      </c>
      <c r="C142" s="29" t="str">
        <f t="shared" si="153"/>
        <v/>
      </c>
      <c r="D142" s="29" t="str">
        <f t="shared" si="154"/>
        <v/>
      </c>
      <c r="E142" s="29" t="s">
        <v>8</v>
      </c>
      <c r="F142" s="29">
        <v>3</v>
      </c>
      <c r="G142" s="29" t="s">
        <v>4</v>
      </c>
      <c r="H142" s="29">
        <v>2</v>
      </c>
      <c r="I142" s="36" t="str">
        <f t="shared" si="149"/>
        <v>Nguyên</v>
      </c>
      <c r="J142" s="36" t="str">
        <f t="shared" si="150"/>
        <v>Tin -1C1</v>
      </c>
    </row>
    <row r="143" spans="1:10" x14ac:dyDescent="0.25">
      <c r="A143" s="29" t="str">
        <f t="shared" si="151"/>
        <v>3Chiều3</v>
      </c>
      <c r="B143" s="29" t="str">
        <f t="shared" si="152"/>
        <v>3Chiều3Hồng</v>
      </c>
      <c r="C143" s="29" t="str">
        <f t="shared" si="153"/>
        <v/>
      </c>
      <c r="D143" s="29" t="str">
        <f t="shared" si="154"/>
        <v/>
      </c>
      <c r="E143" s="29" t="s">
        <v>8</v>
      </c>
      <c r="F143" s="29">
        <v>3</v>
      </c>
      <c r="G143" s="29" t="s">
        <v>4</v>
      </c>
      <c r="H143" s="29">
        <v>3</v>
      </c>
      <c r="I143" s="36" t="str">
        <f t="shared" si="149"/>
        <v>Hồng</v>
      </c>
      <c r="J143" s="36" t="str">
        <f t="shared" si="150"/>
        <v>GDTC -1C1</v>
      </c>
    </row>
    <row r="144" spans="1:10" x14ac:dyDescent="0.25">
      <c r="A144" s="29" t="str">
        <f t="shared" si="151"/>
        <v>3Chiều4</v>
      </c>
      <c r="B144" s="29" t="str">
        <f t="shared" si="152"/>
        <v>3Chiều4Hồng</v>
      </c>
      <c r="C144" s="29" t="str">
        <f t="shared" si="153"/>
        <v/>
      </c>
      <c r="D144" s="29" t="str">
        <f t="shared" si="154"/>
        <v/>
      </c>
      <c r="E144" s="29" t="s">
        <v>8</v>
      </c>
      <c r="F144" s="29">
        <v>3</v>
      </c>
      <c r="G144" s="29" t="s">
        <v>4</v>
      </c>
      <c r="H144" s="29">
        <v>4</v>
      </c>
      <c r="I144" s="36" t="str">
        <f t="shared" si="149"/>
        <v>Hồng</v>
      </c>
      <c r="J144" s="36" t="str">
        <f t="shared" si="150"/>
        <v>GDTC -1C1</v>
      </c>
    </row>
    <row r="145" spans="1:10" x14ac:dyDescent="0.25">
      <c r="A145" s="29" t="str">
        <f t="shared" si="151"/>
        <v>3Chiều5</v>
      </c>
      <c r="B145" s="29" t="str">
        <f t="shared" si="152"/>
        <v>3Chiều5</v>
      </c>
      <c r="C145" s="29" t="str">
        <f t="shared" si="153"/>
        <v/>
      </c>
      <c r="D145" s="29" t="str">
        <f t="shared" si="154"/>
        <v/>
      </c>
      <c r="E145" s="29" t="s">
        <v>8</v>
      </c>
      <c r="F145" s="29">
        <v>3</v>
      </c>
      <c r="G145" s="29" t="s">
        <v>4</v>
      </c>
      <c r="H145" s="29">
        <v>5</v>
      </c>
      <c r="I145" s="36" t="str">
        <f t="shared" si="149"/>
        <v/>
      </c>
      <c r="J145" s="36" t="str">
        <f t="shared" si="150"/>
        <v/>
      </c>
    </row>
    <row r="146" spans="1:10" x14ac:dyDescent="0.25">
      <c r="A146" s="29" t="str">
        <f t="shared" si="151"/>
        <v>4Sáng1</v>
      </c>
      <c r="B146" s="29" t="str">
        <f t="shared" si="152"/>
        <v>4Sáng1Huyền</v>
      </c>
      <c r="C146" s="29" t="str">
        <f t="shared" si="153"/>
        <v/>
      </c>
      <c r="D146" s="29" t="str">
        <f t="shared" si="154"/>
        <v/>
      </c>
      <c r="E146" s="29" t="s">
        <v>8</v>
      </c>
      <c r="F146" s="29">
        <v>4</v>
      </c>
      <c r="G146" s="29" t="s">
        <v>3</v>
      </c>
      <c r="H146" s="29">
        <v>1</v>
      </c>
      <c r="I146" s="36" t="str">
        <f t="shared" si="149"/>
        <v>Huyền</v>
      </c>
      <c r="J146" s="36" t="str">
        <f t="shared" si="150"/>
        <v>GVVN -1C1</v>
      </c>
    </row>
    <row r="147" spans="1:10" x14ac:dyDescent="0.25">
      <c r="A147" s="29" t="str">
        <f t="shared" si="151"/>
        <v>4Sáng2</v>
      </c>
      <c r="B147" s="29" t="str">
        <f t="shared" si="152"/>
        <v>4Sáng2Nhi</v>
      </c>
      <c r="C147" s="29" t="str">
        <f t="shared" si="153"/>
        <v/>
      </c>
      <c r="D147" s="29" t="str">
        <f t="shared" si="154"/>
        <v/>
      </c>
      <c r="E147" s="29" t="s">
        <v>8</v>
      </c>
      <c r="F147" s="29">
        <v>4</v>
      </c>
      <c r="G147" s="29" t="s">
        <v>3</v>
      </c>
      <c r="H147" s="29">
        <v>2</v>
      </c>
      <c r="I147" s="36" t="str">
        <f t="shared" si="149"/>
        <v>Nhi</v>
      </c>
      <c r="J147" s="36" t="str">
        <f t="shared" si="150"/>
        <v>TViệt -1C1</v>
      </c>
    </row>
    <row r="148" spans="1:10" x14ac:dyDescent="0.25">
      <c r="A148" s="29" t="str">
        <f t="shared" si="151"/>
        <v>4Sáng3</v>
      </c>
      <c r="B148" s="29" t="str">
        <f t="shared" si="152"/>
        <v>4Sáng3Nhi</v>
      </c>
      <c r="C148" s="29" t="str">
        <f t="shared" si="153"/>
        <v/>
      </c>
      <c r="D148" s="29" t="str">
        <f t="shared" si="154"/>
        <v/>
      </c>
      <c r="E148" s="29" t="s">
        <v>8</v>
      </c>
      <c r="F148" s="29">
        <v>4</v>
      </c>
      <c r="G148" s="29" t="s">
        <v>3</v>
      </c>
      <c r="H148" s="29">
        <v>3</v>
      </c>
      <c r="I148" s="36" t="str">
        <f t="shared" si="149"/>
        <v>Nhi</v>
      </c>
      <c r="J148" s="36" t="str">
        <f t="shared" si="150"/>
        <v>TViệt -1C1</v>
      </c>
    </row>
    <row r="149" spans="1:10" x14ac:dyDescent="0.25">
      <c r="A149" s="29" t="str">
        <f t="shared" si="151"/>
        <v>4Sáng4</v>
      </c>
      <c r="B149" s="29" t="str">
        <f t="shared" si="152"/>
        <v>4Sáng4Nhi</v>
      </c>
      <c r="C149" s="29" t="str">
        <f t="shared" si="153"/>
        <v/>
      </c>
      <c r="D149" s="29" t="str">
        <f t="shared" si="154"/>
        <v/>
      </c>
      <c r="E149" s="29" t="s">
        <v>8</v>
      </c>
      <c r="F149" s="29">
        <v>4</v>
      </c>
      <c r="G149" s="29" t="s">
        <v>3</v>
      </c>
      <c r="H149" s="29">
        <v>4</v>
      </c>
      <c r="I149" s="36" t="str">
        <f t="shared" si="149"/>
        <v>Nhi</v>
      </c>
      <c r="J149" s="36" t="str">
        <f t="shared" si="150"/>
        <v>KCST -1C1</v>
      </c>
    </row>
    <row r="150" spans="1:10" x14ac:dyDescent="0.25">
      <c r="A150" s="29" t="str">
        <f t="shared" si="151"/>
        <v>4Sáng5</v>
      </c>
      <c r="B150" s="29" t="str">
        <f t="shared" si="152"/>
        <v>4Sáng5</v>
      </c>
      <c r="C150" s="29" t="str">
        <f t="shared" si="153"/>
        <v/>
      </c>
      <c r="D150" s="29" t="str">
        <f t="shared" si="154"/>
        <v/>
      </c>
      <c r="E150" s="29" t="s">
        <v>8</v>
      </c>
      <c r="F150" s="29">
        <v>4</v>
      </c>
      <c r="G150" s="29" t="s">
        <v>3</v>
      </c>
      <c r="H150" s="29">
        <v>5</v>
      </c>
      <c r="I150" s="36" t="str">
        <f t="shared" si="149"/>
        <v/>
      </c>
      <c r="J150" s="36" t="str">
        <f t="shared" si="150"/>
        <v/>
      </c>
    </row>
    <row r="151" spans="1:10" x14ac:dyDescent="0.25">
      <c r="A151" s="29" t="str">
        <f t="shared" si="151"/>
        <v>4Chiều1</v>
      </c>
      <c r="B151" s="29" t="str">
        <f t="shared" si="152"/>
        <v>4Chiều1Trà</v>
      </c>
      <c r="C151" s="29" t="str">
        <f t="shared" si="153"/>
        <v/>
      </c>
      <c r="D151" s="29" t="str">
        <f t="shared" si="154"/>
        <v/>
      </c>
      <c r="E151" s="29" t="s">
        <v>8</v>
      </c>
      <c r="F151" s="29">
        <v>4</v>
      </c>
      <c r="G151" s="29" t="s">
        <v>4</v>
      </c>
      <c r="H151" s="29">
        <v>1</v>
      </c>
      <c r="I151" s="36" t="str">
        <f t="shared" si="149"/>
        <v>Trà</v>
      </c>
      <c r="J151" s="36" t="str">
        <f t="shared" si="150"/>
        <v>Science -1C1</v>
      </c>
    </row>
    <row r="152" spans="1:10" x14ac:dyDescent="0.25">
      <c r="A152" s="29" t="str">
        <f t="shared" si="151"/>
        <v>4Chiều2</v>
      </c>
      <c r="B152" s="29" t="str">
        <f t="shared" si="152"/>
        <v>4Chiều2Thanh</v>
      </c>
      <c r="C152" s="29" t="str">
        <f t="shared" si="153"/>
        <v/>
      </c>
      <c r="D152" s="29" t="str">
        <f t="shared" si="154"/>
        <v/>
      </c>
      <c r="E152" s="29" t="s">
        <v>8</v>
      </c>
      <c r="F152" s="29">
        <v>4</v>
      </c>
      <c r="G152" s="29" t="s">
        <v>4</v>
      </c>
      <c r="H152" s="29">
        <v>2</v>
      </c>
      <c r="I152" s="36" t="str">
        <f t="shared" si="149"/>
        <v>Thanh</v>
      </c>
      <c r="J152" s="36" t="str">
        <f t="shared" si="150"/>
        <v>Tiếng Trung -1C1</v>
      </c>
    </row>
    <row r="153" spans="1:10" x14ac:dyDescent="0.25">
      <c r="A153" s="29" t="str">
        <f t="shared" si="151"/>
        <v>4Chiều3Tay</v>
      </c>
      <c r="B153" s="29" t="str">
        <f t="shared" si="152"/>
        <v>4Chiều3Huyền</v>
      </c>
      <c r="C153" s="29" t="str">
        <f t="shared" si="153"/>
        <v>Tay</v>
      </c>
      <c r="D153" s="29" t="str">
        <f t="shared" si="154"/>
        <v>Huyền</v>
      </c>
      <c r="E153" s="29" t="s">
        <v>8</v>
      </c>
      <c r="F153" s="29">
        <v>4</v>
      </c>
      <c r="G153" s="29" t="s">
        <v>4</v>
      </c>
      <c r="H153" s="29">
        <v>3</v>
      </c>
      <c r="I153" s="36" t="str">
        <f t="shared" si="149"/>
        <v>Tay, Huyền</v>
      </c>
      <c r="J153" s="36" t="str">
        <f t="shared" si="150"/>
        <v>GVNN -1C1</v>
      </c>
    </row>
    <row r="154" spans="1:10" x14ac:dyDescent="0.25">
      <c r="A154" s="29" t="str">
        <f t="shared" si="151"/>
        <v>4Chiều4</v>
      </c>
      <c r="B154" s="29" t="str">
        <f t="shared" si="152"/>
        <v>4Chiều4Phương Anh</v>
      </c>
      <c r="C154" s="29" t="str">
        <f t="shared" si="153"/>
        <v/>
      </c>
      <c r="D154" s="29" t="str">
        <f t="shared" si="154"/>
        <v/>
      </c>
      <c r="E154" s="29" t="s">
        <v>8</v>
      </c>
      <c r="F154" s="29">
        <v>4</v>
      </c>
      <c r="G154" s="29" t="s">
        <v>4</v>
      </c>
      <c r="H154" s="29">
        <v>4</v>
      </c>
      <c r="I154" s="36" t="str">
        <f t="shared" si="149"/>
        <v>Phương Anh</v>
      </c>
      <c r="J154" s="36" t="str">
        <f t="shared" si="150"/>
        <v>Toán -1C1</v>
      </c>
    </row>
    <row r="155" spans="1:10" x14ac:dyDescent="0.25">
      <c r="A155" s="29" t="str">
        <f t="shared" si="151"/>
        <v>4Chiều5</v>
      </c>
      <c r="B155" s="29" t="str">
        <f t="shared" si="152"/>
        <v>4Chiều5</v>
      </c>
      <c r="C155" s="29" t="str">
        <f t="shared" si="153"/>
        <v/>
      </c>
      <c r="D155" s="29" t="str">
        <f t="shared" si="154"/>
        <v/>
      </c>
      <c r="E155" s="29" t="s">
        <v>8</v>
      </c>
      <c r="F155" s="29">
        <v>4</v>
      </c>
      <c r="G155" s="29" t="s">
        <v>4</v>
      </c>
      <c r="H155" s="29">
        <v>5</v>
      </c>
      <c r="I155" s="36" t="str">
        <f t="shared" si="149"/>
        <v/>
      </c>
      <c r="J155" s="36" t="str">
        <f t="shared" si="150"/>
        <v/>
      </c>
    </row>
    <row r="156" spans="1:10" x14ac:dyDescent="0.25">
      <c r="A156" s="29" t="str">
        <f t="shared" si="151"/>
        <v>5Sáng1</v>
      </c>
      <c r="B156" s="29" t="str">
        <f t="shared" si="152"/>
        <v>5Sáng1Huyền</v>
      </c>
      <c r="C156" s="29" t="str">
        <f t="shared" si="153"/>
        <v/>
      </c>
      <c r="D156" s="29" t="str">
        <f t="shared" si="154"/>
        <v/>
      </c>
      <c r="E156" s="29" t="s">
        <v>8</v>
      </c>
      <c r="F156" s="29">
        <v>5</v>
      </c>
      <c r="G156" s="29" t="s">
        <v>3</v>
      </c>
      <c r="H156" s="29">
        <v>1</v>
      </c>
      <c r="I156" s="36" t="str">
        <f t="shared" si="149"/>
        <v>Huyền</v>
      </c>
      <c r="J156" s="36" t="str">
        <f t="shared" si="150"/>
        <v>GVVN -1C1</v>
      </c>
    </row>
    <row r="157" spans="1:10" x14ac:dyDescent="0.25">
      <c r="A157" s="29" t="str">
        <f t="shared" si="151"/>
        <v>5Sáng2Tay</v>
      </c>
      <c r="B157" s="29" t="str">
        <f t="shared" si="152"/>
        <v>5Sáng2Huyền</v>
      </c>
      <c r="C157" s="29" t="str">
        <f t="shared" si="153"/>
        <v>Tay</v>
      </c>
      <c r="D157" s="29" t="str">
        <f t="shared" si="154"/>
        <v>Huyền</v>
      </c>
      <c r="E157" s="29" t="s">
        <v>8</v>
      </c>
      <c r="F157" s="29">
        <v>5</v>
      </c>
      <c r="G157" s="29" t="s">
        <v>3</v>
      </c>
      <c r="H157" s="29">
        <v>2</v>
      </c>
      <c r="I157" s="36" t="str">
        <f t="shared" si="149"/>
        <v>Tay, Huyền</v>
      </c>
      <c r="J157" s="36" t="str">
        <f t="shared" si="150"/>
        <v>GVNN -1C1</v>
      </c>
    </row>
    <row r="158" spans="1:10" x14ac:dyDescent="0.25">
      <c r="A158" s="29" t="str">
        <f t="shared" si="151"/>
        <v>5Sáng3</v>
      </c>
      <c r="B158" s="29" t="str">
        <f t="shared" si="152"/>
        <v>5Sáng3Phương Anh</v>
      </c>
      <c r="C158" s="29" t="str">
        <f t="shared" si="153"/>
        <v/>
      </c>
      <c r="D158" s="29" t="str">
        <f t="shared" si="154"/>
        <v/>
      </c>
      <c r="E158" s="29" t="s">
        <v>8</v>
      </c>
      <c r="F158" s="29">
        <v>5</v>
      </c>
      <c r="G158" s="29" t="s">
        <v>3</v>
      </c>
      <c r="H158" s="29">
        <v>3</v>
      </c>
      <c r="I158" s="36" t="str">
        <f t="shared" si="149"/>
        <v>Phương Anh</v>
      </c>
      <c r="J158" s="36" t="str">
        <f t="shared" si="150"/>
        <v>Toán -1C1</v>
      </c>
    </row>
    <row r="159" spans="1:10" x14ac:dyDescent="0.25">
      <c r="A159" s="29" t="str">
        <f t="shared" si="151"/>
        <v>5Sáng4</v>
      </c>
      <c r="B159" s="29" t="str">
        <f t="shared" si="152"/>
        <v>5Sáng4Nhi</v>
      </c>
      <c r="C159" s="29" t="str">
        <f t="shared" si="153"/>
        <v/>
      </c>
      <c r="D159" s="29" t="str">
        <f t="shared" si="154"/>
        <v/>
      </c>
      <c r="E159" s="29" t="s">
        <v>8</v>
      </c>
      <c r="F159" s="29">
        <v>5</v>
      </c>
      <c r="G159" s="29" t="s">
        <v>3</v>
      </c>
      <c r="H159" s="29">
        <v>4</v>
      </c>
      <c r="I159" s="36" t="str">
        <f t="shared" si="149"/>
        <v>Nhi</v>
      </c>
      <c r="J159" s="36" t="str">
        <f t="shared" ref="J159:J185" si="155">L99</f>
        <v>TNXH -1C1</v>
      </c>
    </row>
    <row r="160" spans="1:10" x14ac:dyDescent="0.25">
      <c r="A160" s="29" t="str">
        <f t="shared" si="151"/>
        <v>5Sáng5</v>
      </c>
      <c r="B160" s="29" t="str">
        <f t="shared" si="152"/>
        <v>5Sáng5</v>
      </c>
      <c r="C160" s="29" t="str">
        <f t="shared" si="153"/>
        <v/>
      </c>
      <c r="D160" s="29" t="str">
        <f t="shared" si="154"/>
        <v/>
      </c>
      <c r="E160" s="29" t="s">
        <v>8</v>
      </c>
      <c r="F160" s="29">
        <v>5</v>
      </c>
      <c r="G160" s="29" t="s">
        <v>3</v>
      </c>
      <c r="H160" s="29">
        <v>5</v>
      </c>
      <c r="I160" s="36" t="str">
        <f t="shared" si="149"/>
        <v/>
      </c>
      <c r="J160" s="36" t="str">
        <f t="shared" si="155"/>
        <v/>
      </c>
    </row>
    <row r="161" spans="1:10" x14ac:dyDescent="0.25">
      <c r="A161" s="29" t="str">
        <f t="shared" si="151"/>
        <v>5Chiều1</v>
      </c>
      <c r="B161" s="29" t="str">
        <f t="shared" si="152"/>
        <v>5Chiều1Nhi</v>
      </c>
      <c r="C161" s="29" t="str">
        <f t="shared" si="153"/>
        <v/>
      </c>
      <c r="D161" s="29" t="str">
        <f t="shared" si="154"/>
        <v/>
      </c>
      <c r="E161" s="29" t="s">
        <v>8</v>
      </c>
      <c r="F161" s="29">
        <v>5</v>
      </c>
      <c r="G161" s="29" t="s">
        <v>4</v>
      </c>
      <c r="H161" s="29">
        <v>1</v>
      </c>
      <c r="I161" s="36" t="str">
        <f t="shared" si="149"/>
        <v>Nhi</v>
      </c>
      <c r="J161" s="36" t="str">
        <f t="shared" si="155"/>
        <v>TViệt -1C1</v>
      </c>
    </row>
    <row r="162" spans="1:10" x14ac:dyDescent="0.25">
      <c r="A162" s="29" t="str">
        <f t="shared" si="151"/>
        <v>5Chiều2</v>
      </c>
      <c r="B162" s="29" t="str">
        <f t="shared" si="152"/>
        <v>5Chiều2Nhi</v>
      </c>
      <c r="C162" s="29" t="str">
        <f t="shared" si="153"/>
        <v/>
      </c>
      <c r="D162" s="29" t="str">
        <f t="shared" si="154"/>
        <v/>
      </c>
      <c r="E162" s="29" t="s">
        <v>8</v>
      </c>
      <c r="F162" s="29">
        <v>5</v>
      </c>
      <c r="G162" s="29" t="s">
        <v>4</v>
      </c>
      <c r="H162" s="29">
        <v>2</v>
      </c>
      <c r="I162" s="36" t="str">
        <f t="shared" si="149"/>
        <v>Nhi</v>
      </c>
      <c r="J162" s="36" t="str">
        <f t="shared" si="155"/>
        <v>TViệt -1C1</v>
      </c>
    </row>
    <row r="163" spans="1:10" x14ac:dyDescent="0.25">
      <c r="A163" s="29" t="str">
        <f t="shared" si="151"/>
        <v>5Chiều3</v>
      </c>
      <c r="B163" s="29" t="str">
        <f t="shared" si="152"/>
        <v>5Chiều3Phương Anh</v>
      </c>
      <c r="C163" s="29" t="str">
        <f t="shared" si="153"/>
        <v/>
      </c>
      <c r="D163" s="29" t="str">
        <f t="shared" si="154"/>
        <v/>
      </c>
      <c r="E163" s="29" t="s">
        <v>8</v>
      </c>
      <c r="F163" s="29">
        <v>5</v>
      </c>
      <c r="G163" s="29" t="s">
        <v>4</v>
      </c>
      <c r="H163" s="29">
        <v>3</v>
      </c>
      <c r="I163" s="36" t="str">
        <f t="shared" si="149"/>
        <v>Phương Anh</v>
      </c>
      <c r="J163" s="36" t="str">
        <f t="shared" si="155"/>
        <v>Toán -1C1</v>
      </c>
    </row>
    <row r="164" spans="1:10" x14ac:dyDescent="0.25">
      <c r="A164" s="29" t="str">
        <f t="shared" si="151"/>
        <v>5Chiều4</v>
      </c>
      <c r="B164" s="29" t="str">
        <f t="shared" si="152"/>
        <v>5Chiều4Nguyên</v>
      </c>
      <c r="C164" s="29" t="str">
        <f t="shared" si="153"/>
        <v/>
      </c>
      <c r="D164" s="29" t="str">
        <f t="shared" si="154"/>
        <v/>
      </c>
      <c r="E164" s="29" t="s">
        <v>8</v>
      </c>
      <c r="F164" s="29">
        <v>5</v>
      </c>
      <c r="G164" s="29" t="s">
        <v>4</v>
      </c>
      <c r="H164" s="29">
        <v>4</v>
      </c>
      <c r="I164" s="36" t="str">
        <f t="shared" si="149"/>
        <v>Nguyên</v>
      </c>
      <c r="J164" s="36" t="str">
        <f t="shared" si="155"/>
        <v>Robotics -1C1</v>
      </c>
    </row>
    <row r="165" spans="1:10" x14ac:dyDescent="0.25">
      <c r="A165" s="29" t="str">
        <f t="shared" si="151"/>
        <v>5Chiều5</v>
      </c>
      <c r="B165" s="29" t="str">
        <f t="shared" si="152"/>
        <v>5Chiều5</v>
      </c>
      <c r="C165" s="29" t="str">
        <f t="shared" si="153"/>
        <v/>
      </c>
      <c r="D165" s="29" t="str">
        <f t="shared" si="154"/>
        <v/>
      </c>
      <c r="E165" s="29" t="s">
        <v>8</v>
      </c>
      <c r="F165" s="29">
        <v>5</v>
      </c>
      <c r="G165" s="29" t="s">
        <v>4</v>
      </c>
      <c r="H165" s="29">
        <v>5</v>
      </c>
      <c r="I165" s="36" t="str">
        <f t="shared" si="149"/>
        <v/>
      </c>
      <c r="J165" s="36" t="str">
        <f t="shared" si="155"/>
        <v/>
      </c>
    </row>
    <row r="166" spans="1:10" x14ac:dyDescent="0.25">
      <c r="A166" s="29" t="str">
        <f t="shared" si="151"/>
        <v>6Sáng1</v>
      </c>
      <c r="B166" s="29" t="str">
        <f t="shared" si="152"/>
        <v>6Sáng1Nhi</v>
      </c>
      <c r="C166" s="29" t="str">
        <f t="shared" si="153"/>
        <v/>
      </c>
      <c r="D166" s="29" t="str">
        <f t="shared" si="154"/>
        <v/>
      </c>
      <c r="E166" s="29" t="s">
        <v>8</v>
      </c>
      <c r="F166" s="29">
        <v>6</v>
      </c>
      <c r="G166" s="29" t="s">
        <v>3</v>
      </c>
      <c r="H166" s="29">
        <v>1</v>
      </c>
      <c r="I166" s="36" t="str">
        <f t="shared" si="149"/>
        <v>Nhi</v>
      </c>
      <c r="J166" s="36" t="str">
        <f t="shared" si="155"/>
        <v>TViệt -1C1</v>
      </c>
    </row>
    <row r="167" spans="1:10" x14ac:dyDescent="0.25">
      <c r="A167" s="29" t="str">
        <f t="shared" si="151"/>
        <v>6Sáng2</v>
      </c>
      <c r="B167" s="29" t="str">
        <f t="shared" si="152"/>
        <v>6Sáng2Huyền</v>
      </c>
      <c r="C167" s="29" t="str">
        <f t="shared" si="153"/>
        <v/>
      </c>
      <c r="D167" s="29" t="str">
        <f t="shared" si="154"/>
        <v/>
      </c>
      <c r="E167" s="29" t="s">
        <v>8</v>
      </c>
      <c r="F167" s="29">
        <v>6</v>
      </c>
      <c r="G167" s="29" t="s">
        <v>3</v>
      </c>
      <c r="H167" s="29">
        <v>2</v>
      </c>
      <c r="I167" s="36" t="str">
        <f t="shared" si="149"/>
        <v>Huyền</v>
      </c>
      <c r="J167" s="36" t="str">
        <f t="shared" si="155"/>
        <v>GVVN -1C1</v>
      </c>
    </row>
    <row r="168" spans="1:10" x14ac:dyDescent="0.25">
      <c r="A168" s="29" t="str">
        <f t="shared" si="151"/>
        <v>6Sáng3</v>
      </c>
      <c r="B168" s="29" t="str">
        <f t="shared" si="152"/>
        <v>6Sáng3Phương</v>
      </c>
      <c r="C168" s="29" t="str">
        <f t="shared" si="153"/>
        <v/>
      </c>
      <c r="D168" s="29" t="str">
        <f t="shared" si="154"/>
        <v/>
      </c>
      <c r="E168" s="29" t="s">
        <v>8</v>
      </c>
      <c r="F168" s="29">
        <v>6</v>
      </c>
      <c r="G168" s="29" t="s">
        <v>3</v>
      </c>
      <c r="H168" s="29">
        <v>3</v>
      </c>
      <c r="I168" s="36" t="str">
        <f t="shared" si="149"/>
        <v>Phương</v>
      </c>
      <c r="J168" s="36" t="str">
        <f t="shared" si="155"/>
        <v>Mĩ thuật -1C1</v>
      </c>
    </row>
    <row r="169" spans="1:10" x14ac:dyDescent="0.25">
      <c r="A169" s="29" t="str">
        <f t="shared" si="151"/>
        <v>6Sáng4</v>
      </c>
      <c r="B169" s="29" t="str">
        <f t="shared" si="152"/>
        <v>6Sáng4Phương Anh</v>
      </c>
      <c r="C169" s="29" t="str">
        <f t="shared" si="153"/>
        <v/>
      </c>
      <c r="D169" s="29" t="str">
        <f t="shared" si="154"/>
        <v/>
      </c>
      <c r="E169" s="29" t="s">
        <v>8</v>
      </c>
      <c r="F169" s="29">
        <v>6</v>
      </c>
      <c r="G169" s="29" t="s">
        <v>3</v>
      </c>
      <c r="H169" s="29">
        <v>4</v>
      </c>
      <c r="I169" s="36" t="str">
        <f t="shared" si="149"/>
        <v>Phương Anh</v>
      </c>
      <c r="J169" s="36" t="str">
        <f t="shared" si="155"/>
        <v>Toán -1C1</v>
      </c>
    </row>
    <row r="170" spans="1:10" x14ac:dyDescent="0.25">
      <c r="A170" s="29" t="str">
        <f t="shared" si="151"/>
        <v>6Sáng5</v>
      </c>
      <c r="B170" s="29" t="str">
        <f t="shared" si="152"/>
        <v>6Sáng5</v>
      </c>
      <c r="C170" s="29" t="str">
        <f t="shared" si="153"/>
        <v/>
      </c>
      <c r="D170" s="29" t="str">
        <f t="shared" si="154"/>
        <v/>
      </c>
      <c r="E170" s="29" t="s">
        <v>8</v>
      </c>
      <c r="F170" s="29">
        <v>6</v>
      </c>
      <c r="G170" s="29" t="s">
        <v>3</v>
      </c>
      <c r="H170" s="29">
        <v>5</v>
      </c>
      <c r="I170" s="36" t="str">
        <f t="shared" si="149"/>
        <v/>
      </c>
      <c r="J170" s="36" t="str">
        <f t="shared" si="155"/>
        <v/>
      </c>
    </row>
    <row r="171" spans="1:10" x14ac:dyDescent="0.25">
      <c r="A171" s="29" t="str">
        <f t="shared" si="151"/>
        <v>6Chiều1</v>
      </c>
      <c r="B171" s="29" t="str">
        <f t="shared" si="152"/>
        <v>6Chiều1Huyền</v>
      </c>
      <c r="C171" s="29" t="str">
        <f t="shared" si="153"/>
        <v/>
      </c>
      <c r="D171" s="29" t="str">
        <f t="shared" si="154"/>
        <v/>
      </c>
      <c r="E171" s="29" t="s">
        <v>8</v>
      </c>
      <c r="F171" s="29">
        <v>6</v>
      </c>
      <c r="G171" s="29" t="s">
        <v>4</v>
      </c>
      <c r="H171" s="29">
        <v>1</v>
      </c>
      <c r="I171" s="36" t="str">
        <f t="shared" si="149"/>
        <v>Huyền</v>
      </c>
      <c r="J171" s="36" t="str">
        <f t="shared" si="155"/>
        <v>GVVN -1C1</v>
      </c>
    </row>
    <row r="172" spans="1:10" x14ac:dyDescent="0.25">
      <c r="A172" s="29" t="str">
        <f t="shared" si="151"/>
        <v>6Chiều2</v>
      </c>
      <c r="B172" s="29" t="str">
        <f t="shared" si="152"/>
        <v>6Chiều2Nhi</v>
      </c>
      <c r="C172" s="29" t="str">
        <f t="shared" si="153"/>
        <v/>
      </c>
      <c r="D172" s="29" t="str">
        <f t="shared" si="154"/>
        <v/>
      </c>
      <c r="E172" s="29" t="s">
        <v>8</v>
      </c>
      <c r="F172" s="29">
        <v>6</v>
      </c>
      <c r="G172" s="29" t="s">
        <v>4</v>
      </c>
      <c r="H172" s="29">
        <v>2</v>
      </c>
      <c r="I172" s="36" t="str">
        <f t="shared" si="149"/>
        <v>Nhi</v>
      </c>
      <c r="J172" s="36" t="str">
        <f t="shared" si="155"/>
        <v>KCST -1C1</v>
      </c>
    </row>
    <row r="173" spans="1:10" x14ac:dyDescent="0.25">
      <c r="A173" s="29" t="str">
        <f t="shared" si="151"/>
        <v>6Chiều3</v>
      </c>
      <c r="B173" s="29" t="str">
        <f t="shared" si="152"/>
        <v>6Chiều3Nhi</v>
      </c>
      <c r="C173" s="29" t="str">
        <f t="shared" si="153"/>
        <v/>
      </c>
      <c r="D173" s="29" t="str">
        <f t="shared" si="154"/>
        <v/>
      </c>
      <c r="E173" s="29" t="s">
        <v>8</v>
      </c>
      <c r="F173" s="29">
        <v>6</v>
      </c>
      <c r="G173" s="29" t="s">
        <v>4</v>
      </c>
      <c r="H173" s="29">
        <v>3</v>
      </c>
      <c r="I173" s="36" t="str">
        <f t="shared" si="149"/>
        <v>Nhi</v>
      </c>
      <c r="J173" s="36" t="str">
        <f t="shared" si="155"/>
        <v>TNXH -1C1</v>
      </c>
    </row>
    <row r="174" spans="1:10" x14ac:dyDescent="0.25">
      <c r="A174" s="29" t="str">
        <f t="shared" si="151"/>
        <v>6Chiều4</v>
      </c>
      <c r="B174" s="29" t="str">
        <f t="shared" si="152"/>
        <v>6Chiều4Nhi</v>
      </c>
      <c r="C174" s="29" t="str">
        <f t="shared" si="153"/>
        <v/>
      </c>
      <c r="D174" s="29" t="str">
        <f t="shared" si="154"/>
        <v/>
      </c>
      <c r="E174" s="29" t="s">
        <v>8</v>
      </c>
      <c r="F174" s="29">
        <v>6</v>
      </c>
      <c r="G174" s="29" t="s">
        <v>4</v>
      </c>
      <c r="H174" s="29">
        <v>4</v>
      </c>
      <c r="I174" s="36" t="str">
        <f t="shared" si="149"/>
        <v>Nhi</v>
      </c>
      <c r="J174" s="36" t="str">
        <f t="shared" si="155"/>
        <v>HĐTN -1C1</v>
      </c>
    </row>
    <row r="175" spans="1:10" x14ac:dyDescent="0.25">
      <c r="A175" s="29" t="str">
        <f t="shared" si="151"/>
        <v>6Chiều5</v>
      </c>
      <c r="B175" s="29" t="str">
        <f t="shared" si="152"/>
        <v>6Chiều5</v>
      </c>
      <c r="C175" s="29" t="str">
        <f t="shared" si="153"/>
        <v/>
      </c>
      <c r="D175" s="29" t="str">
        <f t="shared" si="154"/>
        <v/>
      </c>
      <c r="E175" s="29" t="s">
        <v>8</v>
      </c>
      <c r="F175" s="29">
        <v>6</v>
      </c>
      <c r="G175" s="29" t="s">
        <v>4</v>
      </c>
      <c r="H175" s="29">
        <v>5</v>
      </c>
      <c r="I175" s="36" t="str">
        <f t="shared" si="149"/>
        <v/>
      </c>
      <c r="J175" s="36" t="str">
        <f t="shared" si="155"/>
        <v/>
      </c>
    </row>
    <row r="176" spans="1:10" x14ac:dyDescent="0.25">
      <c r="A176" s="29" t="str">
        <f t="shared" si="151"/>
        <v>7Sáng1</v>
      </c>
      <c r="B176" s="29" t="str">
        <f t="shared" si="152"/>
        <v>7Sáng1</v>
      </c>
      <c r="C176" s="29" t="str">
        <f t="shared" si="153"/>
        <v/>
      </c>
      <c r="D176" s="29" t="str">
        <f t="shared" si="154"/>
        <v/>
      </c>
      <c r="E176" s="29" t="s">
        <v>8</v>
      </c>
      <c r="F176" s="29">
        <v>7</v>
      </c>
      <c r="G176" s="29" t="s">
        <v>3</v>
      </c>
      <c r="H176" s="29">
        <v>1</v>
      </c>
      <c r="I176" s="36" t="str">
        <f t="shared" si="149"/>
        <v/>
      </c>
      <c r="J176" s="36" t="str">
        <f t="shared" si="155"/>
        <v/>
      </c>
    </row>
    <row r="177" spans="1:10" x14ac:dyDescent="0.25">
      <c r="A177" s="29" t="str">
        <f t="shared" si="151"/>
        <v>7Sáng2</v>
      </c>
      <c r="B177" s="29" t="str">
        <f t="shared" si="152"/>
        <v>7Sáng2</v>
      </c>
      <c r="C177" s="29" t="str">
        <f t="shared" si="153"/>
        <v/>
      </c>
      <c r="D177" s="29" t="str">
        <f t="shared" si="154"/>
        <v/>
      </c>
      <c r="E177" s="29" t="s">
        <v>8</v>
      </c>
      <c r="F177" s="29">
        <v>7</v>
      </c>
      <c r="G177" s="29" t="s">
        <v>3</v>
      </c>
      <c r="H177" s="29">
        <v>2</v>
      </c>
      <c r="I177" s="36" t="str">
        <f t="shared" si="149"/>
        <v/>
      </c>
      <c r="J177" s="36" t="str">
        <f t="shared" si="155"/>
        <v/>
      </c>
    </row>
    <row r="178" spans="1:10" x14ac:dyDescent="0.25">
      <c r="A178" s="29" t="str">
        <f t="shared" si="151"/>
        <v>7Sáng3</v>
      </c>
      <c r="B178" s="29" t="str">
        <f t="shared" si="152"/>
        <v>7Sáng3</v>
      </c>
      <c r="C178" s="29" t="str">
        <f t="shared" si="153"/>
        <v/>
      </c>
      <c r="D178" s="29" t="str">
        <f t="shared" si="154"/>
        <v/>
      </c>
      <c r="E178" s="29" t="s">
        <v>8</v>
      </c>
      <c r="F178" s="29">
        <v>7</v>
      </c>
      <c r="G178" s="29" t="s">
        <v>3</v>
      </c>
      <c r="H178" s="29">
        <v>3</v>
      </c>
      <c r="I178" s="36" t="str">
        <f t="shared" si="149"/>
        <v/>
      </c>
      <c r="J178" s="36" t="str">
        <f t="shared" si="155"/>
        <v/>
      </c>
    </row>
    <row r="179" spans="1:10" x14ac:dyDescent="0.25">
      <c r="A179" s="29" t="str">
        <f t="shared" si="151"/>
        <v>7Sáng4</v>
      </c>
      <c r="B179" s="29" t="str">
        <f t="shared" si="152"/>
        <v>7Sáng4</v>
      </c>
      <c r="C179" s="29" t="str">
        <f t="shared" si="153"/>
        <v/>
      </c>
      <c r="D179" s="29" t="str">
        <f t="shared" si="154"/>
        <v/>
      </c>
      <c r="E179" s="29" t="s">
        <v>8</v>
      </c>
      <c r="F179" s="29">
        <v>7</v>
      </c>
      <c r="G179" s="29" t="s">
        <v>3</v>
      </c>
      <c r="H179" s="29">
        <v>4</v>
      </c>
      <c r="I179" s="36" t="str">
        <f t="shared" si="149"/>
        <v/>
      </c>
      <c r="J179" s="36" t="str">
        <f t="shared" si="155"/>
        <v/>
      </c>
    </row>
    <row r="180" spans="1:10" x14ac:dyDescent="0.25">
      <c r="A180" s="29" t="str">
        <f t="shared" si="151"/>
        <v>7Sáng5</v>
      </c>
      <c r="B180" s="29" t="str">
        <f t="shared" si="152"/>
        <v>7Sáng5</v>
      </c>
      <c r="C180" s="29" t="str">
        <f t="shared" si="153"/>
        <v/>
      </c>
      <c r="D180" s="29" t="str">
        <f t="shared" si="154"/>
        <v/>
      </c>
      <c r="E180" s="29" t="s">
        <v>8</v>
      </c>
      <c r="F180" s="29">
        <v>7</v>
      </c>
      <c r="G180" s="29" t="s">
        <v>3</v>
      </c>
      <c r="H180" s="29">
        <v>5</v>
      </c>
      <c r="I180" s="36" t="str">
        <f t="shared" si="149"/>
        <v/>
      </c>
      <c r="J180" s="36" t="str">
        <f t="shared" si="155"/>
        <v/>
      </c>
    </row>
    <row r="181" spans="1:10" x14ac:dyDescent="0.25">
      <c r="A181" s="29" t="str">
        <f t="shared" si="151"/>
        <v>7Chiều1</v>
      </c>
      <c r="B181" s="29" t="str">
        <f t="shared" si="152"/>
        <v>7Chiều1</v>
      </c>
      <c r="C181" s="29" t="str">
        <f t="shared" si="153"/>
        <v/>
      </c>
      <c r="D181" s="29" t="str">
        <f t="shared" si="154"/>
        <v/>
      </c>
      <c r="E181" s="29" t="s">
        <v>8</v>
      </c>
      <c r="F181" s="29">
        <v>7</v>
      </c>
      <c r="G181" s="29" t="s">
        <v>4</v>
      </c>
      <c r="H181" s="29">
        <v>1</v>
      </c>
      <c r="I181" s="36" t="str">
        <f t="shared" si="149"/>
        <v/>
      </c>
      <c r="J181" s="36" t="str">
        <f t="shared" si="155"/>
        <v/>
      </c>
    </row>
    <row r="182" spans="1:10" x14ac:dyDescent="0.25">
      <c r="A182" s="29" t="str">
        <f t="shared" si="151"/>
        <v>7Chiều2</v>
      </c>
      <c r="B182" s="29" t="str">
        <f t="shared" si="152"/>
        <v>7Chiều2</v>
      </c>
      <c r="C182" s="29" t="str">
        <f t="shared" si="153"/>
        <v/>
      </c>
      <c r="D182" s="29" t="str">
        <f t="shared" si="154"/>
        <v/>
      </c>
      <c r="E182" s="29" t="s">
        <v>8</v>
      </c>
      <c r="F182" s="29">
        <v>7</v>
      </c>
      <c r="G182" s="29" t="s">
        <v>4</v>
      </c>
      <c r="H182" s="29">
        <v>2</v>
      </c>
      <c r="I182" s="36" t="str">
        <f t="shared" si="149"/>
        <v/>
      </c>
      <c r="J182" s="36" t="str">
        <f t="shared" si="155"/>
        <v/>
      </c>
    </row>
    <row r="183" spans="1:10" x14ac:dyDescent="0.25">
      <c r="A183" s="29" t="str">
        <f t="shared" si="151"/>
        <v>7Chiều3</v>
      </c>
      <c r="B183" s="29" t="str">
        <f t="shared" si="152"/>
        <v>7Chiều3</v>
      </c>
      <c r="C183" s="29" t="str">
        <f t="shared" si="153"/>
        <v/>
      </c>
      <c r="D183" s="29" t="str">
        <f t="shared" si="154"/>
        <v/>
      </c>
      <c r="E183" s="29" t="s">
        <v>8</v>
      </c>
      <c r="F183" s="29">
        <v>7</v>
      </c>
      <c r="G183" s="29" t="s">
        <v>4</v>
      </c>
      <c r="H183" s="29">
        <v>3</v>
      </c>
      <c r="I183" s="36" t="str">
        <f t="shared" si="149"/>
        <v/>
      </c>
      <c r="J183" s="36" t="str">
        <f t="shared" si="155"/>
        <v/>
      </c>
    </row>
    <row r="184" spans="1:10" x14ac:dyDescent="0.25">
      <c r="A184" s="29" t="str">
        <f t="shared" si="151"/>
        <v>7Chiều4</v>
      </c>
      <c r="B184" s="29" t="e">
        <f t="shared" si="152"/>
        <v>#VALUE!</v>
      </c>
      <c r="C184" s="29" t="str">
        <f t="shared" si="153"/>
        <v/>
      </c>
      <c r="D184" s="29" t="str">
        <f t="shared" si="154"/>
        <v/>
      </c>
      <c r="E184" s="29" t="s">
        <v>8</v>
      </c>
      <c r="F184" s="29">
        <v>7</v>
      </c>
      <c r="G184" s="29" t="s">
        <v>4</v>
      </c>
      <c r="H184" s="29">
        <v>4</v>
      </c>
      <c r="I184" s="36" t="e">
        <f t="shared" si="149"/>
        <v>#VALUE!</v>
      </c>
      <c r="J184" s="36" t="str">
        <f t="shared" si="155"/>
        <v/>
      </c>
    </row>
    <row r="185" spans="1:10" x14ac:dyDescent="0.25">
      <c r="A185" s="29" t="str">
        <f t="shared" si="151"/>
        <v>7Chiều5</v>
      </c>
      <c r="B185" s="29" t="e">
        <f t="shared" si="152"/>
        <v>#VALUE!</v>
      </c>
      <c r="C185" s="29" t="str">
        <f t="shared" si="153"/>
        <v/>
      </c>
      <c r="D185" s="29" t="str">
        <f t="shared" si="154"/>
        <v/>
      </c>
      <c r="E185" s="29" t="s">
        <v>8</v>
      </c>
      <c r="F185" s="29">
        <v>7</v>
      </c>
      <c r="G185" s="29" t="s">
        <v>4</v>
      </c>
      <c r="H185" s="29">
        <v>5</v>
      </c>
      <c r="I185" s="36" t="e">
        <f t="shared" si="149"/>
        <v>#VALUE!</v>
      </c>
      <c r="J185" s="36" t="str">
        <f t="shared" si="155"/>
        <v/>
      </c>
    </row>
    <row r="186" spans="1:10" x14ac:dyDescent="0.25">
      <c r="A186" s="29" t="str">
        <f t="shared" si="151"/>
        <v>2Sáng1</v>
      </c>
      <c r="B186" s="29" t="str">
        <f t="shared" si="152"/>
        <v>2Sáng1Linh TH</v>
      </c>
      <c r="C186" s="29" t="str">
        <f t="shared" si="153"/>
        <v/>
      </c>
      <c r="D186" s="29" t="str">
        <f t="shared" si="154"/>
        <v/>
      </c>
      <c r="E186" s="29" t="s">
        <v>48</v>
      </c>
      <c r="F186" s="29">
        <v>2</v>
      </c>
      <c r="G186" s="29" t="s">
        <v>3</v>
      </c>
      <c r="H186" s="29">
        <v>1</v>
      </c>
      <c r="I186" s="36" t="str">
        <f>M66</f>
        <v>Linh TH</v>
      </c>
      <c r="J186" s="36" t="str">
        <f>N66</f>
        <v>Đạo đức -2A1</v>
      </c>
    </row>
    <row r="187" spans="1:10" x14ac:dyDescent="0.25">
      <c r="A187" s="29" t="str">
        <f t="shared" si="151"/>
        <v>2Sáng2</v>
      </c>
      <c r="B187" s="29" t="str">
        <f t="shared" si="152"/>
        <v>2Sáng2Linh TH</v>
      </c>
      <c r="C187" s="29" t="str">
        <f t="shared" si="153"/>
        <v/>
      </c>
      <c r="D187" s="29" t="str">
        <f t="shared" si="154"/>
        <v/>
      </c>
      <c r="E187" s="29" t="s">
        <v>48</v>
      </c>
      <c r="F187" s="29">
        <v>2</v>
      </c>
      <c r="G187" s="29" t="s">
        <v>3</v>
      </c>
      <c r="H187" s="29">
        <v>2</v>
      </c>
      <c r="I187" s="36" t="str">
        <f t="shared" ref="I187:J187" si="156">M67</f>
        <v>Linh TH</v>
      </c>
      <c r="J187" s="36" t="str">
        <f t="shared" si="156"/>
        <v>TViệt -2A1</v>
      </c>
    </row>
    <row r="188" spans="1:10" x14ac:dyDescent="0.25">
      <c r="A188" s="29" t="str">
        <f t="shared" si="151"/>
        <v>2Sáng3</v>
      </c>
      <c r="B188" s="29" t="str">
        <f t="shared" si="152"/>
        <v>2Sáng3Linh TH</v>
      </c>
      <c r="C188" s="29" t="str">
        <f t="shared" si="153"/>
        <v/>
      </c>
      <c r="D188" s="29" t="str">
        <f t="shared" si="154"/>
        <v/>
      </c>
      <c r="E188" s="29" t="s">
        <v>48</v>
      </c>
      <c r="F188" s="29">
        <v>2</v>
      </c>
      <c r="G188" s="29" t="s">
        <v>3</v>
      </c>
      <c r="H188" s="29">
        <v>3</v>
      </c>
      <c r="I188" s="36" t="str">
        <f t="shared" ref="I188:J188" si="157">M68</f>
        <v>Linh TH</v>
      </c>
      <c r="J188" s="36" t="str">
        <f t="shared" si="157"/>
        <v>TViệt -2A1</v>
      </c>
    </row>
    <row r="189" spans="1:10" x14ac:dyDescent="0.25">
      <c r="A189" s="29" t="str">
        <f t="shared" si="151"/>
        <v>2Sáng4</v>
      </c>
      <c r="B189" s="29" t="str">
        <f t="shared" si="152"/>
        <v>2Sáng4Trang</v>
      </c>
      <c r="C189" s="29" t="str">
        <f t="shared" si="153"/>
        <v/>
      </c>
      <c r="D189" s="29" t="str">
        <f t="shared" si="154"/>
        <v/>
      </c>
      <c r="E189" s="29" t="s">
        <v>48</v>
      </c>
      <c r="F189" s="29">
        <v>2</v>
      </c>
      <c r="G189" s="29" t="s">
        <v>3</v>
      </c>
      <c r="H189" s="29">
        <v>4</v>
      </c>
      <c r="I189" s="36" t="str">
        <f t="shared" ref="I189:J189" si="158">M69</f>
        <v>Trang</v>
      </c>
      <c r="J189" s="36" t="str">
        <f t="shared" si="158"/>
        <v>GVVN -2A1</v>
      </c>
    </row>
    <row r="190" spans="1:10" x14ac:dyDescent="0.25">
      <c r="A190" s="29" t="str">
        <f t="shared" si="151"/>
        <v>2Sáng5</v>
      </c>
      <c r="B190" s="29" t="str">
        <f t="shared" si="152"/>
        <v>2Sáng5</v>
      </c>
      <c r="C190" s="29" t="str">
        <f t="shared" si="153"/>
        <v/>
      </c>
      <c r="D190" s="29" t="str">
        <f t="shared" si="154"/>
        <v/>
      </c>
      <c r="E190" s="29" t="s">
        <v>48</v>
      </c>
      <c r="F190" s="29">
        <v>2</v>
      </c>
      <c r="G190" s="29" t="s">
        <v>3</v>
      </c>
      <c r="H190" s="29">
        <v>5</v>
      </c>
      <c r="I190" s="36" t="str">
        <f t="shared" ref="I190:J190" si="159">M70</f>
        <v/>
      </c>
      <c r="J190" s="36" t="str">
        <f t="shared" si="159"/>
        <v/>
      </c>
    </row>
    <row r="191" spans="1:10" x14ac:dyDescent="0.25">
      <c r="A191" s="29" t="str">
        <f t="shared" si="151"/>
        <v>2Chiều1</v>
      </c>
      <c r="B191" s="29" t="str">
        <f t="shared" si="152"/>
        <v>2Chiều1Thanh</v>
      </c>
      <c r="C191" s="29" t="str">
        <f t="shared" si="153"/>
        <v/>
      </c>
      <c r="D191" s="29" t="str">
        <f t="shared" si="154"/>
        <v/>
      </c>
      <c r="E191" s="29" t="s">
        <v>48</v>
      </c>
      <c r="F191" s="29">
        <v>2</v>
      </c>
      <c r="G191" s="29" t="s">
        <v>4</v>
      </c>
      <c r="H191" s="29">
        <v>1</v>
      </c>
      <c r="I191" s="36" t="str">
        <f t="shared" ref="I191:J191" si="160">M71</f>
        <v>Thanh</v>
      </c>
      <c r="J191" s="36" t="str">
        <f t="shared" si="160"/>
        <v>Tiếng Trung -2A1</v>
      </c>
    </row>
    <row r="192" spans="1:10" x14ac:dyDescent="0.25">
      <c r="A192" s="29" t="str">
        <f t="shared" si="151"/>
        <v>2Chiều2</v>
      </c>
      <c r="B192" s="29" t="str">
        <f t="shared" si="152"/>
        <v>2Chiều2Linh TH</v>
      </c>
      <c r="C192" s="29" t="str">
        <f t="shared" si="153"/>
        <v/>
      </c>
      <c r="D192" s="29" t="str">
        <f t="shared" si="154"/>
        <v/>
      </c>
      <c r="E192" s="29" t="s">
        <v>48</v>
      </c>
      <c r="F192" s="29">
        <v>2</v>
      </c>
      <c r="G192" s="29" t="s">
        <v>4</v>
      </c>
      <c r="H192" s="29">
        <v>2</v>
      </c>
      <c r="I192" s="36" t="str">
        <f t="shared" ref="I192:J192" si="161">M72</f>
        <v>Linh TH</v>
      </c>
      <c r="J192" s="36" t="str">
        <f t="shared" si="161"/>
        <v>Toán -2A1</v>
      </c>
    </row>
    <row r="193" spans="1:10" x14ac:dyDescent="0.25">
      <c r="A193" s="29" t="str">
        <f t="shared" si="151"/>
        <v>2Chiều3</v>
      </c>
      <c r="B193" s="29" t="str">
        <f t="shared" si="152"/>
        <v>2Chiều3Trang</v>
      </c>
      <c r="C193" s="29" t="str">
        <f t="shared" si="153"/>
        <v/>
      </c>
      <c r="D193" s="29" t="str">
        <f t="shared" si="154"/>
        <v/>
      </c>
      <c r="E193" s="29" t="s">
        <v>48</v>
      </c>
      <c r="F193" s="29">
        <v>2</v>
      </c>
      <c r="G193" s="29" t="s">
        <v>4</v>
      </c>
      <c r="H193" s="29">
        <v>3</v>
      </c>
      <c r="I193" s="36" t="str">
        <f t="shared" ref="I193:J193" si="162">M73</f>
        <v>Trang</v>
      </c>
      <c r="J193" s="36" t="str">
        <f t="shared" si="162"/>
        <v>GVVN -2A1</v>
      </c>
    </row>
    <row r="194" spans="1:10" x14ac:dyDescent="0.25">
      <c r="A194" s="29" t="str">
        <f t="shared" si="151"/>
        <v>2Chiều4</v>
      </c>
      <c r="B194" s="29" t="str">
        <f t="shared" si="152"/>
        <v>2Chiều4Linh TH</v>
      </c>
      <c r="C194" s="29" t="str">
        <f t="shared" si="153"/>
        <v/>
      </c>
      <c r="D194" s="29" t="str">
        <f t="shared" si="154"/>
        <v/>
      </c>
      <c r="E194" s="29" t="s">
        <v>48</v>
      </c>
      <c r="F194" s="29">
        <v>2</v>
      </c>
      <c r="G194" s="29" t="s">
        <v>4</v>
      </c>
      <c r="H194" s="29">
        <v>4</v>
      </c>
      <c r="I194" s="36" t="str">
        <f t="shared" ref="I194:J194" si="163">M74</f>
        <v>Linh TH</v>
      </c>
      <c r="J194" s="36" t="str">
        <f t="shared" si="163"/>
        <v>TNXH -2A1</v>
      </c>
    </row>
    <row r="195" spans="1:10" x14ac:dyDescent="0.25">
      <c r="A195" s="29" t="str">
        <f t="shared" ref="A195:A318" si="164">F195&amp;G195&amp;H195&amp;C195</f>
        <v>2Chiều5</v>
      </c>
      <c r="B195" s="29" t="str">
        <f t="shared" ref="B195:B318" si="165">IF(D195="",F195&amp;G195&amp;H195&amp;I195,F195&amp;G195&amp;H195&amp;D195)</f>
        <v>2Chiều5</v>
      </c>
      <c r="C195" s="29" t="str">
        <f t="shared" ref="C195:C318" si="166">IFERROR(LEFT(I195,FIND(",",I195)-1),"")</f>
        <v/>
      </c>
      <c r="D195" s="29" t="str">
        <f t="shared" ref="D195:D318" si="167">IF(C195="","",RIGHT(I195,LEN(I195)-FIND(",",I195)-1))</f>
        <v/>
      </c>
      <c r="E195" s="29" t="s">
        <v>48</v>
      </c>
      <c r="F195" s="29">
        <v>2</v>
      </c>
      <c r="G195" s="29" t="s">
        <v>4</v>
      </c>
      <c r="H195" s="29">
        <v>5</v>
      </c>
      <c r="I195" s="36" t="str">
        <f t="shared" ref="I195:J195" si="168">M75</f>
        <v/>
      </c>
      <c r="J195" s="36" t="str">
        <f t="shared" si="168"/>
        <v/>
      </c>
    </row>
    <row r="196" spans="1:10" x14ac:dyDescent="0.25">
      <c r="A196" s="29" t="str">
        <f t="shared" si="164"/>
        <v>3Sáng1</v>
      </c>
      <c r="B196" s="29" t="str">
        <f t="shared" si="165"/>
        <v>3Sáng1LinhTH</v>
      </c>
      <c r="C196" s="29" t="str">
        <f t="shared" si="166"/>
        <v/>
      </c>
      <c r="D196" s="29" t="str">
        <f t="shared" si="167"/>
        <v/>
      </c>
      <c r="E196" s="29" t="s">
        <v>48</v>
      </c>
      <c r="F196" s="29">
        <v>3</v>
      </c>
      <c r="G196" s="29" t="s">
        <v>3</v>
      </c>
      <c r="H196" s="29">
        <v>1</v>
      </c>
      <c r="I196" s="36" t="str">
        <f t="shared" ref="I196:J196" si="169">M76</f>
        <v>LinhTH</v>
      </c>
      <c r="J196" s="36" t="str">
        <f t="shared" si="169"/>
        <v>TViệt -2A1</v>
      </c>
    </row>
    <row r="197" spans="1:10" x14ac:dyDescent="0.25">
      <c r="A197" s="29" t="str">
        <f t="shared" si="164"/>
        <v>3Sáng2</v>
      </c>
      <c r="B197" s="29" t="str">
        <f t="shared" si="165"/>
        <v>3Sáng2Linh TH</v>
      </c>
      <c r="C197" s="29" t="str">
        <f t="shared" si="166"/>
        <v/>
      </c>
      <c r="D197" s="29" t="str">
        <f t="shared" si="167"/>
        <v/>
      </c>
      <c r="E197" s="29" t="s">
        <v>48</v>
      </c>
      <c r="F197" s="29">
        <v>3</v>
      </c>
      <c r="G197" s="29" t="s">
        <v>3</v>
      </c>
      <c r="H197" s="29">
        <v>2</v>
      </c>
      <c r="I197" s="36" t="str">
        <f t="shared" ref="I197:J197" si="170">M77</f>
        <v>Linh TH</v>
      </c>
      <c r="J197" s="36" t="str">
        <f t="shared" si="170"/>
        <v>TViệt -2A1</v>
      </c>
    </row>
    <row r="198" spans="1:10" x14ac:dyDescent="0.25">
      <c r="A198" s="29" t="str">
        <f t="shared" si="164"/>
        <v>3Sáng3</v>
      </c>
      <c r="B198" s="29" t="str">
        <f t="shared" si="165"/>
        <v>3Sáng3Trang</v>
      </c>
      <c r="C198" s="29" t="str">
        <f t="shared" si="166"/>
        <v/>
      </c>
      <c r="D198" s="29" t="str">
        <f t="shared" si="167"/>
        <v/>
      </c>
      <c r="E198" s="29" t="s">
        <v>48</v>
      </c>
      <c r="F198" s="29">
        <v>3</v>
      </c>
      <c r="G198" s="29" t="s">
        <v>3</v>
      </c>
      <c r="H198" s="29">
        <v>3</v>
      </c>
      <c r="I198" s="36" t="str">
        <f t="shared" ref="I198:J198" si="171">M78</f>
        <v>Trang</v>
      </c>
      <c r="J198" s="36" t="str">
        <f t="shared" si="171"/>
        <v>GVVN -2A1</v>
      </c>
    </row>
    <row r="199" spans="1:10" x14ac:dyDescent="0.25">
      <c r="A199" s="29" t="str">
        <f t="shared" si="164"/>
        <v>3Sáng4</v>
      </c>
      <c r="B199" s="29" t="str">
        <f t="shared" si="165"/>
        <v>3Sáng4Linh TH</v>
      </c>
      <c r="C199" s="29" t="str">
        <f t="shared" si="166"/>
        <v/>
      </c>
      <c r="D199" s="29" t="str">
        <f t="shared" si="167"/>
        <v/>
      </c>
      <c r="E199" s="29" t="s">
        <v>48</v>
      </c>
      <c r="F199" s="29">
        <v>3</v>
      </c>
      <c r="G199" s="29" t="s">
        <v>3</v>
      </c>
      <c r="H199" s="29">
        <v>4</v>
      </c>
      <c r="I199" s="36" t="str">
        <f t="shared" ref="I199:J199" si="172">M79</f>
        <v>Linh TH</v>
      </c>
      <c r="J199" s="36" t="str">
        <f t="shared" si="172"/>
        <v>TNXH -2A1</v>
      </c>
    </row>
    <row r="200" spans="1:10" x14ac:dyDescent="0.25">
      <c r="A200" s="29" t="str">
        <f t="shared" si="164"/>
        <v>3Sáng5</v>
      </c>
      <c r="B200" s="29" t="str">
        <f t="shared" si="165"/>
        <v>3Sáng5</v>
      </c>
      <c r="C200" s="29" t="str">
        <f t="shared" si="166"/>
        <v/>
      </c>
      <c r="D200" s="29" t="str">
        <f t="shared" si="167"/>
        <v/>
      </c>
      <c r="E200" s="29" t="s">
        <v>48</v>
      </c>
      <c r="F200" s="29">
        <v>3</v>
      </c>
      <c r="G200" s="29" t="s">
        <v>3</v>
      </c>
      <c r="H200" s="29">
        <v>5</v>
      </c>
      <c r="I200" s="36" t="str">
        <f t="shared" ref="I200:J200" si="173">M80</f>
        <v/>
      </c>
      <c r="J200" s="36" t="str">
        <f t="shared" si="173"/>
        <v/>
      </c>
    </row>
    <row r="201" spans="1:10" x14ac:dyDescent="0.25">
      <c r="A201" s="29" t="str">
        <f t="shared" si="164"/>
        <v>3Chiều1</v>
      </c>
      <c r="B201" s="29" t="str">
        <f t="shared" si="165"/>
        <v>3Chiều1Nguyên</v>
      </c>
      <c r="C201" s="29" t="str">
        <f t="shared" si="166"/>
        <v/>
      </c>
      <c r="D201" s="29" t="str">
        <f t="shared" si="167"/>
        <v/>
      </c>
      <c r="E201" s="29" t="s">
        <v>48</v>
      </c>
      <c r="F201" s="29">
        <v>3</v>
      </c>
      <c r="G201" s="29" t="s">
        <v>4</v>
      </c>
      <c r="H201" s="29">
        <v>1</v>
      </c>
      <c r="I201" s="36" t="str">
        <f t="shared" ref="I201:J201" si="174">M81</f>
        <v>Nguyên</v>
      </c>
      <c r="J201" s="36" t="str">
        <f t="shared" si="174"/>
        <v>Tin -2A1</v>
      </c>
    </row>
    <row r="202" spans="1:10" x14ac:dyDescent="0.25">
      <c r="A202" s="29" t="str">
        <f t="shared" si="164"/>
        <v>3Chiều2</v>
      </c>
      <c r="B202" s="29" t="str">
        <f t="shared" si="165"/>
        <v>3Chiều2Trang</v>
      </c>
      <c r="C202" s="29" t="str">
        <f t="shared" si="166"/>
        <v/>
      </c>
      <c r="D202" s="29" t="str">
        <f t="shared" si="167"/>
        <v/>
      </c>
      <c r="E202" s="29" t="s">
        <v>48</v>
      </c>
      <c r="F202" s="29">
        <v>3</v>
      </c>
      <c r="G202" s="29" t="s">
        <v>4</v>
      </c>
      <c r="H202" s="29">
        <v>2</v>
      </c>
      <c r="I202" s="36" t="str">
        <f t="shared" ref="I202:J202" si="175">M82</f>
        <v>Trang</v>
      </c>
      <c r="J202" s="36" t="str">
        <f t="shared" si="175"/>
        <v>GVVN -2A1</v>
      </c>
    </row>
    <row r="203" spans="1:10" x14ac:dyDescent="0.25">
      <c r="A203" s="29" t="str">
        <f t="shared" si="164"/>
        <v>3Chiều3</v>
      </c>
      <c r="B203" s="29" t="str">
        <f t="shared" si="165"/>
        <v>3Chiều3Linh TH</v>
      </c>
      <c r="C203" s="29" t="str">
        <f t="shared" si="166"/>
        <v/>
      </c>
      <c r="D203" s="29" t="str">
        <f t="shared" si="167"/>
        <v/>
      </c>
      <c r="E203" s="29" t="s">
        <v>48</v>
      </c>
      <c r="F203" s="29">
        <v>3</v>
      </c>
      <c r="G203" s="29" t="s">
        <v>4</v>
      </c>
      <c r="H203" s="29">
        <v>3</v>
      </c>
      <c r="I203" s="36" t="str">
        <f t="shared" ref="I203:J203" si="176">M83</f>
        <v>Linh TH</v>
      </c>
      <c r="J203" s="36" t="str">
        <f t="shared" si="176"/>
        <v>Toán -2A1</v>
      </c>
    </row>
    <row r="204" spans="1:10" x14ac:dyDescent="0.25">
      <c r="A204" s="29" t="str">
        <f t="shared" si="164"/>
        <v>3Chiều4</v>
      </c>
      <c r="B204" s="29" t="str">
        <f t="shared" si="165"/>
        <v>3Chiều4Linh TH</v>
      </c>
      <c r="C204" s="29" t="str">
        <f t="shared" si="166"/>
        <v/>
      </c>
      <c r="D204" s="29" t="str">
        <f t="shared" si="167"/>
        <v/>
      </c>
      <c r="E204" s="29" t="s">
        <v>48</v>
      </c>
      <c r="F204" s="29">
        <v>3</v>
      </c>
      <c r="G204" s="29" t="s">
        <v>4</v>
      </c>
      <c r="H204" s="29">
        <v>4</v>
      </c>
      <c r="I204" s="36" t="str">
        <f t="shared" ref="I204:J204" si="177">M84</f>
        <v>Linh TH</v>
      </c>
      <c r="J204" s="36" t="str">
        <f t="shared" si="177"/>
        <v>Toán -2A1</v>
      </c>
    </row>
    <row r="205" spans="1:10" x14ac:dyDescent="0.25">
      <c r="A205" s="29" t="str">
        <f t="shared" si="164"/>
        <v>3Chiều5</v>
      </c>
      <c r="B205" s="29" t="str">
        <f t="shared" si="165"/>
        <v>3Chiều5</v>
      </c>
      <c r="C205" s="29" t="str">
        <f t="shared" si="166"/>
        <v/>
      </c>
      <c r="D205" s="29" t="str">
        <f t="shared" si="167"/>
        <v/>
      </c>
      <c r="E205" s="29" t="s">
        <v>48</v>
      </c>
      <c r="F205" s="29">
        <v>3</v>
      </c>
      <c r="G205" s="29" t="s">
        <v>4</v>
      </c>
      <c r="H205" s="29">
        <v>5</v>
      </c>
      <c r="I205" s="36" t="str">
        <f t="shared" ref="I205:J205" si="178">M85</f>
        <v/>
      </c>
      <c r="J205" s="36" t="str">
        <f t="shared" si="178"/>
        <v/>
      </c>
    </row>
    <row r="206" spans="1:10" x14ac:dyDescent="0.25">
      <c r="A206" s="29" t="str">
        <f t="shared" si="164"/>
        <v>4Sáng1Aziz</v>
      </c>
      <c r="B206" s="29" t="str">
        <f t="shared" si="165"/>
        <v>4Sáng1Trang</v>
      </c>
      <c r="C206" s="29" t="str">
        <f t="shared" si="166"/>
        <v>Aziz</v>
      </c>
      <c r="D206" s="29" t="str">
        <f t="shared" si="167"/>
        <v>Trang</v>
      </c>
      <c r="E206" s="29" t="s">
        <v>48</v>
      </c>
      <c r="F206" s="29">
        <v>4</v>
      </c>
      <c r="G206" s="29" t="s">
        <v>3</v>
      </c>
      <c r="H206" s="29">
        <v>1</v>
      </c>
      <c r="I206" s="36" t="str">
        <f t="shared" ref="I206:J206" si="179">M86</f>
        <v>Aziz, Trang</v>
      </c>
      <c r="J206" s="36" t="str">
        <f t="shared" si="179"/>
        <v>GVNN -2A1</v>
      </c>
    </row>
    <row r="207" spans="1:10" x14ac:dyDescent="0.25">
      <c r="A207" s="29" t="str">
        <f t="shared" si="164"/>
        <v>4Sáng2</v>
      </c>
      <c r="B207" s="29" t="str">
        <f t="shared" si="165"/>
        <v>4Sáng2Xuân</v>
      </c>
      <c r="C207" s="29" t="str">
        <f t="shared" si="166"/>
        <v/>
      </c>
      <c r="D207" s="29" t="str">
        <f t="shared" si="167"/>
        <v/>
      </c>
      <c r="E207" s="29" t="s">
        <v>48</v>
      </c>
      <c r="F207" s="29">
        <v>4</v>
      </c>
      <c r="G207" s="29" t="s">
        <v>3</v>
      </c>
      <c r="H207" s="29">
        <v>2</v>
      </c>
      <c r="I207" s="36" t="str">
        <f t="shared" ref="I207:J207" si="180">M87</f>
        <v>Xuân</v>
      </c>
      <c r="J207" s="36" t="str">
        <f t="shared" si="180"/>
        <v>Viết sáng tạo -2A1</v>
      </c>
    </row>
    <row r="208" spans="1:10" x14ac:dyDescent="0.25">
      <c r="A208" s="29" t="str">
        <f t="shared" si="164"/>
        <v>4Sáng3</v>
      </c>
      <c r="B208" s="29" t="str">
        <f t="shared" si="165"/>
        <v>4Sáng3Hồng</v>
      </c>
      <c r="C208" s="29" t="str">
        <f t="shared" si="166"/>
        <v/>
      </c>
      <c r="D208" s="29" t="str">
        <f t="shared" si="167"/>
        <v/>
      </c>
      <c r="E208" s="29" t="s">
        <v>48</v>
      </c>
      <c r="F208" s="29">
        <v>4</v>
      </c>
      <c r="G208" s="29" t="s">
        <v>3</v>
      </c>
      <c r="H208" s="29">
        <v>3</v>
      </c>
      <c r="I208" s="36" t="str">
        <f t="shared" ref="I208:J208" si="181">M88</f>
        <v>Hồng</v>
      </c>
      <c r="J208" s="36" t="str">
        <f t="shared" si="181"/>
        <v>GDTC -2A1</v>
      </c>
    </row>
    <row r="209" spans="1:10" x14ac:dyDescent="0.25">
      <c r="A209" s="29" t="str">
        <f t="shared" si="164"/>
        <v>4Sáng4</v>
      </c>
      <c r="B209" s="29" t="str">
        <f t="shared" si="165"/>
        <v>4Sáng4Hồng</v>
      </c>
      <c r="C209" s="29" t="str">
        <f t="shared" si="166"/>
        <v/>
      </c>
      <c r="D209" s="29" t="str">
        <f t="shared" si="167"/>
        <v/>
      </c>
      <c r="E209" s="29" t="s">
        <v>48</v>
      </c>
      <c r="F209" s="29">
        <v>4</v>
      </c>
      <c r="G209" s="29" t="s">
        <v>3</v>
      </c>
      <c r="H209" s="29">
        <v>4</v>
      </c>
      <c r="I209" s="36" t="str">
        <f t="shared" ref="I209:J209" si="182">M89</f>
        <v>Hồng</v>
      </c>
      <c r="J209" s="36" t="str">
        <f t="shared" si="182"/>
        <v>GDTC -2A1</v>
      </c>
    </row>
    <row r="210" spans="1:10" x14ac:dyDescent="0.25">
      <c r="A210" s="29" t="str">
        <f t="shared" si="164"/>
        <v>4Sáng5</v>
      </c>
      <c r="B210" s="29" t="str">
        <f t="shared" si="165"/>
        <v>4Sáng5</v>
      </c>
      <c r="C210" s="29" t="str">
        <f t="shared" si="166"/>
        <v/>
      </c>
      <c r="D210" s="29" t="str">
        <f t="shared" si="167"/>
        <v/>
      </c>
      <c r="E210" s="29" t="s">
        <v>48</v>
      </c>
      <c r="F210" s="29">
        <v>4</v>
      </c>
      <c r="G210" s="29" t="s">
        <v>3</v>
      </c>
      <c r="H210" s="29">
        <v>5</v>
      </c>
      <c r="I210" s="36" t="str">
        <f t="shared" ref="I210:J210" si="183">M90</f>
        <v/>
      </c>
      <c r="J210" s="36" t="str">
        <f t="shared" si="183"/>
        <v/>
      </c>
    </row>
    <row r="211" spans="1:10" x14ac:dyDescent="0.25">
      <c r="A211" s="29" t="str">
        <f t="shared" si="164"/>
        <v>4Chiều1Aziz</v>
      </c>
      <c r="B211" s="29" t="str">
        <f t="shared" si="165"/>
        <v>4Chiều1Trang</v>
      </c>
      <c r="C211" s="29" t="str">
        <f t="shared" si="166"/>
        <v>Aziz</v>
      </c>
      <c r="D211" s="29" t="str">
        <f t="shared" si="167"/>
        <v>Trang</v>
      </c>
      <c r="E211" s="29" t="s">
        <v>48</v>
      </c>
      <c r="F211" s="29">
        <v>4</v>
      </c>
      <c r="G211" s="29" t="s">
        <v>4</v>
      </c>
      <c r="H211" s="29">
        <v>1</v>
      </c>
      <c r="I211" s="36" t="str">
        <f t="shared" ref="I211:J211" si="184">M91</f>
        <v>Aziz, Trang</v>
      </c>
      <c r="J211" s="36" t="str">
        <f t="shared" si="184"/>
        <v>GVNN -2A1</v>
      </c>
    </row>
    <row r="212" spans="1:10" x14ac:dyDescent="0.25">
      <c r="A212" s="29" t="str">
        <f t="shared" si="164"/>
        <v>4Chiều2</v>
      </c>
      <c r="B212" s="29" t="str">
        <f t="shared" si="165"/>
        <v>4Chiều2Linh TH</v>
      </c>
      <c r="C212" s="29" t="str">
        <f t="shared" si="166"/>
        <v/>
      </c>
      <c r="D212" s="29" t="str">
        <f t="shared" si="167"/>
        <v/>
      </c>
      <c r="E212" s="29" t="s">
        <v>48</v>
      </c>
      <c r="F212" s="29">
        <v>4</v>
      </c>
      <c r="G212" s="29" t="s">
        <v>4</v>
      </c>
      <c r="H212" s="29">
        <v>2</v>
      </c>
      <c r="I212" s="36" t="str">
        <f t="shared" ref="I212:J212" si="185">M92</f>
        <v>Linh TH</v>
      </c>
      <c r="J212" s="36" t="str">
        <f t="shared" si="185"/>
        <v>TViệt -2A1</v>
      </c>
    </row>
    <row r="213" spans="1:10" x14ac:dyDescent="0.25">
      <c r="A213" s="29" t="str">
        <f t="shared" si="164"/>
        <v>4Chiều3</v>
      </c>
      <c r="B213" s="29" t="str">
        <f t="shared" si="165"/>
        <v>4Chiều3Linh TH</v>
      </c>
      <c r="C213" s="29" t="str">
        <f t="shared" si="166"/>
        <v/>
      </c>
      <c r="D213" s="29" t="str">
        <f t="shared" si="167"/>
        <v/>
      </c>
      <c r="E213" s="29" t="s">
        <v>48</v>
      </c>
      <c r="F213" s="29">
        <v>4</v>
      </c>
      <c r="G213" s="29" t="s">
        <v>4</v>
      </c>
      <c r="H213" s="29">
        <v>3</v>
      </c>
      <c r="I213" s="36" t="str">
        <f t="shared" ref="I213:J213" si="186">M93</f>
        <v>Linh TH</v>
      </c>
      <c r="J213" s="36" t="str">
        <f t="shared" si="186"/>
        <v>TViệt -2A1</v>
      </c>
    </row>
    <row r="214" spans="1:10" x14ac:dyDescent="0.25">
      <c r="A214" s="29" t="str">
        <f t="shared" si="164"/>
        <v>4Chiều4</v>
      </c>
      <c r="B214" s="29" t="str">
        <f t="shared" si="165"/>
        <v>4Chiều4Nguyên</v>
      </c>
      <c r="C214" s="29" t="str">
        <f t="shared" si="166"/>
        <v/>
      </c>
      <c r="D214" s="29" t="str">
        <f t="shared" si="167"/>
        <v/>
      </c>
      <c r="E214" s="29" t="s">
        <v>48</v>
      </c>
      <c r="F214" s="29">
        <v>4</v>
      </c>
      <c r="G214" s="29" t="s">
        <v>4</v>
      </c>
      <c r="H214" s="29">
        <v>4</v>
      </c>
      <c r="I214" s="36" t="str">
        <f t="shared" ref="I214:J214" si="187">M94</f>
        <v>Nguyên</v>
      </c>
      <c r="J214" s="36" t="str">
        <f t="shared" si="187"/>
        <v>Robotics -2A1</v>
      </c>
    </row>
    <row r="215" spans="1:10" x14ac:dyDescent="0.25">
      <c r="A215" s="29" t="str">
        <f t="shared" si="164"/>
        <v>4Chiều5</v>
      </c>
      <c r="B215" s="29" t="str">
        <f t="shared" si="165"/>
        <v>4Chiều5</v>
      </c>
      <c r="C215" s="29" t="str">
        <f t="shared" si="166"/>
        <v/>
      </c>
      <c r="D215" s="29" t="str">
        <f t="shared" si="167"/>
        <v/>
      </c>
      <c r="E215" s="29" t="s">
        <v>48</v>
      </c>
      <c r="F215" s="29">
        <v>4</v>
      </c>
      <c r="G215" s="29" t="s">
        <v>4</v>
      </c>
      <c r="H215" s="29">
        <v>5</v>
      </c>
      <c r="I215" s="36" t="str">
        <f t="shared" ref="I215:J215" si="188">M95</f>
        <v/>
      </c>
      <c r="J215" s="36" t="str">
        <f t="shared" si="188"/>
        <v/>
      </c>
    </row>
    <row r="216" spans="1:10" x14ac:dyDescent="0.25">
      <c r="A216" s="29" t="str">
        <f t="shared" si="164"/>
        <v>5Sáng1</v>
      </c>
      <c r="B216" s="29" t="str">
        <f t="shared" si="165"/>
        <v>5Sáng1Trang ÂN</v>
      </c>
      <c r="C216" s="29" t="str">
        <f t="shared" si="166"/>
        <v/>
      </c>
      <c r="D216" s="29" t="str">
        <f t="shared" si="167"/>
        <v/>
      </c>
      <c r="E216" s="29" t="s">
        <v>48</v>
      </c>
      <c r="F216" s="29">
        <v>5</v>
      </c>
      <c r="G216" s="29" t="s">
        <v>3</v>
      </c>
      <c r="H216" s="29">
        <v>1</v>
      </c>
      <c r="I216" s="36" t="str">
        <f t="shared" ref="I216:J216" si="189">M96</f>
        <v>Trang ÂN</v>
      </c>
      <c r="J216" s="36" t="str">
        <f t="shared" si="189"/>
        <v>Nhạc -2A1</v>
      </c>
    </row>
    <row r="217" spans="1:10" x14ac:dyDescent="0.25">
      <c r="A217" s="29" t="str">
        <f t="shared" si="164"/>
        <v>5Sáng2Aziz</v>
      </c>
      <c r="B217" s="29" t="str">
        <f t="shared" si="165"/>
        <v>5Sáng2Trang</v>
      </c>
      <c r="C217" s="29" t="str">
        <f t="shared" si="166"/>
        <v>Aziz</v>
      </c>
      <c r="D217" s="29" t="str">
        <f t="shared" si="167"/>
        <v>Trang</v>
      </c>
      <c r="E217" s="29" t="s">
        <v>48</v>
      </c>
      <c r="F217" s="29">
        <v>5</v>
      </c>
      <c r="G217" s="29" t="s">
        <v>3</v>
      </c>
      <c r="H217" s="29">
        <v>2</v>
      </c>
      <c r="I217" s="36" t="str">
        <f t="shared" ref="I217:J217" si="190">M97</f>
        <v>Aziz, Trang</v>
      </c>
      <c r="J217" s="36" t="str">
        <f t="shared" si="190"/>
        <v>GVNN -2A1</v>
      </c>
    </row>
    <row r="218" spans="1:10" x14ac:dyDescent="0.25">
      <c r="A218" s="29" t="str">
        <f t="shared" si="164"/>
        <v>5Sáng3</v>
      </c>
      <c r="B218" s="29" t="str">
        <f t="shared" si="165"/>
        <v>5Sáng3Linh TH</v>
      </c>
      <c r="C218" s="29" t="str">
        <f t="shared" si="166"/>
        <v/>
      </c>
      <c r="D218" s="29" t="str">
        <f t="shared" si="167"/>
        <v/>
      </c>
      <c r="E218" s="29" t="s">
        <v>48</v>
      </c>
      <c r="F218" s="29">
        <v>5</v>
      </c>
      <c r="G218" s="29" t="s">
        <v>3</v>
      </c>
      <c r="H218" s="29">
        <v>3</v>
      </c>
      <c r="I218" s="36" t="str">
        <f t="shared" ref="I218:J218" si="191">M98</f>
        <v>Linh TH</v>
      </c>
      <c r="J218" s="36" t="str">
        <f t="shared" si="191"/>
        <v>TDNN -2A1</v>
      </c>
    </row>
    <row r="219" spans="1:10" x14ac:dyDescent="0.25">
      <c r="A219" s="29" t="str">
        <f t="shared" si="164"/>
        <v>5Sáng4Aziz</v>
      </c>
      <c r="B219" s="29" t="str">
        <f t="shared" si="165"/>
        <v>5Sáng4Trang</v>
      </c>
      <c r="C219" s="29" t="str">
        <f t="shared" si="166"/>
        <v>Aziz</v>
      </c>
      <c r="D219" s="29" t="str">
        <f t="shared" si="167"/>
        <v>Trang</v>
      </c>
      <c r="E219" s="29" t="s">
        <v>48</v>
      </c>
      <c r="F219" s="29">
        <v>5</v>
      </c>
      <c r="G219" s="29" t="s">
        <v>3</v>
      </c>
      <c r="H219" s="29">
        <v>4</v>
      </c>
      <c r="I219" s="36" t="str">
        <f t="shared" ref="I219:J219" si="192">M99</f>
        <v>Aziz, Trang</v>
      </c>
      <c r="J219" s="36" t="str">
        <f t="shared" si="192"/>
        <v>GVNN -2A1</v>
      </c>
    </row>
    <row r="220" spans="1:10" x14ac:dyDescent="0.25">
      <c r="A220" s="29" t="str">
        <f t="shared" si="164"/>
        <v>5Sáng5</v>
      </c>
      <c r="B220" s="29" t="str">
        <f t="shared" si="165"/>
        <v>5Sáng5</v>
      </c>
      <c r="C220" s="29" t="str">
        <f t="shared" si="166"/>
        <v/>
      </c>
      <c r="D220" s="29" t="str">
        <f t="shared" si="167"/>
        <v/>
      </c>
      <c r="E220" s="29" t="s">
        <v>48</v>
      </c>
      <c r="F220" s="29">
        <v>5</v>
      </c>
      <c r="G220" s="29" t="s">
        <v>3</v>
      </c>
      <c r="H220" s="29">
        <v>5</v>
      </c>
      <c r="I220" s="36" t="str">
        <f t="shared" ref="I220:J220" si="193">M100</f>
        <v/>
      </c>
      <c r="J220" s="36" t="str">
        <f t="shared" si="193"/>
        <v/>
      </c>
    </row>
    <row r="221" spans="1:10" x14ac:dyDescent="0.25">
      <c r="A221" s="29" t="str">
        <f t="shared" si="164"/>
        <v>5Chiều1</v>
      </c>
      <c r="B221" s="29" t="str">
        <f t="shared" si="165"/>
        <v>5Chiều1Xuân</v>
      </c>
      <c r="C221" s="29" t="str">
        <f t="shared" si="166"/>
        <v/>
      </c>
      <c r="D221" s="29" t="str">
        <f t="shared" si="167"/>
        <v/>
      </c>
      <c r="E221" s="29" t="s">
        <v>48</v>
      </c>
      <c r="F221" s="29">
        <v>5</v>
      </c>
      <c r="G221" s="29" t="s">
        <v>4</v>
      </c>
      <c r="H221" s="29">
        <v>1</v>
      </c>
      <c r="I221" s="36" t="str">
        <f t="shared" ref="I221:J221" si="194">M101</f>
        <v>Xuân</v>
      </c>
      <c r="J221" s="36" t="str">
        <f t="shared" si="194"/>
        <v>Viết sáng tạo -2A1</v>
      </c>
    </row>
    <row r="222" spans="1:10" x14ac:dyDescent="0.25">
      <c r="A222" s="29" t="str">
        <f t="shared" si="164"/>
        <v>5Chiều2</v>
      </c>
      <c r="B222" s="29" t="str">
        <f t="shared" si="165"/>
        <v>5Chiều2Linh TH</v>
      </c>
      <c r="C222" s="29" t="str">
        <f t="shared" si="166"/>
        <v/>
      </c>
      <c r="D222" s="29" t="str">
        <f t="shared" si="167"/>
        <v/>
      </c>
      <c r="E222" s="29" t="s">
        <v>48</v>
      </c>
      <c r="F222" s="29">
        <v>5</v>
      </c>
      <c r="G222" s="29" t="s">
        <v>4</v>
      </c>
      <c r="H222" s="29">
        <v>2</v>
      </c>
      <c r="I222" s="36" t="str">
        <f t="shared" ref="I222:J222" si="195">M102</f>
        <v>Linh TH</v>
      </c>
      <c r="J222" s="36" t="str">
        <f t="shared" si="195"/>
        <v>Toán -2A1</v>
      </c>
    </row>
    <row r="223" spans="1:10" x14ac:dyDescent="0.25">
      <c r="A223" s="29" t="str">
        <f t="shared" si="164"/>
        <v>5Chiều3</v>
      </c>
      <c r="B223" s="29" t="str">
        <f t="shared" si="165"/>
        <v>5Chiều3Linh TH</v>
      </c>
      <c r="C223" s="29" t="str">
        <f t="shared" si="166"/>
        <v/>
      </c>
      <c r="D223" s="29" t="str">
        <f t="shared" si="167"/>
        <v/>
      </c>
      <c r="E223" s="29" t="s">
        <v>48</v>
      </c>
      <c r="F223" s="29">
        <v>5</v>
      </c>
      <c r="G223" s="29" t="s">
        <v>4</v>
      </c>
      <c r="H223" s="29">
        <v>3</v>
      </c>
      <c r="I223" s="36" t="str">
        <f t="shared" ref="I223:J223" si="196">M103</f>
        <v>Linh TH</v>
      </c>
      <c r="J223" s="36" t="str">
        <f t="shared" si="196"/>
        <v>TViệt -2A1</v>
      </c>
    </row>
    <row r="224" spans="1:10" x14ac:dyDescent="0.25">
      <c r="A224" s="29" t="str">
        <f t="shared" si="164"/>
        <v>5Chiều4</v>
      </c>
      <c r="B224" s="29" t="str">
        <f t="shared" si="165"/>
        <v>5Chiều4Linh TH</v>
      </c>
      <c r="C224" s="29" t="str">
        <f t="shared" si="166"/>
        <v/>
      </c>
      <c r="D224" s="29" t="str">
        <f t="shared" si="167"/>
        <v/>
      </c>
      <c r="E224" s="29" t="s">
        <v>48</v>
      </c>
      <c r="F224" s="29">
        <v>5</v>
      </c>
      <c r="G224" s="29" t="s">
        <v>4</v>
      </c>
      <c r="H224" s="29">
        <v>4</v>
      </c>
      <c r="I224" s="36" t="str">
        <f t="shared" ref="I224:J224" si="197">M104</f>
        <v>Linh TH</v>
      </c>
      <c r="J224" s="36" t="str">
        <f t="shared" si="197"/>
        <v>TViệt -2A1</v>
      </c>
    </row>
    <row r="225" spans="1:10" x14ac:dyDescent="0.25">
      <c r="A225" s="29" t="str">
        <f t="shared" si="164"/>
        <v>5Chiều5</v>
      </c>
      <c r="B225" s="29" t="str">
        <f t="shared" si="165"/>
        <v>5Chiều5</v>
      </c>
      <c r="C225" s="29" t="str">
        <f t="shared" si="166"/>
        <v/>
      </c>
      <c r="D225" s="29" t="str">
        <f t="shared" si="167"/>
        <v/>
      </c>
      <c r="E225" s="29" t="s">
        <v>48</v>
      </c>
      <c r="F225" s="29">
        <v>5</v>
      </c>
      <c r="G225" s="29" t="s">
        <v>4</v>
      </c>
      <c r="H225" s="29">
        <v>5</v>
      </c>
      <c r="I225" s="36" t="str">
        <f t="shared" ref="I225:J225" si="198">M105</f>
        <v/>
      </c>
      <c r="J225" s="36" t="str">
        <f t="shared" si="198"/>
        <v/>
      </c>
    </row>
    <row r="226" spans="1:10" x14ac:dyDescent="0.25">
      <c r="A226" s="29" t="str">
        <f t="shared" si="164"/>
        <v>6Sáng1</v>
      </c>
      <c r="B226" s="29" t="str">
        <f t="shared" si="165"/>
        <v>6Sáng1Linh TH</v>
      </c>
      <c r="C226" s="29" t="str">
        <f t="shared" si="166"/>
        <v/>
      </c>
      <c r="D226" s="29" t="str">
        <f t="shared" si="167"/>
        <v/>
      </c>
      <c r="E226" s="29" t="s">
        <v>48</v>
      </c>
      <c r="F226" s="29">
        <v>6</v>
      </c>
      <c r="G226" s="29" t="s">
        <v>3</v>
      </c>
      <c r="H226" s="29">
        <v>1</v>
      </c>
      <c r="I226" s="36" t="str">
        <f t="shared" ref="I226:J226" si="199">M106</f>
        <v>Linh TH</v>
      </c>
      <c r="J226" s="36" t="str">
        <f t="shared" si="199"/>
        <v>TDNN -2A1</v>
      </c>
    </row>
    <row r="227" spans="1:10" x14ac:dyDescent="0.25">
      <c r="A227" s="29" t="str">
        <f t="shared" si="164"/>
        <v>6Sáng2</v>
      </c>
      <c r="B227" s="29" t="str">
        <f t="shared" si="165"/>
        <v>6Sáng2Trang</v>
      </c>
      <c r="C227" s="29" t="str">
        <f t="shared" si="166"/>
        <v/>
      </c>
      <c r="D227" s="29" t="str">
        <f t="shared" si="167"/>
        <v/>
      </c>
      <c r="E227" s="29" t="s">
        <v>48</v>
      </c>
      <c r="F227" s="29">
        <v>6</v>
      </c>
      <c r="G227" s="29" t="s">
        <v>3</v>
      </c>
      <c r="H227" s="29">
        <v>2</v>
      </c>
      <c r="I227" s="36" t="str">
        <f t="shared" ref="I227:J227" si="200">M107</f>
        <v>Trang</v>
      </c>
      <c r="J227" s="36" t="str">
        <f t="shared" si="200"/>
        <v>GVVN -2A1</v>
      </c>
    </row>
    <row r="228" spans="1:10" x14ac:dyDescent="0.25">
      <c r="A228" s="29" t="str">
        <f t="shared" si="164"/>
        <v>6Sáng3</v>
      </c>
      <c r="B228" s="29" t="str">
        <f t="shared" si="165"/>
        <v>6Sáng3Linh TH</v>
      </c>
      <c r="C228" s="29" t="str">
        <f t="shared" si="166"/>
        <v/>
      </c>
      <c r="D228" s="29" t="str">
        <f t="shared" si="167"/>
        <v/>
      </c>
      <c r="E228" s="29" t="s">
        <v>48</v>
      </c>
      <c r="F228" s="29">
        <v>6</v>
      </c>
      <c r="G228" s="29" t="s">
        <v>3</v>
      </c>
      <c r="H228" s="29">
        <v>3</v>
      </c>
      <c r="I228" s="36" t="str">
        <f t="shared" ref="I228:J228" si="201">M108</f>
        <v>Linh TH</v>
      </c>
      <c r="J228" s="36" t="str">
        <f t="shared" si="201"/>
        <v>Toán -2A1</v>
      </c>
    </row>
    <row r="229" spans="1:10" x14ac:dyDescent="0.25">
      <c r="A229" s="29" t="str">
        <f t="shared" si="164"/>
        <v>6Sáng4</v>
      </c>
      <c r="B229" s="29" t="str">
        <f t="shared" si="165"/>
        <v>6Sáng4Linh TH</v>
      </c>
      <c r="C229" s="29" t="str">
        <f t="shared" si="166"/>
        <v/>
      </c>
      <c r="D229" s="29" t="str">
        <f t="shared" si="167"/>
        <v/>
      </c>
      <c r="E229" s="29" t="s">
        <v>48</v>
      </c>
      <c r="F229" s="29">
        <v>6</v>
      </c>
      <c r="G229" s="29" t="s">
        <v>3</v>
      </c>
      <c r="H229" s="29">
        <v>4</v>
      </c>
      <c r="I229" s="36" t="str">
        <f t="shared" ref="I229:J229" si="202">M109</f>
        <v>Linh TH</v>
      </c>
      <c r="J229" s="36" t="str">
        <f t="shared" si="202"/>
        <v>Toán -2A1</v>
      </c>
    </row>
    <row r="230" spans="1:10" x14ac:dyDescent="0.25">
      <c r="A230" s="29" t="str">
        <f t="shared" si="164"/>
        <v>6Sáng5</v>
      </c>
      <c r="B230" s="29" t="str">
        <f t="shared" si="165"/>
        <v>6Sáng5</v>
      </c>
      <c r="C230" s="29" t="str">
        <f t="shared" si="166"/>
        <v/>
      </c>
      <c r="D230" s="29" t="str">
        <f t="shared" si="167"/>
        <v/>
      </c>
      <c r="E230" s="29" t="s">
        <v>48</v>
      </c>
      <c r="F230" s="29">
        <v>6</v>
      </c>
      <c r="G230" s="29" t="s">
        <v>3</v>
      </c>
      <c r="H230" s="29">
        <v>5</v>
      </c>
      <c r="I230" s="36" t="str">
        <f t="shared" ref="I230:J230" si="203">M110</f>
        <v/>
      </c>
      <c r="J230" s="36" t="str">
        <f t="shared" si="203"/>
        <v/>
      </c>
    </row>
    <row r="231" spans="1:10" x14ac:dyDescent="0.25">
      <c r="A231" s="29" t="str">
        <f t="shared" si="164"/>
        <v>6Chiều1</v>
      </c>
      <c r="B231" s="29" t="str">
        <f t="shared" si="165"/>
        <v>6Chiều1Xuân</v>
      </c>
      <c r="C231" s="29" t="str">
        <f t="shared" si="166"/>
        <v/>
      </c>
      <c r="D231" s="29" t="str">
        <f t="shared" si="167"/>
        <v/>
      </c>
      <c r="E231" s="29" t="s">
        <v>48</v>
      </c>
      <c r="F231" s="29">
        <v>6</v>
      </c>
      <c r="G231" s="29" t="s">
        <v>4</v>
      </c>
      <c r="H231" s="29">
        <v>1</v>
      </c>
      <c r="I231" s="36" t="str">
        <f t="shared" ref="I231:J231" si="204">M111</f>
        <v>Xuân</v>
      </c>
      <c r="J231" s="36" t="str">
        <f t="shared" si="204"/>
        <v>Đọc sách -2A1</v>
      </c>
    </row>
    <row r="232" spans="1:10" x14ac:dyDescent="0.25">
      <c r="A232" s="29" t="str">
        <f t="shared" si="164"/>
        <v>6Chiều2</v>
      </c>
      <c r="B232" s="29" t="str">
        <f t="shared" si="165"/>
        <v>6Chiều2Trang</v>
      </c>
      <c r="C232" s="29" t="str">
        <f t="shared" si="166"/>
        <v/>
      </c>
      <c r="D232" s="29" t="str">
        <f t="shared" si="167"/>
        <v/>
      </c>
      <c r="E232" s="29" t="s">
        <v>48</v>
      </c>
      <c r="F232" s="29">
        <v>6</v>
      </c>
      <c r="G232" s="29" t="s">
        <v>4</v>
      </c>
      <c r="H232" s="29">
        <v>2</v>
      </c>
      <c r="I232" s="36" t="str">
        <f t="shared" ref="I232:J232" si="205">M112</f>
        <v>Trang</v>
      </c>
      <c r="J232" s="36" t="str">
        <f t="shared" si="205"/>
        <v>GVVN -2A1</v>
      </c>
    </row>
    <row r="233" spans="1:10" x14ac:dyDescent="0.25">
      <c r="A233" s="29" t="str">
        <f t="shared" si="164"/>
        <v>6Chiều3</v>
      </c>
      <c r="B233" s="29" t="str">
        <f t="shared" si="165"/>
        <v>6Chiều3Phương</v>
      </c>
      <c r="C233" s="29" t="str">
        <f t="shared" si="166"/>
        <v/>
      </c>
      <c r="D233" s="29" t="str">
        <f t="shared" si="167"/>
        <v/>
      </c>
      <c r="E233" s="29" t="s">
        <v>48</v>
      </c>
      <c r="F233" s="29">
        <v>6</v>
      </c>
      <c r="G233" s="29" t="s">
        <v>4</v>
      </c>
      <c r="H233" s="29">
        <v>3</v>
      </c>
      <c r="I233" s="36" t="str">
        <f t="shared" ref="I233:J233" si="206">M113</f>
        <v>Phương</v>
      </c>
      <c r="J233" s="36" t="str">
        <f t="shared" si="206"/>
        <v>Mĩ thuật -2A1</v>
      </c>
    </row>
    <row r="234" spans="1:10" x14ac:dyDescent="0.25">
      <c r="A234" s="29" t="str">
        <f t="shared" si="164"/>
        <v>6Chiều4</v>
      </c>
      <c r="B234" s="29" t="str">
        <f t="shared" si="165"/>
        <v>6Chiều4Linh TH</v>
      </c>
      <c r="C234" s="29" t="str">
        <f t="shared" si="166"/>
        <v/>
      </c>
      <c r="D234" s="29" t="str">
        <f t="shared" si="167"/>
        <v/>
      </c>
      <c r="E234" s="29" t="s">
        <v>48</v>
      </c>
      <c r="F234" s="29">
        <v>6</v>
      </c>
      <c r="G234" s="29" t="s">
        <v>4</v>
      </c>
      <c r="H234" s="29">
        <v>4</v>
      </c>
      <c r="I234" s="36" t="str">
        <f t="shared" ref="I234:J234" si="207">M114</f>
        <v>Linh TH</v>
      </c>
      <c r="J234" s="36" t="str">
        <f t="shared" si="207"/>
        <v>HĐTN -2A1</v>
      </c>
    </row>
    <row r="235" spans="1:10" x14ac:dyDescent="0.25">
      <c r="A235" s="29" t="str">
        <f t="shared" si="164"/>
        <v>6Chiều5</v>
      </c>
      <c r="B235" s="29" t="str">
        <f t="shared" si="165"/>
        <v>6Chiều5</v>
      </c>
      <c r="C235" s="29" t="str">
        <f t="shared" si="166"/>
        <v/>
      </c>
      <c r="D235" s="29" t="str">
        <f t="shared" si="167"/>
        <v/>
      </c>
      <c r="E235" s="29" t="s">
        <v>48</v>
      </c>
      <c r="F235" s="29">
        <v>6</v>
      </c>
      <c r="G235" s="29" t="s">
        <v>4</v>
      </c>
      <c r="H235" s="29">
        <v>5</v>
      </c>
      <c r="I235" s="36" t="str">
        <f t="shared" ref="I235:J235" si="208">M115</f>
        <v/>
      </c>
      <c r="J235" s="36" t="str">
        <f t="shared" si="208"/>
        <v/>
      </c>
    </row>
    <row r="236" spans="1:10" x14ac:dyDescent="0.25">
      <c r="A236" s="29" t="str">
        <f t="shared" si="164"/>
        <v>7Sáng1</v>
      </c>
      <c r="B236" s="29" t="str">
        <f t="shared" si="165"/>
        <v>7Sáng1</v>
      </c>
      <c r="C236" s="29" t="str">
        <f t="shared" si="166"/>
        <v/>
      </c>
      <c r="D236" s="29" t="str">
        <f t="shared" si="167"/>
        <v/>
      </c>
      <c r="E236" s="29" t="s">
        <v>48</v>
      </c>
      <c r="F236" s="29">
        <v>7</v>
      </c>
      <c r="G236" s="29" t="s">
        <v>3</v>
      </c>
      <c r="H236" s="29">
        <v>1</v>
      </c>
      <c r="I236" s="36" t="str">
        <f t="shared" ref="I236:J236" si="209">M116</f>
        <v/>
      </c>
      <c r="J236" s="36" t="str">
        <f t="shared" si="209"/>
        <v/>
      </c>
    </row>
    <row r="237" spans="1:10" x14ac:dyDescent="0.25">
      <c r="A237" s="29" t="str">
        <f t="shared" si="164"/>
        <v>7Sáng2</v>
      </c>
      <c r="B237" s="29" t="str">
        <f t="shared" si="165"/>
        <v>7Sáng2</v>
      </c>
      <c r="C237" s="29" t="str">
        <f t="shared" si="166"/>
        <v/>
      </c>
      <c r="D237" s="29" t="str">
        <f t="shared" si="167"/>
        <v/>
      </c>
      <c r="E237" s="29" t="s">
        <v>48</v>
      </c>
      <c r="F237" s="29">
        <v>7</v>
      </c>
      <c r="G237" s="29" t="s">
        <v>3</v>
      </c>
      <c r="H237" s="29">
        <v>2</v>
      </c>
      <c r="I237" s="36" t="str">
        <f t="shared" ref="I237:J237" si="210">M117</f>
        <v/>
      </c>
      <c r="J237" s="36" t="str">
        <f t="shared" si="210"/>
        <v/>
      </c>
    </row>
    <row r="238" spans="1:10" x14ac:dyDescent="0.25">
      <c r="A238" s="29" t="str">
        <f t="shared" si="164"/>
        <v>7Sáng3</v>
      </c>
      <c r="B238" s="29" t="str">
        <f t="shared" si="165"/>
        <v>7Sáng3</v>
      </c>
      <c r="C238" s="29" t="str">
        <f t="shared" si="166"/>
        <v/>
      </c>
      <c r="D238" s="29" t="str">
        <f t="shared" si="167"/>
        <v/>
      </c>
      <c r="E238" s="29" t="s">
        <v>48</v>
      </c>
      <c r="F238" s="29">
        <v>7</v>
      </c>
      <c r="G238" s="29" t="s">
        <v>3</v>
      </c>
      <c r="H238" s="29">
        <v>3</v>
      </c>
      <c r="I238" s="36" t="str">
        <f t="shared" ref="I238:J238" si="211">M118</f>
        <v/>
      </c>
      <c r="J238" s="36" t="str">
        <f t="shared" si="211"/>
        <v/>
      </c>
    </row>
    <row r="239" spans="1:10" x14ac:dyDescent="0.25">
      <c r="A239" s="29" t="str">
        <f t="shared" si="164"/>
        <v>7Sáng4</v>
      </c>
      <c r="B239" s="29" t="str">
        <f t="shared" si="165"/>
        <v>7Sáng4</v>
      </c>
      <c r="C239" s="29" t="str">
        <f t="shared" si="166"/>
        <v/>
      </c>
      <c r="D239" s="29" t="str">
        <f t="shared" si="167"/>
        <v/>
      </c>
      <c r="E239" s="29" t="s">
        <v>48</v>
      </c>
      <c r="F239" s="29">
        <v>7</v>
      </c>
      <c r="G239" s="29" t="s">
        <v>3</v>
      </c>
      <c r="H239" s="29">
        <v>4</v>
      </c>
      <c r="I239" s="36" t="str">
        <f t="shared" ref="I239:J239" si="212">M119</f>
        <v/>
      </c>
      <c r="J239" s="36" t="str">
        <f t="shared" si="212"/>
        <v/>
      </c>
    </row>
    <row r="240" spans="1:10" x14ac:dyDescent="0.25">
      <c r="A240" s="29" t="str">
        <f t="shared" si="164"/>
        <v>7Sáng5</v>
      </c>
      <c r="B240" s="29" t="str">
        <f t="shared" si="165"/>
        <v>7Sáng5</v>
      </c>
      <c r="C240" s="29" t="str">
        <f t="shared" si="166"/>
        <v/>
      </c>
      <c r="D240" s="29" t="str">
        <f t="shared" si="167"/>
        <v/>
      </c>
      <c r="E240" s="29" t="s">
        <v>48</v>
      </c>
      <c r="F240" s="29">
        <v>7</v>
      </c>
      <c r="G240" s="29" t="s">
        <v>3</v>
      </c>
      <c r="H240" s="29">
        <v>5</v>
      </c>
      <c r="I240" s="36" t="str">
        <f t="shared" ref="I240:J240" si="213">M120</f>
        <v/>
      </c>
      <c r="J240" s="36" t="str">
        <f t="shared" si="213"/>
        <v/>
      </c>
    </row>
    <row r="241" spans="1:10" x14ac:dyDescent="0.25">
      <c r="A241" s="29" t="str">
        <f t="shared" si="164"/>
        <v>7Chiều1</v>
      </c>
      <c r="B241" s="29" t="str">
        <f t="shared" si="165"/>
        <v>7Chiều1</v>
      </c>
      <c r="C241" s="29" t="str">
        <f t="shared" si="166"/>
        <v/>
      </c>
      <c r="D241" s="29" t="str">
        <f t="shared" si="167"/>
        <v/>
      </c>
      <c r="E241" s="29" t="s">
        <v>48</v>
      </c>
      <c r="F241" s="29">
        <v>7</v>
      </c>
      <c r="G241" s="29" t="s">
        <v>4</v>
      </c>
      <c r="H241" s="29">
        <v>1</v>
      </c>
      <c r="I241" s="36" t="str">
        <f t="shared" ref="I241:J241" si="214">M121</f>
        <v/>
      </c>
      <c r="J241" s="36" t="str">
        <f t="shared" si="214"/>
        <v/>
      </c>
    </row>
    <row r="242" spans="1:10" x14ac:dyDescent="0.25">
      <c r="A242" s="29" t="str">
        <f t="shared" si="164"/>
        <v>7Chiều2</v>
      </c>
      <c r="B242" s="29" t="str">
        <f t="shared" si="165"/>
        <v>7Chiều2</v>
      </c>
      <c r="C242" s="29" t="str">
        <f t="shared" si="166"/>
        <v/>
      </c>
      <c r="D242" s="29" t="str">
        <f t="shared" si="167"/>
        <v/>
      </c>
      <c r="E242" s="29" t="s">
        <v>48</v>
      </c>
      <c r="F242" s="29">
        <v>7</v>
      </c>
      <c r="G242" s="29" t="s">
        <v>4</v>
      </c>
      <c r="H242" s="29">
        <v>2</v>
      </c>
      <c r="I242" s="36" t="str">
        <f t="shared" ref="I242:J242" si="215">M122</f>
        <v/>
      </c>
      <c r="J242" s="36" t="str">
        <f t="shared" si="215"/>
        <v/>
      </c>
    </row>
    <row r="243" spans="1:10" x14ac:dyDescent="0.25">
      <c r="A243" s="29" t="str">
        <f t="shared" si="164"/>
        <v>7Chiều3</v>
      </c>
      <c r="B243" s="29" t="str">
        <f t="shared" si="165"/>
        <v>7Chiều3</v>
      </c>
      <c r="C243" s="29" t="str">
        <f t="shared" si="166"/>
        <v/>
      </c>
      <c r="D243" s="29" t="str">
        <f t="shared" si="167"/>
        <v/>
      </c>
      <c r="E243" s="29" t="s">
        <v>48</v>
      </c>
      <c r="F243" s="29">
        <v>7</v>
      </c>
      <c r="G243" s="29" t="s">
        <v>4</v>
      </c>
      <c r="H243" s="29">
        <v>3</v>
      </c>
      <c r="I243" s="36" t="str">
        <f t="shared" ref="I243:J243" si="216">M123</f>
        <v/>
      </c>
      <c r="J243" s="36" t="str">
        <f t="shared" si="216"/>
        <v/>
      </c>
    </row>
    <row r="244" spans="1:10" x14ac:dyDescent="0.25">
      <c r="A244" s="29" t="str">
        <f t="shared" si="164"/>
        <v>7Chiều4</v>
      </c>
      <c r="B244" s="29" t="str">
        <f t="shared" si="165"/>
        <v>7Chiều4</v>
      </c>
      <c r="C244" s="29" t="str">
        <f t="shared" si="166"/>
        <v/>
      </c>
      <c r="D244" s="29" t="str">
        <f t="shared" si="167"/>
        <v/>
      </c>
      <c r="E244" s="29" t="s">
        <v>48</v>
      </c>
      <c r="F244" s="29">
        <v>7</v>
      </c>
      <c r="G244" s="29" t="s">
        <v>4</v>
      </c>
      <c r="H244" s="29">
        <v>4</v>
      </c>
      <c r="I244" s="36" t="str">
        <f t="shared" ref="I244:J244" si="217">M124</f>
        <v/>
      </c>
      <c r="J244" s="36" t="str">
        <f t="shared" si="217"/>
        <v/>
      </c>
    </row>
    <row r="245" spans="1:10" x14ac:dyDescent="0.25">
      <c r="A245" s="29" t="str">
        <f t="shared" si="164"/>
        <v>7Chiều5</v>
      </c>
      <c r="B245" s="29" t="e">
        <f t="shared" si="165"/>
        <v>#VALUE!</v>
      </c>
      <c r="C245" s="29" t="str">
        <f t="shared" si="166"/>
        <v/>
      </c>
      <c r="D245" s="29" t="str">
        <f t="shared" si="167"/>
        <v/>
      </c>
      <c r="E245" s="29" t="s">
        <v>48</v>
      </c>
      <c r="F245" s="29">
        <v>7</v>
      </c>
      <c r="G245" s="29" t="s">
        <v>4</v>
      </c>
      <c r="H245" s="29">
        <v>5</v>
      </c>
      <c r="I245" s="36" t="e">
        <f t="shared" ref="I245:J245" si="218">M125</f>
        <v>#VALUE!</v>
      </c>
      <c r="J245" s="36" t="e">
        <f t="shared" si="218"/>
        <v>#VALUE!</v>
      </c>
    </row>
    <row r="246" spans="1:10" x14ac:dyDescent="0.25">
      <c r="A246" s="29" t="str">
        <f t="shared" si="164"/>
        <v>2Sáng1</v>
      </c>
      <c r="B246" s="29" t="str">
        <f t="shared" si="165"/>
        <v>2Sáng1Xuân</v>
      </c>
      <c r="C246" s="29" t="str">
        <f t="shared" si="166"/>
        <v/>
      </c>
      <c r="D246" s="29" t="str">
        <f t="shared" si="167"/>
        <v/>
      </c>
      <c r="E246" s="29" t="s">
        <v>12</v>
      </c>
      <c r="F246" s="29">
        <v>2</v>
      </c>
      <c r="G246" s="29" t="s">
        <v>3</v>
      </c>
      <c r="H246" s="29">
        <v>1</v>
      </c>
      <c r="I246" s="36" t="str">
        <f>O66</f>
        <v>Xuân</v>
      </c>
      <c r="J246" s="36" t="str">
        <f>P66</f>
        <v>Đạo đức -2C1</v>
      </c>
    </row>
    <row r="247" spans="1:10" x14ac:dyDescent="0.25">
      <c r="A247" s="29" t="str">
        <f t="shared" si="164"/>
        <v>2Sáng2</v>
      </c>
      <c r="B247" s="29" t="str">
        <f t="shared" si="165"/>
        <v>2Sáng2Trà</v>
      </c>
      <c r="C247" s="29" t="str">
        <f t="shared" si="166"/>
        <v/>
      </c>
      <c r="D247" s="29" t="str">
        <f t="shared" si="167"/>
        <v/>
      </c>
      <c r="E247" s="29" t="s">
        <v>12</v>
      </c>
      <c r="F247" s="29">
        <v>2</v>
      </c>
      <c r="G247" s="29" t="s">
        <v>3</v>
      </c>
      <c r="H247" s="29">
        <v>2</v>
      </c>
      <c r="I247" s="36" t="str">
        <f t="shared" ref="I247:J247" si="219">O67</f>
        <v>Trà</v>
      </c>
      <c r="J247" s="36" t="str">
        <f t="shared" si="219"/>
        <v>GVVN -2C1</v>
      </c>
    </row>
    <row r="248" spans="1:10" x14ac:dyDescent="0.25">
      <c r="A248" s="29" t="str">
        <f t="shared" si="164"/>
        <v>2Sáng3</v>
      </c>
      <c r="B248" s="29" t="str">
        <f t="shared" si="165"/>
        <v>2Sáng3Xuân</v>
      </c>
      <c r="C248" s="29" t="str">
        <f t="shared" si="166"/>
        <v/>
      </c>
      <c r="D248" s="29" t="str">
        <f t="shared" si="167"/>
        <v/>
      </c>
      <c r="E248" s="29" t="s">
        <v>12</v>
      </c>
      <c r="F248" s="29">
        <v>2</v>
      </c>
      <c r="G248" s="29" t="s">
        <v>3</v>
      </c>
      <c r="H248" s="29">
        <v>3</v>
      </c>
      <c r="I248" s="36" t="str">
        <f t="shared" ref="I248:J248" si="220">O68</f>
        <v>Xuân</v>
      </c>
      <c r="J248" s="36" t="str">
        <f t="shared" si="220"/>
        <v>TViệt -2C1</v>
      </c>
    </row>
    <row r="249" spans="1:10" x14ac:dyDescent="0.25">
      <c r="A249" s="29" t="str">
        <f t="shared" si="164"/>
        <v>2Sáng4</v>
      </c>
      <c r="B249" s="29" t="str">
        <f t="shared" si="165"/>
        <v>2Sáng4Xuân</v>
      </c>
      <c r="C249" s="29" t="str">
        <f t="shared" si="166"/>
        <v/>
      </c>
      <c r="D249" s="29" t="str">
        <f t="shared" si="167"/>
        <v/>
      </c>
      <c r="E249" s="29" t="s">
        <v>12</v>
      </c>
      <c r="F249" s="29">
        <v>2</v>
      </c>
      <c r="G249" s="29" t="s">
        <v>3</v>
      </c>
      <c r="H249" s="29">
        <v>4</v>
      </c>
      <c r="I249" s="36" t="str">
        <f t="shared" ref="I249:J249" si="221">O69</f>
        <v>Xuân</v>
      </c>
      <c r="J249" s="36" t="str">
        <f t="shared" si="221"/>
        <v>TViệt -2C1</v>
      </c>
    </row>
    <row r="250" spans="1:10" x14ac:dyDescent="0.25">
      <c r="A250" s="29" t="str">
        <f t="shared" si="164"/>
        <v>2Sáng5</v>
      </c>
      <c r="B250" s="29" t="str">
        <f t="shared" si="165"/>
        <v>2Sáng5</v>
      </c>
      <c r="C250" s="29" t="str">
        <f t="shared" si="166"/>
        <v/>
      </c>
      <c r="D250" s="29" t="str">
        <f t="shared" si="167"/>
        <v/>
      </c>
      <c r="E250" s="29" t="s">
        <v>12</v>
      </c>
      <c r="F250" s="29">
        <v>2</v>
      </c>
      <c r="G250" s="29" t="s">
        <v>3</v>
      </c>
      <c r="H250" s="29">
        <v>5</v>
      </c>
      <c r="I250" s="36" t="str">
        <f t="shared" ref="I250:J250" si="222">O70</f>
        <v/>
      </c>
      <c r="J250" s="36" t="str">
        <f t="shared" si="222"/>
        <v/>
      </c>
    </row>
    <row r="251" spans="1:10" x14ac:dyDescent="0.25">
      <c r="A251" s="29" t="str">
        <f t="shared" si="164"/>
        <v>2Chiều1Tay</v>
      </c>
      <c r="B251" s="29" t="str">
        <f t="shared" si="165"/>
        <v>2Chiều1Trà</v>
      </c>
      <c r="C251" s="29" t="str">
        <f t="shared" si="166"/>
        <v>Tay</v>
      </c>
      <c r="D251" s="29" t="str">
        <f t="shared" si="167"/>
        <v>Trà</v>
      </c>
      <c r="E251" s="29" t="s">
        <v>12</v>
      </c>
      <c r="F251" s="29">
        <v>2</v>
      </c>
      <c r="G251" s="29" t="s">
        <v>4</v>
      </c>
      <c r="H251" s="29">
        <v>1</v>
      </c>
      <c r="I251" s="36" t="str">
        <f t="shared" ref="I251:J251" si="223">O71</f>
        <v>Tay, Trà</v>
      </c>
      <c r="J251" s="36" t="str">
        <f t="shared" si="223"/>
        <v>GVNN -2C1</v>
      </c>
    </row>
    <row r="252" spans="1:10" x14ac:dyDescent="0.25">
      <c r="A252" s="29" t="str">
        <f t="shared" si="164"/>
        <v>2Chiều2</v>
      </c>
      <c r="B252" s="29" t="str">
        <f t="shared" si="165"/>
        <v>2Chiều2Trà</v>
      </c>
      <c r="C252" s="29" t="str">
        <f t="shared" si="166"/>
        <v/>
      </c>
      <c r="D252" s="29" t="str">
        <f t="shared" si="167"/>
        <v/>
      </c>
      <c r="E252" s="29" t="s">
        <v>12</v>
      </c>
      <c r="F252" s="29">
        <v>2</v>
      </c>
      <c r="G252" s="29" t="s">
        <v>4</v>
      </c>
      <c r="H252" s="29">
        <v>2</v>
      </c>
      <c r="I252" s="36" t="str">
        <f t="shared" ref="I252:J252" si="224">O72</f>
        <v>Trà</v>
      </c>
      <c r="J252" s="36" t="str">
        <f t="shared" si="224"/>
        <v>Science -2C1</v>
      </c>
    </row>
    <row r="253" spans="1:10" x14ac:dyDescent="0.25">
      <c r="A253" s="29" t="str">
        <f t="shared" si="164"/>
        <v>2Chiều3</v>
      </c>
      <c r="B253" s="29" t="str">
        <f t="shared" si="165"/>
        <v>2Chiều3Xuân</v>
      </c>
      <c r="C253" s="29" t="str">
        <f t="shared" si="166"/>
        <v/>
      </c>
      <c r="D253" s="29" t="str">
        <f t="shared" si="167"/>
        <v/>
      </c>
      <c r="E253" s="29" t="s">
        <v>12</v>
      </c>
      <c r="F253" s="29">
        <v>2</v>
      </c>
      <c r="G253" s="29" t="s">
        <v>4</v>
      </c>
      <c r="H253" s="29">
        <v>3</v>
      </c>
      <c r="I253" s="36" t="str">
        <f t="shared" ref="I253:J253" si="225">O73</f>
        <v>Xuân</v>
      </c>
      <c r="J253" s="36" t="str">
        <f t="shared" si="225"/>
        <v>Viết sáng tạo -2C1</v>
      </c>
    </row>
    <row r="254" spans="1:10" x14ac:dyDescent="0.25">
      <c r="A254" s="29" t="str">
        <f t="shared" si="164"/>
        <v>2Chiều4</v>
      </c>
      <c r="B254" s="29" t="str">
        <f t="shared" si="165"/>
        <v>2Chiều4Thanh</v>
      </c>
      <c r="C254" s="29" t="str">
        <f t="shared" si="166"/>
        <v/>
      </c>
      <c r="D254" s="29" t="str">
        <f t="shared" si="167"/>
        <v/>
      </c>
      <c r="E254" s="29" t="s">
        <v>12</v>
      </c>
      <c r="F254" s="29">
        <v>2</v>
      </c>
      <c r="G254" s="29" t="s">
        <v>4</v>
      </c>
      <c r="H254" s="29">
        <v>4</v>
      </c>
      <c r="I254" s="36" t="str">
        <f t="shared" ref="I254:J254" si="226">O74</f>
        <v>Thanh</v>
      </c>
      <c r="J254" s="36" t="str">
        <f t="shared" si="226"/>
        <v>Tiếng Trung -2C1</v>
      </c>
    </row>
    <row r="255" spans="1:10" x14ac:dyDescent="0.25">
      <c r="A255" s="29" t="str">
        <f t="shared" ref="A255:A305" si="227">F255&amp;G255&amp;H255&amp;C255</f>
        <v>2Chiều5</v>
      </c>
      <c r="B255" s="29" t="str">
        <f t="shared" ref="B255:B305" si="228">IF(D255="",F255&amp;G255&amp;H255&amp;I255,F255&amp;G255&amp;H255&amp;D255)</f>
        <v>2Chiều5</v>
      </c>
      <c r="C255" s="29" t="str">
        <f t="shared" ref="C255:C305" si="229">IFERROR(LEFT(I255,FIND(",",I255)-1),"")</f>
        <v/>
      </c>
      <c r="D255" s="29" t="str">
        <f t="shared" ref="D255:D305" si="230">IF(C255="","",RIGHT(I255,LEN(I255)-FIND(",",I255)-1))</f>
        <v/>
      </c>
      <c r="E255" s="29" t="s">
        <v>12</v>
      </c>
      <c r="F255" s="29">
        <v>2</v>
      </c>
      <c r="G255" s="29" t="s">
        <v>4</v>
      </c>
      <c r="H255" s="29">
        <v>5</v>
      </c>
      <c r="I255" s="36" t="str">
        <f t="shared" ref="I255:J255" si="231">O75</f>
        <v/>
      </c>
      <c r="J255" s="36" t="str">
        <f t="shared" si="231"/>
        <v/>
      </c>
    </row>
    <row r="256" spans="1:10" x14ac:dyDescent="0.25">
      <c r="A256" s="29" t="str">
        <f t="shared" si="227"/>
        <v>3Sáng1</v>
      </c>
      <c r="B256" s="29" t="str">
        <f t="shared" si="228"/>
        <v>3Sáng1Chi</v>
      </c>
      <c r="C256" s="29" t="str">
        <f t="shared" si="229"/>
        <v/>
      </c>
      <c r="D256" s="29" t="str">
        <f t="shared" si="230"/>
        <v/>
      </c>
      <c r="E256" s="29" t="s">
        <v>12</v>
      </c>
      <c r="F256" s="29">
        <v>3</v>
      </c>
      <c r="G256" s="29" t="s">
        <v>3</v>
      </c>
      <c r="H256" s="29">
        <v>1</v>
      </c>
      <c r="I256" s="36" t="str">
        <f t="shared" ref="I256:J256" si="232">O76</f>
        <v>Chi</v>
      </c>
      <c r="J256" s="36" t="str">
        <f t="shared" si="232"/>
        <v>Toán -2C1</v>
      </c>
    </row>
    <row r="257" spans="1:10" x14ac:dyDescent="0.25">
      <c r="A257" s="29" t="str">
        <f t="shared" si="227"/>
        <v>3Sáng2</v>
      </c>
      <c r="B257" s="29" t="str">
        <f t="shared" si="228"/>
        <v>3Sáng2Xuân</v>
      </c>
      <c r="C257" s="29" t="str">
        <f t="shared" si="229"/>
        <v/>
      </c>
      <c r="D257" s="29" t="str">
        <f t="shared" si="230"/>
        <v/>
      </c>
      <c r="E257" s="29" t="s">
        <v>12</v>
      </c>
      <c r="F257" s="29">
        <v>3</v>
      </c>
      <c r="G257" s="29" t="s">
        <v>3</v>
      </c>
      <c r="H257" s="29">
        <v>2</v>
      </c>
      <c r="I257" s="36" t="str">
        <f t="shared" ref="I257:J257" si="233">O77</f>
        <v>Xuân</v>
      </c>
      <c r="J257" s="36" t="str">
        <f t="shared" si="233"/>
        <v>TViệt -2C1</v>
      </c>
    </row>
    <row r="258" spans="1:10" x14ac:dyDescent="0.25">
      <c r="A258" s="29" t="str">
        <f t="shared" si="227"/>
        <v>3Sáng3</v>
      </c>
      <c r="B258" s="29" t="str">
        <f t="shared" si="228"/>
        <v>3Sáng3Trà</v>
      </c>
      <c r="C258" s="29" t="str">
        <f t="shared" si="229"/>
        <v/>
      </c>
      <c r="D258" s="29" t="str">
        <f t="shared" si="230"/>
        <v/>
      </c>
      <c r="E258" s="29" t="s">
        <v>12</v>
      </c>
      <c r="F258" s="29">
        <v>3</v>
      </c>
      <c r="G258" s="29" t="s">
        <v>3</v>
      </c>
      <c r="H258" s="29">
        <v>3</v>
      </c>
      <c r="I258" s="36" t="str">
        <f t="shared" ref="I258:J258" si="234">O78</f>
        <v>Trà</v>
      </c>
      <c r="J258" s="36" t="str">
        <f t="shared" si="234"/>
        <v>Science -2C1</v>
      </c>
    </row>
    <row r="259" spans="1:10" x14ac:dyDescent="0.25">
      <c r="A259" s="29" t="str">
        <f t="shared" si="227"/>
        <v>3Sáng4Tay</v>
      </c>
      <c r="B259" s="29" t="str">
        <f t="shared" si="228"/>
        <v>3Sáng4Trà</v>
      </c>
      <c r="C259" s="29" t="str">
        <f t="shared" si="229"/>
        <v>Tay</v>
      </c>
      <c r="D259" s="29" t="str">
        <f t="shared" si="230"/>
        <v>Trà</v>
      </c>
      <c r="E259" s="29" t="s">
        <v>12</v>
      </c>
      <c r="F259" s="29">
        <v>3</v>
      </c>
      <c r="G259" s="29" t="s">
        <v>3</v>
      </c>
      <c r="H259" s="29">
        <v>4</v>
      </c>
      <c r="I259" s="36" t="str">
        <f t="shared" ref="I259:J259" si="235">O79</f>
        <v>Tay, Trà</v>
      </c>
      <c r="J259" s="36" t="str">
        <f t="shared" si="235"/>
        <v>GVNN -2C1</v>
      </c>
    </row>
    <row r="260" spans="1:10" x14ac:dyDescent="0.25">
      <c r="A260" s="29" t="str">
        <f t="shared" si="227"/>
        <v>3Sáng5</v>
      </c>
      <c r="B260" s="29" t="str">
        <f t="shared" si="228"/>
        <v>3Sáng5</v>
      </c>
      <c r="C260" s="29" t="str">
        <f t="shared" si="229"/>
        <v/>
      </c>
      <c r="D260" s="29" t="str">
        <f t="shared" si="230"/>
        <v/>
      </c>
      <c r="E260" s="29" t="s">
        <v>12</v>
      </c>
      <c r="F260" s="29">
        <v>3</v>
      </c>
      <c r="G260" s="29" t="s">
        <v>3</v>
      </c>
      <c r="H260" s="29">
        <v>5</v>
      </c>
      <c r="I260" s="36" t="str">
        <f t="shared" ref="I260:J260" si="236">O80</f>
        <v/>
      </c>
      <c r="J260" s="36" t="str">
        <f t="shared" si="236"/>
        <v/>
      </c>
    </row>
    <row r="261" spans="1:10" x14ac:dyDescent="0.25">
      <c r="A261" s="29" t="str">
        <f t="shared" si="227"/>
        <v>3Chiều1</v>
      </c>
      <c r="B261" s="29" t="str">
        <f t="shared" si="228"/>
        <v>3Chiều1Xuân</v>
      </c>
      <c r="C261" s="29" t="str">
        <f t="shared" si="229"/>
        <v/>
      </c>
      <c r="D261" s="29" t="str">
        <f t="shared" si="230"/>
        <v/>
      </c>
      <c r="E261" s="29" t="s">
        <v>12</v>
      </c>
      <c r="F261" s="29">
        <v>3</v>
      </c>
      <c r="G261" s="29" t="s">
        <v>4</v>
      </c>
      <c r="H261" s="29">
        <v>1</v>
      </c>
      <c r="I261" s="36" t="str">
        <f t="shared" ref="I261:J261" si="237">O81</f>
        <v>Xuân</v>
      </c>
      <c r="J261" s="36" t="str">
        <f t="shared" si="237"/>
        <v>TNXH -2C1</v>
      </c>
    </row>
    <row r="262" spans="1:10" x14ac:dyDescent="0.25">
      <c r="A262" s="29" t="str">
        <f t="shared" si="227"/>
        <v>3Chiều2</v>
      </c>
      <c r="B262" s="29" t="str">
        <f t="shared" si="228"/>
        <v>3Chiều2Trà</v>
      </c>
      <c r="C262" s="29" t="str">
        <f t="shared" si="229"/>
        <v/>
      </c>
      <c r="D262" s="29" t="str">
        <f t="shared" si="230"/>
        <v/>
      </c>
      <c r="E262" s="29" t="s">
        <v>12</v>
      </c>
      <c r="F262" s="29">
        <v>3</v>
      </c>
      <c r="G262" s="29" t="s">
        <v>4</v>
      </c>
      <c r="H262" s="29">
        <v>2</v>
      </c>
      <c r="I262" s="36" t="str">
        <f t="shared" ref="I262:J262" si="238">O82</f>
        <v>Trà</v>
      </c>
      <c r="J262" s="36" t="str">
        <f t="shared" si="238"/>
        <v>GVVN -2C1</v>
      </c>
    </row>
    <row r="263" spans="1:10" x14ac:dyDescent="0.25">
      <c r="A263" s="29" t="str">
        <f t="shared" si="227"/>
        <v>3Chiều3</v>
      </c>
      <c r="B263" s="29" t="str">
        <f t="shared" si="228"/>
        <v>3Chiều3Chi</v>
      </c>
      <c r="C263" s="29" t="str">
        <f t="shared" si="229"/>
        <v/>
      </c>
      <c r="D263" s="29" t="str">
        <f t="shared" si="230"/>
        <v/>
      </c>
      <c r="E263" s="29" t="s">
        <v>12</v>
      </c>
      <c r="F263" s="29">
        <v>3</v>
      </c>
      <c r="G263" s="29" t="s">
        <v>4</v>
      </c>
      <c r="H263" s="29">
        <v>3</v>
      </c>
      <c r="I263" s="36" t="str">
        <f t="shared" ref="I263:J263" si="239">O83</f>
        <v>Chi</v>
      </c>
      <c r="J263" s="36" t="str">
        <f t="shared" si="239"/>
        <v>Toán -2C1</v>
      </c>
    </row>
    <row r="264" spans="1:10" x14ac:dyDescent="0.25">
      <c r="A264" s="29" t="str">
        <f t="shared" si="227"/>
        <v>3Chiều4</v>
      </c>
      <c r="B264" s="29" t="str">
        <f t="shared" si="228"/>
        <v>3Chiều4Xuân</v>
      </c>
      <c r="C264" s="29" t="str">
        <f t="shared" si="229"/>
        <v/>
      </c>
      <c r="D264" s="29" t="str">
        <f t="shared" si="230"/>
        <v/>
      </c>
      <c r="E264" s="29" t="s">
        <v>12</v>
      </c>
      <c r="F264" s="29">
        <v>3</v>
      </c>
      <c r="G264" s="29" t="s">
        <v>4</v>
      </c>
      <c r="H264" s="29">
        <v>4</v>
      </c>
      <c r="I264" s="36" t="str">
        <f t="shared" ref="I264:J264" si="240">O84</f>
        <v>Xuân</v>
      </c>
      <c r="J264" s="36" t="str">
        <f t="shared" si="240"/>
        <v>TViệt -2C1</v>
      </c>
    </row>
    <row r="265" spans="1:10" x14ac:dyDescent="0.25">
      <c r="A265" s="29" t="str">
        <f t="shared" si="227"/>
        <v>3Chiều5</v>
      </c>
      <c r="B265" s="29" t="str">
        <f t="shared" si="228"/>
        <v>3Chiều5</v>
      </c>
      <c r="C265" s="29" t="str">
        <f t="shared" si="229"/>
        <v/>
      </c>
      <c r="D265" s="29" t="str">
        <f t="shared" si="230"/>
        <v/>
      </c>
      <c r="E265" s="29" t="s">
        <v>12</v>
      </c>
      <c r="F265" s="29">
        <v>3</v>
      </c>
      <c r="G265" s="29" t="s">
        <v>4</v>
      </c>
      <c r="H265" s="29">
        <v>5</v>
      </c>
      <c r="I265" s="36" t="str">
        <f t="shared" ref="I265:J265" si="241">O85</f>
        <v/>
      </c>
      <c r="J265" s="36" t="str">
        <f t="shared" si="241"/>
        <v/>
      </c>
    </row>
    <row r="266" spans="1:10" x14ac:dyDescent="0.25">
      <c r="A266" s="29" t="str">
        <f t="shared" si="227"/>
        <v>4Sáng1Tay</v>
      </c>
      <c r="B266" s="29" t="str">
        <f t="shared" si="228"/>
        <v>4Sáng1Trà</v>
      </c>
      <c r="C266" s="29" t="str">
        <f t="shared" si="229"/>
        <v>Tay</v>
      </c>
      <c r="D266" s="29" t="str">
        <f t="shared" si="230"/>
        <v>Trà</v>
      </c>
      <c r="E266" s="29" t="s">
        <v>12</v>
      </c>
      <c r="F266" s="29">
        <v>4</v>
      </c>
      <c r="G266" s="29" t="s">
        <v>3</v>
      </c>
      <c r="H266" s="29">
        <v>1</v>
      </c>
      <c r="I266" s="36" t="str">
        <f t="shared" ref="I266:J266" si="242">O86</f>
        <v>Tay, Trà</v>
      </c>
      <c r="J266" s="36" t="str">
        <f t="shared" si="242"/>
        <v>GVNN -2C1</v>
      </c>
    </row>
    <row r="267" spans="1:10" x14ac:dyDescent="0.25">
      <c r="A267" s="29" t="str">
        <f t="shared" si="227"/>
        <v>4Sáng2</v>
      </c>
      <c r="B267" s="29" t="str">
        <f t="shared" si="228"/>
        <v>4Sáng2Chi</v>
      </c>
      <c r="C267" s="29" t="str">
        <f t="shared" si="229"/>
        <v/>
      </c>
      <c r="D267" s="29" t="str">
        <f t="shared" si="230"/>
        <v/>
      </c>
      <c r="E267" s="29" t="s">
        <v>12</v>
      </c>
      <c r="F267" s="29">
        <v>4</v>
      </c>
      <c r="G267" s="29" t="s">
        <v>3</v>
      </c>
      <c r="H267" s="29">
        <v>2</v>
      </c>
      <c r="I267" s="36" t="str">
        <f t="shared" ref="I267:J267" si="243">O87</f>
        <v>Chi</v>
      </c>
      <c r="J267" s="36" t="str">
        <f t="shared" si="243"/>
        <v>Toán -2C1</v>
      </c>
    </row>
    <row r="268" spans="1:10" x14ac:dyDescent="0.25">
      <c r="A268" s="29" t="str">
        <f t="shared" si="227"/>
        <v>4Sáng3</v>
      </c>
      <c r="B268" s="29" t="str">
        <f t="shared" si="228"/>
        <v>4Sáng3Xuân</v>
      </c>
      <c r="C268" s="29" t="str">
        <f t="shared" si="229"/>
        <v/>
      </c>
      <c r="D268" s="29" t="str">
        <f t="shared" si="230"/>
        <v/>
      </c>
      <c r="E268" s="29" t="s">
        <v>12</v>
      </c>
      <c r="F268" s="29">
        <v>4</v>
      </c>
      <c r="G268" s="29" t="s">
        <v>3</v>
      </c>
      <c r="H268" s="29">
        <v>3</v>
      </c>
      <c r="I268" s="36" t="str">
        <f t="shared" ref="I268:J268" si="244">O88</f>
        <v>Xuân</v>
      </c>
      <c r="J268" s="36" t="str">
        <f t="shared" si="244"/>
        <v>TViệt -2C1</v>
      </c>
    </row>
    <row r="269" spans="1:10" x14ac:dyDescent="0.25">
      <c r="A269" s="29" t="str">
        <f t="shared" si="227"/>
        <v>4Sáng4</v>
      </c>
      <c r="B269" s="29" t="str">
        <f t="shared" si="228"/>
        <v>4Sáng4Xuân</v>
      </c>
      <c r="C269" s="29" t="str">
        <f t="shared" si="229"/>
        <v/>
      </c>
      <c r="D269" s="29" t="str">
        <f t="shared" si="230"/>
        <v/>
      </c>
      <c r="E269" s="29" t="s">
        <v>12</v>
      </c>
      <c r="F269" s="29">
        <v>4</v>
      </c>
      <c r="G269" s="29" t="s">
        <v>3</v>
      </c>
      <c r="H269" s="29">
        <v>4</v>
      </c>
      <c r="I269" s="36" t="str">
        <f t="shared" ref="I269:J269" si="245">O89</f>
        <v>Xuân</v>
      </c>
      <c r="J269" s="36" t="str">
        <f t="shared" si="245"/>
        <v>TViệt -2C1</v>
      </c>
    </row>
    <row r="270" spans="1:10" x14ac:dyDescent="0.25">
      <c r="A270" s="29" t="str">
        <f t="shared" si="227"/>
        <v>4Sáng5</v>
      </c>
      <c r="B270" s="29" t="str">
        <f t="shared" si="228"/>
        <v>4Sáng5</v>
      </c>
      <c r="C270" s="29" t="str">
        <f t="shared" si="229"/>
        <v/>
      </c>
      <c r="D270" s="29" t="str">
        <f t="shared" si="230"/>
        <v/>
      </c>
      <c r="E270" s="29" t="s">
        <v>12</v>
      </c>
      <c r="F270" s="29">
        <v>4</v>
      </c>
      <c r="G270" s="29" t="s">
        <v>3</v>
      </c>
      <c r="H270" s="29">
        <v>5</v>
      </c>
      <c r="I270" s="36" t="str">
        <f t="shared" ref="I270:J270" si="246">O90</f>
        <v/>
      </c>
      <c r="J270" s="36" t="str">
        <f t="shared" si="246"/>
        <v/>
      </c>
    </row>
    <row r="271" spans="1:10" x14ac:dyDescent="0.25">
      <c r="A271" s="29" t="str">
        <f t="shared" si="227"/>
        <v>4Chiều1</v>
      </c>
      <c r="B271" s="29" t="str">
        <f t="shared" si="228"/>
        <v>4Chiều1Chi</v>
      </c>
      <c r="C271" s="29" t="str">
        <f t="shared" si="229"/>
        <v/>
      </c>
      <c r="D271" s="29" t="str">
        <f t="shared" si="230"/>
        <v/>
      </c>
      <c r="E271" s="29" t="s">
        <v>12</v>
      </c>
      <c r="F271" s="29">
        <v>4</v>
      </c>
      <c r="G271" s="29" t="s">
        <v>4</v>
      </c>
      <c r="H271" s="29">
        <v>1</v>
      </c>
      <c r="I271" s="36" t="str">
        <f t="shared" ref="I271:J271" si="247">O91</f>
        <v>Chi</v>
      </c>
      <c r="J271" s="36" t="str">
        <f t="shared" si="247"/>
        <v>Toán -2C1</v>
      </c>
    </row>
    <row r="272" spans="1:10" x14ac:dyDescent="0.25">
      <c r="A272" s="29" t="str">
        <f t="shared" si="227"/>
        <v>4Chiều2</v>
      </c>
      <c r="B272" s="29" t="str">
        <f t="shared" si="228"/>
        <v>4Chiều2Trà</v>
      </c>
      <c r="C272" s="29" t="str">
        <f t="shared" si="229"/>
        <v/>
      </c>
      <c r="D272" s="29" t="str">
        <f t="shared" si="230"/>
        <v/>
      </c>
      <c r="E272" s="29" t="s">
        <v>12</v>
      </c>
      <c r="F272" s="29">
        <v>4</v>
      </c>
      <c r="G272" s="29" t="s">
        <v>4</v>
      </c>
      <c r="H272" s="29">
        <v>2</v>
      </c>
      <c r="I272" s="36" t="str">
        <f t="shared" ref="I272:J272" si="248">O92</f>
        <v>Trà</v>
      </c>
      <c r="J272" s="36" t="str">
        <f t="shared" si="248"/>
        <v>GVVN -2C1</v>
      </c>
    </row>
    <row r="273" spans="1:10" x14ac:dyDescent="0.25">
      <c r="A273" s="29" t="str">
        <f t="shared" si="227"/>
        <v>4Chiều3</v>
      </c>
      <c r="B273" s="29" t="str">
        <f t="shared" si="228"/>
        <v>4Chiều3Hồng</v>
      </c>
      <c r="C273" s="29" t="str">
        <f t="shared" si="229"/>
        <v/>
      </c>
      <c r="D273" s="29" t="str">
        <f t="shared" si="230"/>
        <v/>
      </c>
      <c r="E273" s="29" t="s">
        <v>12</v>
      </c>
      <c r="F273" s="29">
        <v>4</v>
      </c>
      <c r="G273" s="29" t="s">
        <v>4</v>
      </c>
      <c r="H273" s="29">
        <v>3</v>
      </c>
      <c r="I273" s="36" t="str">
        <f t="shared" ref="I273:J273" si="249">O93</f>
        <v>Hồng</v>
      </c>
      <c r="J273" s="36" t="str">
        <f t="shared" si="249"/>
        <v>GDTC -2C1</v>
      </c>
    </row>
    <row r="274" spans="1:10" x14ac:dyDescent="0.25">
      <c r="A274" s="29" t="str">
        <f t="shared" si="227"/>
        <v>4Chiều4</v>
      </c>
      <c r="B274" s="29" t="str">
        <f t="shared" si="228"/>
        <v>4Chiều4Hồng</v>
      </c>
      <c r="C274" s="29" t="str">
        <f t="shared" si="229"/>
        <v/>
      </c>
      <c r="D274" s="29" t="str">
        <f t="shared" si="230"/>
        <v/>
      </c>
      <c r="E274" s="29" t="s">
        <v>12</v>
      </c>
      <c r="F274" s="29">
        <v>4</v>
      </c>
      <c r="G274" s="29" t="s">
        <v>4</v>
      </c>
      <c r="H274" s="29">
        <v>4</v>
      </c>
      <c r="I274" s="36" t="str">
        <f t="shared" ref="I274:J274" si="250">O94</f>
        <v>Hồng</v>
      </c>
      <c r="J274" s="36" t="str">
        <f t="shared" si="250"/>
        <v>GDTC -2C1</v>
      </c>
    </row>
    <row r="275" spans="1:10" x14ac:dyDescent="0.25">
      <c r="A275" s="29" t="str">
        <f t="shared" si="227"/>
        <v>4Chiều5</v>
      </c>
      <c r="B275" s="29" t="str">
        <f t="shared" si="228"/>
        <v>4Chiều5</v>
      </c>
      <c r="C275" s="29" t="str">
        <f t="shared" si="229"/>
        <v/>
      </c>
      <c r="D275" s="29" t="str">
        <f t="shared" si="230"/>
        <v/>
      </c>
      <c r="E275" s="29" t="s">
        <v>12</v>
      </c>
      <c r="F275" s="29">
        <v>4</v>
      </c>
      <c r="G275" s="29" t="s">
        <v>4</v>
      </c>
      <c r="H275" s="29">
        <v>5</v>
      </c>
      <c r="I275" s="36" t="str">
        <f t="shared" ref="I275:J275" si="251">O95</f>
        <v/>
      </c>
      <c r="J275" s="36" t="str">
        <f t="shared" si="251"/>
        <v/>
      </c>
    </row>
    <row r="276" spans="1:10" x14ac:dyDescent="0.25">
      <c r="A276" s="29" t="str">
        <f t="shared" si="227"/>
        <v>5Sáng1</v>
      </c>
      <c r="B276" s="29" t="str">
        <f t="shared" si="228"/>
        <v>5Sáng1Trà</v>
      </c>
      <c r="C276" s="29" t="str">
        <f t="shared" si="229"/>
        <v/>
      </c>
      <c r="D276" s="29" t="str">
        <f t="shared" si="230"/>
        <v/>
      </c>
      <c r="E276" s="29" t="s">
        <v>12</v>
      </c>
      <c r="F276" s="29">
        <v>5</v>
      </c>
      <c r="G276" s="29" t="s">
        <v>3</v>
      </c>
      <c r="H276" s="29">
        <v>1</v>
      </c>
      <c r="I276" s="36" t="str">
        <f t="shared" ref="I276:J276" si="252">O96</f>
        <v>Trà</v>
      </c>
      <c r="J276" s="36" t="str">
        <f t="shared" si="252"/>
        <v>GVVN -2C1</v>
      </c>
    </row>
    <row r="277" spans="1:10" x14ac:dyDescent="0.25">
      <c r="A277" s="29" t="str">
        <f t="shared" si="227"/>
        <v>5Sáng2</v>
      </c>
      <c r="B277" s="29" t="str">
        <f t="shared" si="228"/>
        <v>5Sáng2Chi</v>
      </c>
      <c r="C277" s="29" t="str">
        <f t="shared" si="229"/>
        <v/>
      </c>
      <c r="D277" s="29" t="str">
        <f t="shared" si="230"/>
        <v/>
      </c>
      <c r="E277" s="29" t="s">
        <v>12</v>
      </c>
      <c r="F277" s="29">
        <v>5</v>
      </c>
      <c r="G277" s="29" t="s">
        <v>3</v>
      </c>
      <c r="H277" s="29">
        <v>2</v>
      </c>
      <c r="I277" s="36" t="str">
        <f t="shared" ref="I277:J277" si="253">O97</f>
        <v>Chi</v>
      </c>
      <c r="J277" s="36" t="str">
        <f t="shared" si="253"/>
        <v>Toán -2C1</v>
      </c>
    </row>
    <row r="278" spans="1:10" x14ac:dyDescent="0.25">
      <c r="A278" s="29" t="str">
        <f t="shared" si="227"/>
        <v>5Sáng3</v>
      </c>
      <c r="B278" s="29" t="str">
        <f t="shared" si="228"/>
        <v>5Sáng3Trang ÂN</v>
      </c>
      <c r="C278" s="29" t="str">
        <f t="shared" si="229"/>
        <v/>
      </c>
      <c r="D278" s="29" t="str">
        <f t="shared" si="230"/>
        <v/>
      </c>
      <c r="E278" s="29" t="s">
        <v>12</v>
      </c>
      <c r="F278" s="29">
        <v>5</v>
      </c>
      <c r="G278" s="29" t="s">
        <v>3</v>
      </c>
      <c r="H278" s="29">
        <v>3</v>
      </c>
      <c r="I278" s="36" t="str">
        <f t="shared" ref="I278:J278" si="254">O98</f>
        <v>Trang ÂN</v>
      </c>
      <c r="J278" s="36" t="str">
        <f t="shared" si="254"/>
        <v>Nhạc -2C1</v>
      </c>
    </row>
    <row r="279" spans="1:10" x14ac:dyDescent="0.25">
      <c r="A279" s="29" t="str">
        <f t="shared" si="227"/>
        <v>5Sáng4</v>
      </c>
      <c r="B279" s="29" t="str">
        <f t="shared" si="228"/>
        <v>5Sáng4Nguyên</v>
      </c>
      <c r="C279" s="29" t="str">
        <f t="shared" si="229"/>
        <v/>
      </c>
      <c r="D279" s="29" t="str">
        <f t="shared" si="230"/>
        <v/>
      </c>
      <c r="E279" s="29" t="s">
        <v>12</v>
      </c>
      <c r="F279" s="29">
        <v>5</v>
      </c>
      <c r="G279" s="29" t="s">
        <v>3</v>
      </c>
      <c r="H279" s="29">
        <v>4</v>
      </c>
      <c r="I279" s="36" t="str">
        <f t="shared" ref="I279:J279" si="255">O99</f>
        <v>Nguyên</v>
      </c>
      <c r="J279" s="36" t="str">
        <f t="shared" si="255"/>
        <v>Robotics -2C1</v>
      </c>
    </row>
    <row r="280" spans="1:10" x14ac:dyDescent="0.25">
      <c r="A280" s="29" t="str">
        <f t="shared" si="227"/>
        <v>5Sáng5</v>
      </c>
      <c r="B280" s="29" t="str">
        <f t="shared" si="228"/>
        <v>5Sáng5</v>
      </c>
      <c r="C280" s="29" t="str">
        <f t="shared" si="229"/>
        <v/>
      </c>
      <c r="D280" s="29" t="str">
        <f t="shared" si="230"/>
        <v/>
      </c>
      <c r="E280" s="29" t="s">
        <v>12</v>
      </c>
      <c r="F280" s="29">
        <v>5</v>
      </c>
      <c r="G280" s="29" t="s">
        <v>3</v>
      </c>
      <c r="H280" s="29">
        <v>5</v>
      </c>
      <c r="I280" s="36" t="str">
        <f t="shared" ref="I280:J280" si="256">O100</f>
        <v/>
      </c>
      <c r="J280" s="36" t="str">
        <f t="shared" si="256"/>
        <v/>
      </c>
    </row>
    <row r="281" spans="1:10" x14ac:dyDescent="0.25">
      <c r="A281" s="29" t="str">
        <f t="shared" si="227"/>
        <v>5Chiều1</v>
      </c>
      <c r="B281" s="29" t="str">
        <f t="shared" si="228"/>
        <v>5Chiều1Chi</v>
      </c>
      <c r="C281" s="29" t="str">
        <f t="shared" si="229"/>
        <v/>
      </c>
      <c r="D281" s="29" t="str">
        <f t="shared" si="230"/>
        <v/>
      </c>
      <c r="E281" s="29" t="s">
        <v>12</v>
      </c>
      <c r="F281" s="29">
        <v>5</v>
      </c>
      <c r="G281" s="29" t="s">
        <v>4</v>
      </c>
      <c r="H281" s="29">
        <v>1</v>
      </c>
      <c r="I281" s="36" t="str">
        <f t="shared" ref="I281:J281" si="257">O101</f>
        <v>Chi</v>
      </c>
      <c r="J281" s="36" t="str">
        <f t="shared" si="257"/>
        <v>Toán -2C1</v>
      </c>
    </row>
    <row r="282" spans="1:10" x14ac:dyDescent="0.25">
      <c r="A282" s="29" t="str">
        <f t="shared" si="227"/>
        <v>5Chiều2</v>
      </c>
      <c r="B282" s="29" t="str">
        <f t="shared" si="228"/>
        <v>5Chiều2Trà</v>
      </c>
      <c r="C282" s="29" t="str">
        <f t="shared" si="229"/>
        <v/>
      </c>
      <c r="D282" s="29" t="str">
        <f t="shared" si="230"/>
        <v/>
      </c>
      <c r="E282" s="29" t="s">
        <v>12</v>
      </c>
      <c r="F282" s="29">
        <v>5</v>
      </c>
      <c r="G282" s="29" t="s">
        <v>4</v>
      </c>
      <c r="H282" s="29">
        <v>2</v>
      </c>
      <c r="I282" s="36" t="str">
        <f t="shared" ref="I282:J282" si="258">O102</f>
        <v>Trà</v>
      </c>
      <c r="J282" s="36" t="str">
        <f t="shared" si="258"/>
        <v>GVVN -2C1</v>
      </c>
    </row>
    <row r="283" spans="1:10" x14ac:dyDescent="0.25">
      <c r="A283" s="29" t="str">
        <f t="shared" si="227"/>
        <v>5Chiều3</v>
      </c>
      <c r="B283" s="29" t="str">
        <f t="shared" si="228"/>
        <v>5Chiều3Xuân</v>
      </c>
      <c r="C283" s="29" t="str">
        <f t="shared" si="229"/>
        <v/>
      </c>
      <c r="D283" s="29" t="str">
        <f t="shared" si="230"/>
        <v/>
      </c>
      <c r="E283" s="29" t="s">
        <v>12</v>
      </c>
      <c r="F283" s="29">
        <v>5</v>
      </c>
      <c r="G283" s="29" t="s">
        <v>4</v>
      </c>
      <c r="H283" s="29">
        <v>3</v>
      </c>
      <c r="I283" s="36" t="str">
        <f t="shared" ref="I283:J283" si="259">O103</f>
        <v>Xuân</v>
      </c>
      <c r="J283" s="36" t="str">
        <f t="shared" si="259"/>
        <v>TNXH -2C1</v>
      </c>
    </row>
    <row r="284" spans="1:10" x14ac:dyDescent="0.25">
      <c r="A284" s="29" t="str">
        <f t="shared" si="227"/>
        <v>5Chiều4Tay</v>
      </c>
      <c r="B284" s="29" t="str">
        <f t="shared" si="228"/>
        <v>5Chiều4Trà</v>
      </c>
      <c r="C284" s="29" t="str">
        <f t="shared" si="229"/>
        <v>Tay</v>
      </c>
      <c r="D284" s="29" t="str">
        <f t="shared" si="230"/>
        <v>Trà</v>
      </c>
      <c r="E284" s="29" t="s">
        <v>12</v>
      </c>
      <c r="F284" s="29">
        <v>5</v>
      </c>
      <c r="G284" s="29" t="s">
        <v>4</v>
      </c>
      <c r="H284" s="29">
        <v>4</v>
      </c>
      <c r="I284" s="36" t="str">
        <f t="shared" ref="I284:J284" si="260">O104</f>
        <v>Tay, Trà</v>
      </c>
      <c r="J284" s="36" t="str">
        <f t="shared" si="260"/>
        <v>GVNN -2C1</v>
      </c>
    </row>
    <row r="285" spans="1:10" x14ac:dyDescent="0.25">
      <c r="A285" s="29" t="str">
        <f t="shared" si="227"/>
        <v>5Chiều5</v>
      </c>
      <c r="B285" s="29" t="str">
        <f t="shared" si="228"/>
        <v>5Chiều5</v>
      </c>
      <c r="C285" s="29" t="str">
        <f t="shared" si="229"/>
        <v/>
      </c>
      <c r="D285" s="29" t="str">
        <f t="shared" si="230"/>
        <v/>
      </c>
      <c r="E285" s="29" t="s">
        <v>12</v>
      </c>
      <c r="F285" s="29">
        <v>5</v>
      </c>
      <c r="G285" s="29" t="s">
        <v>4</v>
      </c>
      <c r="H285" s="29">
        <v>5</v>
      </c>
      <c r="I285" s="36" t="str">
        <f t="shared" ref="I285:J285" si="261">O105</f>
        <v/>
      </c>
      <c r="J285" s="36" t="str">
        <f t="shared" si="261"/>
        <v/>
      </c>
    </row>
    <row r="286" spans="1:10" x14ac:dyDescent="0.25">
      <c r="A286" s="29" t="str">
        <f t="shared" si="227"/>
        <v>6Sáng1</v>
      </c>
      <c r="B286" s="29" t="str">
        <f t="shared" si="228"/>
        <v>6Sáng1Nguyên</v>
      </c>
      <c r="C286" s="29" t="str">
        <f t="shared" si="229"/>
        <v/>
      </c>
      <c r="D286" s="29" t="str">
        <f t="shared" si="230"/>
        <v/>
      </c>
      <c r="E286" s="29" t="s">
        <v>12</v>
      </c>
      <c r="F286" s="29">
        <v>6</v>
      </c>
      <c r="G286" s="29" t="s">
        <v>3</v>
      </c>
      <c r="H286" s="29">
        <v>1</v>
      </c>
      <c r="I286" s="36" t="str">
        <f t="shared" ref="I286:J286" si="262">O106</f>
        <v>Nguyên</v>
      </c>
      <c r="J286" s="36" t="str">
        <f t="shared" si="262"/>
        <v>Tin -2C1</v>
      </c>
    </row>
    <row r="287" spans="1:10" x14ac:dyDescent="0.25">
      <c r="A287" s="29" t="str">
        <f t="shared" si="227"/>
        <v>6Sáng2</v>
      </c>
      <c r="B287" s="29" t="str">
        <f t="shared" si="228"/>
        <v>6Sáng2Phương</v>
      </c>
      <c r="C287" s="29" t="str">
        <f t="shared" si="229"/>
        <v/>
      </c>
      <c r="D287" s="29" t="str">
        <f t="shared" si="230"/>
        <v/>
      </c>
      <c r="E287" s="29" t="s">
        <v>12</v>
      </c>
      <c r="F287" s="29">
        <v>6</v>
      </c>
      <c r="G287" s="29" t="s">
        <v>3</v>
      </c>
      <c r="H287" s="29">
        <v>2</v>
      </c>
      <c r="I287" s="36" t="str">
        <f t="shared" ref="I287:J287" si="263">O107</f>
        <v>Phương</v>
      </c>
      <c r="J287" s="36" t="str">
        <f t="shared" si="263"/>
        <v>Mĩ thuật -2C1</v>
      </c>
    </row>
    <row r="288" spans="1:10" x14ac:dyDescent="0.25">
      <c r="A288" s="29" t="str">
        <f t="shared" si="227"/>
        <v>6Sáng3</v>
      </c>
      <c r="B288" s="29" t="str">
        <f t="shared" si="228"/>
        <v>6Sáng3Xuân</v>
      </c>
      <c r="C288" s="29" t="str">
        <f t="shared" si="229"/>
        <v/>
      </c>
      <c r="D288" s="29" t="str">
        <f t="shared" si="230"/>
        <v/>
      </c>
      <c r="E288" s="29" t="s">
        <v>12</v>
      </c>
      <c r="F288" s="29">
        <v>6</v>
      </c>
      <c r="G288" s="29" t="s">
        <v>3</v>
      </c>
      <c r="H288" s="29">
        <v>3</v>
      </c>
      <c r="I288" s="36" t="str">
        <f t="shared" ref="I288:J288" si="264">O108</f>
        <v>Xuân</v>
      </c>
      <c r="J288" s="36" t="str">
        <f t="shared" si="264"/>
        <v>TViệt -2C1</v>
      </c>
    </row>
    <row r="289" spans="1:10" x14ac:dyDescent="0.25">
      <c r="A289" s="29" t="str">
        <f t="shared" si="227"/>
        <v>6Sáng4</v>
      </c>
      <c r="B289" s="29" t="str">
        <f t="shared" si="228"/>
        <v>6Sáng4Xuân</v>
      </c>
      <c r="C289" s="29" t="str">
        <f t="shared" si="229"/>
        <v/>
      </c>
      <c r="D289" s="29" t="str">
        <f t="shared" si="230"/>
        <v/>
      </c>
      <c r="E289" s="29" t="s">
        <v>12</v>
      </c>
      <c r="F289" s="29">
        <v>6</v>
      </c>
      <c r="G289" s="29" t="s">
        <v>3</v>
      </c>
      <c r="H289" s="29">
        <v>4</v>
      </c>
      <c r="I289" s="36" t="str">
        <f t="shared" ref="I289:J289" si="265">O109</f>
        <v>Xuân</v>
      </c>
      <c r="J289" s="36" t="str">
        <f t="shared" si="265"/>
        <v>TViệt -2C1</v>
      </c>
    </row>
    <row r="290" spans="1:10" x14ac:dyDescent="0.25">
      <c r="A290" s="29" t="str">
        <f t="shared" si="227"/>
        <v>6Sáng5</v>
      </c>
      <c r="B290" s="29" t="str">
        <f t="shared" si="228"/>
        <v>6Sáng5</v>
      </c>
      <c r="C290" s="29" t="str">
        <f t="shared" si="229"/>
        <v/>
      </c>
      <c r="D290" s="29" t="str">
        <f t="shared" si="230"/>
        <v/>
      </c>
      <c r="E290" s="29" t="s">
        <v>12</v>
      </c>
      <c r="F290" s="29">
        <v>6</v>
      </c>
      <c r="G290" s="29" t="s">
        <v>3</v>
      </c>
      <c r="H290" s="29">
        <v>5</v>
      </c>
      <c r="I290" s="36" t="str">
        <f t="shared" ref="I290:J290" si="266">O110</f>
        <v/>
      </c>
      <c r="J290" s="36" t="str">
        <f t="shared" si="266"/>
        <v/>
      </c>
    </row>
    <row r="291" spans="1:10" x14ac:dyDescent="0.25">
      <c r="A291" s="29" t="str">
        <f t="shared" si="227"/>
        <v>6Chiều1</v>
      </c>
      <c r="B291" s="29" t="str">
        <f t="shared" si="228"/>
        <v>6Chiều1Trà</v>
      </c>
      <c r="C291" s="29" t="str">
        <f t="shared" si="229"/>
        <v/>
      </c>
      <c r="D291" s="29" t="str">
        <f t="shared" si="230"/>
        <v/>
      </c>
      <c r="E291" s="29" t="s">
        <v>12</v>
      </c>
      <c r="F291" s="29">
        <v>6</v>
      </c>
      <c r="G291" s="29" t="s">
        <v>4</v>
      </c>
      <c r="H291" s="29">
        <v>1</v>
      </c>
      <c r="I291" s="36" t="str">
        <f t="shared" ref="I291:J291" si="267">O111</f>
        <v>Trà</v>
      </c>
      <c r="J291" s="36" t="str">
        <f t="shared" si="267"/>
        <v>GVVN -2C1</v>
      </c>
    </row>
    <row r="292" spans="1:10" x14ac:dyDescent="0.25">
      <c r="A292" s="29" t="str">
        <f t="shared" si="227"/>
        <v>6Chiều2</v>
      </c>
      <c r="B292" s="29" t="str">
        <f t="shared" si="228"/>
        <v>6Chiều2Chi</v>
      </c>
      <c r="C292" s="29" t="str">
        <f t="shared" si="229"/>
        <v/>
      </c>
      <c r="D292" s="29" t="str">
        <f t="shared" si="230"/>
        <v/>
      </c>
      <c r="E292" s="29" t="s">
        <v>12</v>
      </c>
      <c r="F292" s="29">
        <v>6</v>
      </c>
      <c r="G292" s="29" t="s">
        <v>4</v>
      </c>
      <c r="H292" s="29">
        <v>2</v>
      </c>
      <c r="I292" s="36" t="str">
        <f t="shared" ref="I292:J292" si="268">O112</f>
        <v>Chi</v>
      </c>
      <c r="J292" s="36" t="str">
        <f t="shared" si="268"/>
        <v>Toán -2C1</v>
      </c>
    </row>
    <row r="293" spans="1:10" x14ac:dyDescent="0.25">
      <c r="A293" s="29" t="str">
        <f t="shared" si="227"/>
        <v>6Chiều3</v>
      </c>
      <c r="B293" s="29" t="str">
        <f t="shared" si="228"/>
        <v>6Chiều3Xuân</v>
      </c>
      <c r="C293" s="29" t="str">
        <f t="shared" si="229"/>
        <v/>
      </c>
      <c r="D293" s="29" t="str">
        <f t="shared" si="230"/>
        <v/>
      </c>
      <c r="E293" s="29" t="s">
        <v>12</v>
      </c>
      <c r="F293" s="29">
        <v>6</v>
      </c>
      <c r="G293" s="29" t="s">
        <v>4</v>
      </c>
      <c r="H293" s="29">
        <v>3</v>
      </c>
      <c r="I293" s="36" t="str">
        <f t="shared" ref="I293:J293" si="269">O113</f>
        <v>Xuân</v>
      </c>
      <c r="J293" s="36" t="str">
        <f t="shared" si="269"/>
        <v>Viết sáng tạo -2C1</v>
      </c>
    </row>
    <row r="294" spans="1:10" x14ac:dyDescent="0.25">
      <c r="A294" s="29" t="str">
        <f t="shared" si="227"/>
        <v>6Chiều4</v>
      </c>
      <c r="B294" s="29" t="str">
        <f t="shared" si="228"/>
        <v>6Chiều4Xuân</v>
      </c>
      <c r="C294" s="29" t="str">
        <f t="shared" si="229"/>
        <v/>
      </c>
      <c r="D294" s="29" t="str">
        <f t="shared" si="230"/>
        <v/>
      </c>
      <c r="E294" s="29" t="s">
        <v>12</v>
      </c>
      <c r="F294" s="29">
        <v>6</v>
      </c>
      <c r="G294" s="29" t="s">
        <v>4</v>
      </c>
      <c r="H294" s="29">
        <v>4</v>
      </c>
      <c r="I294" s="36" t="str">
        <f t="shared" ref="I294:J294" si="270">O114</f>
        <v>Xuân</v>
      </c>
      <c r="J294" s="36" t="str">
        <f t="shared" si="270"/>
        <v>HĐTN -2C1</v>
      </c>
    </row>
    <row r="295" spans="1:10" x14ac:dyDescent="0.25">
      <c r="A295" s="29" t="str">
        <f t="shared" si="227"/>
        <v>6Chiều5</v>
      </c>
      <c r="B295" s="29" t="str">
        <f t="shared" si="228"/>
        <v>6Chiều5</v>
      </c>
      <c r="C295" s="29" t="str">
        <f t="shared" si="229"/>
        <v/>
      </c>
      <c r="D295" s="29" t="str">
        <f t="shared" si="230"/>
        <v/>
      </c>
      <c r="E295" s="29" t="s">
        <v>12</v>
      </c>
      <c r="F295" s="29">
        <v>6</v>
      </c>
      <c r="G295" s="29" t="s">
        <v>4</v>
      </c>
      <c r="H295" s="29">
        <v>5</v>
      </c>
      <c r="I295" s="36" t="str">
        <f t="shared" ref="I295:J295" si="271">O115</f>
        <v/>
      </c>
      <c r="J295" s="36" t="str">
        <f t="shared" si="271"/>
        <v/>
      </c>
    </row>
    <row r="296" spans="1:10" x14ac:dyDescent="0.25">
      <c r="A296" s="29" t="str">
        <f t="shared" si="227"/>
        <v>7Sáng1</v>
      </c>
      <c r="B296" s="29" t="str">
        <f t="shared" si="228"/>
        <v>7Sáng1</v>
      </c>
      <c r="C296" s="29" t="str">
        <f t="shared" si="229"/>
        <v/>
      </c>
      <c r="D296" s="29" t="str">
        <f t="shared" si="230"/>
        <v/>
      </c>
      <c r="E296" s="29" t="s">
        <v>12</v>
      </c>
      <c r="F296" s="29">
        <v>7</v>
      </c>
      <c r="G296" s="29" t="s">
        <v>3</v>
      </c>
      <c r="H296" s="29">
        <v>1</v>
      </c>
      <c r="I296" s="36" t="str">
        <f t="shared" ref="I296:J296" si="272">O116</f>
        <v/>
      </c>
      <c r="J296" s="36" t="str">
        <f t="shared" si="272"/>
        <v/>
      </c>
    </row>
    <row r="297" spans="1:10" x14ac:dyDescent="0.25">
      <c r="A297" s="29" t="str">
        <f t="shared" si="227"/>
        <v>7Sáng2</v>
      </c>
      <c r="B297" s="29" t="str">
        <f t="shared" si="228"/>
        <v>7Sáng20</v>
      </c>
      <c r="C297" s="29" t="str">
        <f t="shared" si="229"/>
        <v/>
      </c>
      <c r="D297" s="29" t="str">
        <f t="shared" si="230"/>
        <v/>
      </c>
      <c r="E297" s="29" t="s">
        <v>12</v>
      </c>
      <c r="F297" s="29">
        <v>7</v>
      </c>
      <c r="G297" s="29" t="s">
        <v>3</v>
      </c>
      <c r="H297" s="29">
        <v>2</v>
      </c>
      <c r="I297" s="36">
        <f t="shared" ref="I297:J297" si="273">O117</f>
        <v>0</v>
      </c>
      <c r="J297" s="36" t="str">
        <f t="shared" si="273"/>
        <v/>
      </c>
    </row>
    <row r="298" spans="1:10" x14ac:dyDescent="0.25">
      <c r="A298" s="29" t="str">
        <f t="shared" si="227"/>
        <v>7Sáng3</v>
      </c>
      <c r="B298" s="29" t="str">
        <f t="shared" si="228"/>
        <v>7Sáng30</v>
      </c>
      <c r="C298" s="29" t="str">
        <f t="shared" si="229"/>
        <v/>
      </c>
      <c r="D298" s="29" t="str">
        <f t="shared" si="230"/>
        <v/>
      </c>
      <c r="E298" s="29" t="s">
        <v>12</v>
      </c>
      <c r="F298" s="29">
        <v>7</v>
      </c>
      <c r="G298" s="29" t="s">
        <v>3</v>
      </c>
      <c r="H298" s="29">
        <v>3</v>
      </c>
      <c r="I298" s="36">
        <f t="shared" ref="I298:J298" si="274">O118</f>
        <v>0</v>
      </c>
      <c r="J298" s="36" t="str">
        <f t="shared" si="274"/>
        <v/>
      </c>
    </row>
    <row r="299" spans="1:10" x14ac:dyDescent="0.25">
      <c r="A299" s="29" t="str">
        <f t="shared" si="227"/>
        <v>7Sáng4</v>
      </c>
      <c r="B299" s="29" t="str">
        <f t="shared" si="228"/>
        <v>7Sáng40</v>
      </c>
      <c r="C299" s="29" t="str">
        <f t="shared" si="229"/>
        <v/>
      </c>
      <c r="D299" s="29" t="str">
        <f t="shared" si="230"/>
        <v/>
      </c>
      <c r="E299" s="29" t="s">
        <v>12</v>
      </c>
      <c r="F299" s="29">
        <v>7</v>
      </c>
      <c r="G299" s="29" t="s">
        <v>3</v>
      </c>
      <c r="H299" s="29">
        <v>4</v>
      </c>
      <c r="I299" s="36">
        <f t="shared" ref="I299:J299" si="275">O119</f>
        <v>0</v>
      </c>
      <c r="J299" s="36" t="str">
        <f t="shared" si="275"/>
        <v/>
      </c>
    </row>
    <row r="300" spans="1:10" x14ac:dyDescent="0.25">
      <c r="A300" s="29" t="str">
        <f t="shared" si="227"/>
        <v>7Sáng5</v>
      </c>
      <c r="B300" s="29" t="str">
        <f t="shared" si="228"/>
        <v>7Sáng50</v>
      </c>
      <c r="C300" s="29" t="str">
        <f t="shared" si="229"/>
        <v/>
      </c>
      <c r="D300" s="29" t="str">
        <f t="shared" si="230"/>
        <v/>
      </c>
      <c r="E300" s="29" t="s">
        <v>12</v>
      </c>
      <c r="F300" s="29">
        <v>7</v>
      </c>
      <c r="G300" s="29" t="s">
        <v>3</v>
      </c>
      <c r="H300" s="29">
        <v>5</v>
      </c>
      <c r="I300" s="36">
        <f t="shared" ref="I300:J300" si="276">O120</f>
        <v>0</v>
      </c>
      <c r="J300" s="36" t="str">
        <f t="shared" si="276"/>
        <v/>
      </c>
    </row>
    <row r="301" spans="1:10" x14ac:dyDescent="0.25">
      <c r="A301" s="29" t="str">
        <f t="shared" si="227"/>
        <v>7Chiều1</v>
      </c>
      <c r="B301" s="29" t="str">
        <f t="shared" si="228"/>
        <v>7Chiều10</v>
      </c>
      <c r="C301" s="29" t="str">
        <f t="shared" si="229"/>
        <v/>
      </c>
      <c r="D301" s="29" t="str">
        <f t="shared" si="230"/>
        <v/>
      </c>
      <c r="E301" s="29" t="s">
        <v>12</v>
      </c>
      <c r="F301" s="29">
        <v>7</v>
      </c>
      <c r="G301" s="29" t="s">
        <v>4</v>
      </c>
      <c r="H301" s="29">
        <v>1</v>
      </c>
      <c r="I301" s="36">
        <f t="shared" ref="I301:J301" si="277">O121</f>
        <v>0</v>
      </c>
      <c r="J301" s="36" t="str">
        <f t="shared" si="277"/>
        <v/>
      </c>
    </row>
    <row r="302" spans="1:10" x14ac:dyDescent="0.25">
      <c r="A302" s="29" t="str">
        <f t="shared" si="227"/>
        <v>7Chiều2</v>
      </c>
      <c r="B302" s="29" t="str">
        <f t="shared" si="228"/>
        <v>7Chiều20</v>
      </c>
      <c r="C302" s="29" t="str">
        <f t="shared" si="229"/>
        <v/>
      </c>
      <c r="D302" s="29" t="str">
        <f t="shared" si="230"/>
        <v/>
      </c>
      <c r="E302" s="29" t="s">
        <v>12</v>
      </c>
      <c r="F302" s="29">
        <v>7</v>
      </c>
      <c r="G302" s="29" t="s">
        <v>4</v>
      </c>
      <c r="H302" s="29">
        <v>2</v>
      </c>
      <c r="I302" s="36">
        <f t="shared" ref="I302:J302" si="278">O122</f>
        <v>0</v>
      </c>
      <c r="J302" s="36" t="str">
        <f t="shared" si="278"/>
        <v/>
      </c>
    </row>
    <row r="303" spans="1:10" x14ac:dyDescent="0.25">
      <c r="A303" s="29" t="str">
        <f t="shared" si="227"/>
        <v>7Chiều3</v>
      </c>
      <c r="B303" s="29" t="str">
        <f t="shared" si="228"/>
        <v>7Chiều30</v>
      </c>
      <c r="C303" s="29" t="str">
        <f t="shared" si="229"/>
        <v/>
      </c>
      <c r="D303" s="29" t="str">
        <f t="shared" si="230"/>
        <v/>
      </c>
      <c r="E303" s="29" t="s">
        <v>12</v>
      </c>
      <c r="F303" s="29">
        <v>7</v>
      </c>
      <c r="G303" s="29" t="s">
        <v>4</v>
      </c>
      <c r="H303" s="29">
        <v>3</v>
      </c>
      <c r="I303" s="36">
        <f t="shared" ref="I303:J303" si="279">O123</f>
        <v>0</v>
      </c>
      <c r="J303" s="36" t="str">
        <f t="shared" si="279"/>
        <v/>
      </c>
    </row>
    <row r="304" spans="1:10" x14ac:dyDescent="0.25">
      <c r="A304" s="29" t="str">
        <f t="shared" si="227"/>
        <v>7Chiều4</v>
      </c>
      <c r="B304" s="29" t="str">
        <f t="shared" si="228"/>
        <v>7Chiều40</v>
      </c>
      <c r="C304" s="29" t="str">
        <f t="shared" si="229"/>
        <v/>
      </c>
      <c r="D304" s="29" t="str">
        <f t="shared" si="230"/>
        <v/>
      </c>
      <c r="E304" s="29" t="s">
        <v>12</v>
      </c>
      <c r="F304" s="29">
        <v>7</v>
      </c>
      <c r="G304" s="29" t="s">
        <v>4</v>
      </c>
      <c r="H304" s="29">
        <v>4</v>
      </c>
      <c r="I304" s="36">
        <f t="shared" ref="I304:J304" si="280">O124</f>
        <v>0</v>
      </c>
      <c r="J304" s="36" t="e">
        <f t="shared" si="280"/>
        <v>#VALUE!</v>
      </c>
    </row>
    <row r="305" spans="1:10" x14ac:dyDescent="0.25">
      <c r="A305" s="29" t="str">
        <f t="shared" si="227"/>
        <v>7Chiều5</v>
      </c>
      <c r="B305" s="29" t="str">
        <f t="shared" si="228"/>
        <v>7Chiều50</v>
      </c>
      <c r="C305" s="29" t="str">
        <f t="shared" si="229"/>
        <v/>
      </c>
      <c r="D305" s="29" t="str">
        <f t="shared" si="230"/>
        <v/>
      </c>
      <c r="E305" s="29" t="s">
        <v>12</v>
      </c>
      <c r="F305" s="29">
        <v>7</v>
      </c>
      <c r="G305" s="29" t="s">
        <v>4</v>
      </c>
      <c r="H305" s="29">
        <v>5</v>
      </c>
      <c r="I305" s="36">
        <f t="shared" ref="I305:J305" si="281">O125</f>
        <v>0</v>
      </c>
      <c r="J305" s="36" t="e">
        <f t="shared" si="281"/>
        <v>#VALUE!</v>
      </c>
    </row>
    <row r="306" spans="1:10" x14ac:dyDescent="0.25">
      <c r="A306" s="29" t="str">
        <f t="shared" si="164"/>
        <v>2Sáng1</v>
      </c>
      <c r="B306" s="29" t="str">
        <f t="shared" si="165"/>
        <v>2Sáng1Xuân</v>
      </c>
      <c r="C306" s="29" t="str">
        <f t="shared" si="166"/>
        <v/>
      </c>
      <c r="D306" s="29" t="str">
        <f t="shared" si="167"/>
        <v/>
      </c>
      <c r="E306" s="29" t="s">
        <v>87</v>
      </c>
      <c r="F306" s="29">
        <v>2</v>
      </c>
      <c r="G306" s="29" t="s">
        <v>3</v>
      </c>
      <c r="H306" s="29">
        <v>1</v>
      </c>
      <c r="I306" s="36" t="str">
        <f>O66</f>
        <v>Xuân</v>
      </c>
      <c r="J306" s="36" t="str">
        <f>P66</f>
        <v>Đạo đức -2C1</v>
      </c>
    </row>
    <row r="307" spans="1:10" x14ac:dyDescent="0.25">
      <c r="A307" s="29" t="str">
        <f t="shared" si="164"/>
        <v>2Sáng2</v>
      </c>
      <c r="B307" s="29" t="str">
        <f t="shared" si="165"/>
        <v>2Sáng2Xuân</v>
      </c>
      <c r="C307" s="29" t="str">
        <f t="shared" si="166"/>
        <v/>
      </c>
      <c r="D307" s="29" t="str">
        <f t="shared" si="167"/>
        <v/>
      </c>
      <c r="E307" s="29" t="s">
        <v>87</v>
      </c>
      <c r="F307" s="29">
        <v>2</v>
      </c>
      <c r="G307" s="29" t="s">
        <v>3</v>
      </c>
      <c r="H307" s="29">
        <v>2</v>
      </c>
      <c r="I307" s="36" t="str">
        <f t="shared" ref="I307:I338" si="282">Q67</f>
        <v>Xuân</v>
      </c>
      <c r="J307" s="36" t="str">
        <f t="shared" ref="J307:J338" si="283">R67</f>
        <v>Viết sáng tạo -3A1</v>
      </c>
    </row>
    <row r="308" spans="1:10" x14ac:dyDescent="0.25">
      <c r="A308" s="29" t="str">
        <f t="shared" si="164"/>
        <v>2Sáng3</v>
      </c>
      <c r="B308" s="29" t="str">
        <f t="shared" si="165"/>
        <v>2Sáng3Ngọc</v>
      </c>
      <c r="C308" s="29" t="str">
        <f t="shared" si="166"/>
        <v/>
      </c>
      <c r="D308" s="29" t="str">
        <f t="shared" si="167"/>
        <v/>
      </c>
      <c r="E308" s="29" t="s">
        <v>87</v>
      </c>
      <c r="F308" s="29">
        <v>2</v>
      </c>
      <c r="G308" s="29" t="s">
        <v>3</v>
      </c>
      <c r="H308" s="29">
        <v>3</v>
      </c>
      <c r="I308" s="36" t="str">
        <f t="shared" si="282"/>
        <v>Ngọc</v>
      </c>
      <c r="J308" s="36" t="str">
        <f t="shared" si="283"/>
        <v>TViệt -3A1</v>
      </c>
    </row>
    <row r="309" spans="1:10" x14ac:dyDescent="0.25">
      <c r="A309" s="29" t="str">
        <f t="shared" si="164"/>
        <v>2Sáng4</v>
      </c>
      <c r="B309" s="29" t="str">
        <f t="shared" si="165"/>
        <v>2Sáng4Nhi</v>
      </c>
      <c r="C309" s="29" t="str">
        <f t="shared" si="166"/>
        <v/>
      </c>
      <c r="D309" s="29" t="str">
        <f t="shared" si="167"/>
        <v/>
      </c>
      <c r="E309" s="29" t="s">
        <v>87</v>
      </c>
      <c r="F309" s="29">
        <v>2</v>
      </c>
      <c r="G309" s="29" t="s">
        <v>3</v>
      </c>
      <c r="H309" s="29">
        <v>4</v>
      </c>
      <c r="I309" s="36" t="str">
        <f t="shared" si="282"/>
        <v>Nhi</v>
      </c>
      <c r="J309" s="36" t="str">
        <f t="shared" si="283"/>
        <v>TNXH -3A1</v>
      </c>
    </row>
    <row r="310" spans="1:10" x14ac:dyDescent="0.25">
      <c r="A310" s="29" t="str">
        <f t="shared" si="164"/>
        <v>2Sáng5</v>
      </c>
      <c r="B310" s="29" t="str">
        <f t="shared" si="165"/>
        <v>2Sáng5</v>
      </c>
      <c r="C310" s="29" t="str">
        <f t="shared" si="166"/>
        <v/>
      </c>
      <c r="D310" s="29" t="str">
        <f t="shared" si="167"/>
        <v/>
      </c>
      <c r="E310" s="29" t="s">
        <v>87</v>
      </c>
      <c r="F310" s="29">
        <v>2</v>
      </c>
      <c r="G310" s="29" t="s">
        <v>3</v>
      </c>
      <c r="H310" s="29">
        <v>5</v>
      </c>
      <c r="I310" s="36" t="str">
        <f t="shared" si="282"/>
        <v/>
      </c>
      <c r="J310" s="36" t="str">
        <f t="shared" si="283"/>
        <v/>
      </c>
    </row>
    <row r="311" spans="1:10" x14ac:dyDescent="0.25">
      <c r="A311" s="29" t="str">
        <f t="shared" si="164"/>
        <v>2Chiều1</v>
      </c>
      <c r="B311" s="29" t="str">
        <f t="shared" si="165"/>
        <v>2Chiều1Hồng</v>
      </c>
      <c r="C311" s="29" t="str">
        <f t="shared" si="166"/>
        <v/>
      </c>
      <c r="D311" s="29" t="str">
        <f t="shared" si="167"/>
        <v/>
      </c>
      <c r="E311" s="29" t="s">
        <v>87</v>
      </c>
      <c r="F311" s="29">
        <v>2</v>
      </c>
      <c r="G311" s="29" t="s">
        <v>4</v>
      </c>
      <c r="H311" s="29">
        <v>1</v>
      </c>
      <c r="I311" s="36" t="str">
        <f t="shared" si="282"/>
        <v>Hồng</v>
      </c>
      <c r="J311" s="36" t="str">
        <f t="shared" si="283"/>
        <v>GDTC -3A1</v>
      </c>
    </row>
    <row r="312" spans="1:10" x14ac:dyDescent="0.25">
      <c r="A312" s="29" t="str">
        <f t="shared" si="164"/>
        <v>2Chiều2</v>
      </c>
      <c r="B312" s="29" t="str">
        <f t="shared" si="165"/>
        <v>2Chiều2Hồng</v>
      </c>
      <c r="C312" s="29" t="str">
        <f t="shared" si="166"/>
        <v/>
      </c>
      <c r="D312" s="29" t="str">
        <f t="shared" si="167"/>
        <v/>
      </c>
      <c r="E312" s="29" t="s">
        <v>87</v>
      </c>
      <c r="F312" s="29">
        <v>2</v>
      </c>
      <c r="G312" s="29" t="s">
        <v>4</v>
      </c>
      <c r="H312" s="29">
        <v>2</v>
      </c>
      <c r="I312" s="36" t="str">
        <f t="shared" si="282"/>
        <v>Hồng</v>
      </c>
      <c r="J312" s="36" t="str">
        <f t="shared" si="283"/>
        <v>GDTC -3A1</v>
      </c>
    </row>
    <row r="313" spans="1:10" x14ac:dyDescent="0.25">
      <c r="A313" s="29" t="str">
        <f t="shared" si="164"/>
        <v>2Chiều3</v>
      </c>
      <c r="B313" s="29" t="str">
        <f t="shared" si="165"/>
        <v>2Chiều3Trà</v>
      </c>
      <c r="C313" s="29" t="str">
        <f t="shared" si="166"/>
        <v/>
      </c>
      <c r="D313" s="29" t="str">
        <f t="shared" si="167"/>
        <v/>
      </c>
      <c r="E313" s="29" t="s">
        <v>87</v>
      </c>
      <c r="F313" s="29">
        <v>2</v>
      </c>
      <c r="G313" s="29" t="s">
        <v>4</v>
      </c>
      <c r="H313" s="29">
        <v>3</v>
      </c>
      <c r="I313" s="36" t="str">
        <f t="shared" si="282"/>
        <v>Trà</v>
      </c>
      <c r="J313" s="36" t="str">
        <f t="shared" si="283"/>
        <v>GVVN -3A1</v>
      </c>
    </row>
    <row r="314" spans="1:10" x14ac:dyDescent="0.25">
      <c r="A314" s="29" t="str">
        <f t="shared" si="164"/>
        <v>2Chiều4</v>
      </c>
      <c r="B314" s="29" t="str">
        <f t="shared" si="165"/>
        <v>2Chiều4Trà</v>
      </c>
      <c r="C314" s="29" t="str">
        <f t="shared" si="166"/>
        <v/>
      </c>
      <c r="D314" s="29" t="str">
        <f t="shared" si="167"/>
        <v/>
      </c>
      <c r="E314" s="29" t="s">
        <v>87</v>
      </c>
      <c r="F314" s="29">
        <v>2</v>
      </c>
      <c r="G314" s="29" t="s">
        <v>4</v>
      </c>
      <c r="H314" s="29">
        <v>4</v>
      </c>
      <c r="I314" s="36" t="str">
        <f t="shared" si="282"/>
        <v>Trà</v>
      </c>
      <c r="J314" s="36" t="str">
        <f t="shared" si="283"/>
        <v>GVVN -3A1</v>
      </c>
    </row>
    <row r="315" spans="1:10" x14ac:dyDescent="0.25">
      <c r="A315" s="29" t="str">
        <f t="shared" si="164"/>
        <v>2Chiều5</v>
      </c>
      <c r="B315" s="29" t="str">
        <f t="shared" si="165"/>
        <v>2Chiều5</v>
      </c>
      <c r="C315" s="29" t="str">
        <f t="shared" si="166"/>
        <v/>
      </c>
      <c r="D315" s="29" t="str">
        <f t="shared" si="167"/>
        <v/>
      </c>
      <c r="E315" s="29" t="s">
        <v>87</v>
      </c>
      <c r="F315" s="29">
        <v>2</v>
      </c>
      <c r="G315" s="29" t="s">
        <v>4</v>
      </c>
      <c r="H315" s="29">
        <v>5</v>
      </c>
      <c r="I315" s="36" t="str">
        <f t="shared" si="282"/>
        <v/>
      </c>
      <c r="J315" s="36" t="str">
        <f t="shared" si="283"/>
        <v/>
      </c>
    </row>
    <row r="316" spans="1:10" x14ac:dyDescent="0.25">
      <c r="A316" s="29" t="str">
        <f t="shared" si="164"/>
        <v>3Sáng1</v>
      </c>
      <c r="B316" s="29" t="str">
        <f t="shared" si="165"/>
        <v>3Sáng1Nhi</v>
      </c>
      <c r="C316" s="29" t="str">
        <f t="shared" si="166"/>
        <v/>
      </c>
      <c r="D316" s="29" t="str">
        <f t="shared" si="167"/>
        <v/>
      </c>
      <c r="E316" s="29" t="s">
        <v>87</v>
      </c>
      <c r="F316" s="29">
        <v>3</v>
      </c>
      <c r="G316" s="29" t="s">
        <v>3</v>
      </c>
      <c r="H316" s="29">
        <v>1</v>
      </c>
      <c r="I316" s="36" t="str">
        <f t="shared" si="282"/>
        <v>Nhi</v>
      </c>
      <c r="J316" s="36" t="str">
        <f t="shared" si="283"/>
        <v>TDNN -3A1</v>
      </c>
    </row>
    <row r="317" spans="1:10" x14ac:dyDescent="0.25">
      <c r="A317" s="29" t="str">
        <f t="shared" si="164"/>
        <v>3Sáng2</v>
      </c>
      <c r="B317" s="29" t="str">
        <f t="shared" si="165"/>
        <v>3Sáng2Trang ÂN</v>
      </c>
      <c r="C317" s="29" t="str">
        <f t="shared" si="166"/>
        <v/>
      </c>
      <c r="D317" s="29" t="str">
        <f t="shared" si="167"/>
        <v/>
      </c>
      <c r="E317" s="29" t="s">
        <v>87</v>
      </c>
      <c r="F317" s="29">
        <v>3</v>
      </c>
      <c r="G317" s="29" t="s">
        <v>3</v>
      </c>
      <c r="H317" s="29">
        <v>2</v>
      </c>
      <c r="I317" s="36" t="str">
        <f t="shared" si="282"/>
        <v>Trang ÂN</v>
      </c>
      <c r="J317" s="36" t="str">
        <f t="shared" si="283"/>
        <v>Nhạc -3A1</v>
      </c>
    </row>
    <row r="318" spans="1:10" x14ac:dyDescent="0.25">
      <c r="A318" s="29" t="str">
        <f t="shared" si="164"/>
        <v>3Sáng3</v>
      </c>
      <c r="B318" s="29" t="str">
        <f t="shared" si="165"/>
        <v>3Sáng3Ngọc</v>
      </c>
      <c r="C318" s="29" t="str">
        <f t="shared" si="166"/>
        <v/>
      </c>
      <c r="D318" s="29" t="str">
        <f t="shared" si="167"/>
        <v/>
      </c>
      <c r="E318" s="29" t="s">
        <v>87</v>
      </c>
      <c r="F318" s="29">
        <v>3</v>
      </c>
      <c r="G318" s="29" t="s">
        <v>3</v>
      </c>
      <c r="H318" s="29">
        <v>3</v>
      </c>
      <c r="I318" s="36" t="str">
        <f t="shared" si="282"/>
        <v>Ngọc</v>
      </c>
      <c r="J318" s="36" t="str">
        <f t="shared" si="283"/>
        <v>TViệt -3A1</v>
      </c>
    </row>
    <row r="319" spans="1:10" x14ac:dyDescent="0.25">
      <c r="A319" s="29" t="str">
        <f t="shared" ref="A319:A382" si="284">F319&amp;G319&amp;H319&amp;C319</f>
        <v>3Sáng4</v>
      </c>
      <c r="B319" s="29" t="str">
        <f t="shared" ref="B319:B382" si="285">IF(D319="",F319&amp;G319&amp;H319&amp;I319,F319&amp;G319&amp;H319&amp;D319)</f>
        <v>3Sáng4Ngọc</v>
      </c>
      <c r="C319" s="29" t="str">
        <f t="shared" ref="C319:C382" si="286">IFERROR(LEFT(I319,FIND(",",I319)-1),"")</f>
        <v/>
      </c>
      <c r="D319" s="29" t="str">
        <f t="shared" ref="D319:D382" si="287">IF(C319="","",RIGHT(I319,LEN(I319)-FIND(",",I319)-1))</f>
        <v/>
      </c>
      <c r="E319" s="29" t="s">
        <v>87</v>
      </c>
      <c r="F319" s="29">
        <v>3</v>
      </c>
      <c r="G319" s="29" t="s">
        <v>3</v>
      </c>
      <c r="H319" s="29">
        <v>4</v>
      </c>
      <c r="I319" s="36" t="str">
        <f t="shared" si="282"/>
        <v>Ngọc</v>
      </c>
      <c r="J319" s="36" t="str">
        <f t="shared" si="283"/>
        <v>TViệt -3A1</v>
      </c>
    </row>
    <row r="320" spans="1:10" x14ac:dyDescent="0.25">
      <c r="A320" s="29" t="str">
        <f t="shared" si="284"/>
        <v>3Sáng5</v>
      </c>
      <c r="B320" s="29" t="str">
        <f t="shared" si="285"/>
        <v>3Sáng5</v>
      </c>
      <c r="C320" s="29" t="str">
        <f t="shared" si="286"/>
        <v/>
      </c>
      <c r="D320" s="29" t="str">
        <f t="shared" si="287"/>
        <v/>
      </c>
      <c r="E320" s="29" t="s">
        <v>87</v>
      </c>
      <c r="F320" s="29">
        <v>3</v>
      </c>
      <c r="G320" s="29" t="s">
        <v>3</v>
      </c>
      <c r="H320" s="29">
        <v>5</v>
      </c>
      <c r="I320" s="36" t="str">
        <f t="shared" si="282"/>
        <v/>
      </c>
      <c r="J320" s="36" t="str">
        <f t="shared" si="283"/>
        <v/>
      </c>
    </row>
    <row r="321" spans="1:10" x14ac:dyDescent="0.25">
      <c r="A321" s="29" t="str">
        <f t="shared" si="284"/>
        <v>3Chiều1</v>
      </c>
      <c r="B321" s="29" t="str">
        <f t="shared" si="285"/>
        <v>3Chiều1Trà</v>
      </c>
      <c r="C321" s="29" t="str">
        <f t="shared" si="286"/>
        <v/>
      </c>
      <c r="D321" s="29" t="str">
        <f t="shared" si="287"/>
        <v/>
      </c>
      <c r="E321" s="29" t="s">
        <v>87</v>
      </c>
      <c r="F321" s="29">
        <v>3</v>
      </c>
      <c r="G321" s="29" t="s">
        <v>4</v>
      </c>
      <c r="H321" s="29">
        <v>1</v>
      </c>
      <c r="I321" s="36" t="str">
        <f t="shared" si="282"/>
        <v>Trà</v>
      </c>
      <c r="J321" s="36" t="str">
        <f t="shared" si="283"/>
        <v>GVVN -3A1</v>
      </c>
    </row>
    <row r="322" spans="1:10" x14ac:dyDescent="0.25">
      <c r="A322" s="29" t="str">
        <f t="shared" si="284"/>
        <v>3Chiều2</v>
      </c>
      <c r="B322" s="29" t="str">
        <f t="shared" si="285"/>
        <v>3Chiều2Ngọc</v>
      </c>
      <c r="C322" s="29" t="str">
        <f t="shared" si="286"/>
        <v/>
      </c>
      <c r="D322" s="29" t="str">
        <f t="shared" si="287"/>
        <v/>
      </c>
      <c r="E322" s="29" t="s">
        <v>87</v>
      </c>
      <c r="F322" s="29">
        <v>3</v>
      </c>
      <c r="G322" s="29" t="s">
        <v>4</v>
      </c>
      <c r="H322" s="29">
        <v>2</v>
      </c>
      <c r="I322" s="36" t="str">
        <f t="shared" si="282"/>
        <v>Ngọc</v>
      </c>
      <c r="J322" s="36" t="str">
        <f t="shared" si="283"/>
        <v>Toán -3A1</v>
      </c>
    </row>
    <row r="323" spans="1:10" x14ac:dyDescent="0.25">
      <c r="A323" s="29" t="str">
        <f t="shared" si="284"/>
        <v>3Chiều3</v>
      </c>
      <c r="B323" s="29" t="str">
        <f t="shared" si="285"/>
        <v>3Chiều3Ngọc</v>
      </c>
      <c r="C323" s="29" t="str">
        <f t="shared" si="286"/>
        <v/>
      </c>
      <c r="D323" s="29" t="str">
        <f t="shared" si="287"/>
        <v/>
      </c>
      <c r="E323" s="29" t="s">
        <v>87</v>
      </c>
      <c r="F323" s="29">
        <v>3</v>
      </c>
      <c r="G323" s="29" t="s">
        <v>4</v>
      </c>
      <c r="H323" s="29">
        <v>3</v>
      </c>
      <c r="I323" s="36" t="str">
        <f t="shared" si="282"/>
        <v>Ngọc</v>
      </c>
      <c r="J323" s="36" t="str">
        <f t="shared" si="283"/>
        <v>Toán -3A1</v>
      </c>
    </row>
    <row r="324" spans="1:10" x14ac:dyDescent="0.25">
      <c r="A324" s="29" t="str">
        <f t="shared" si="284"/>
        <v>3Chiều4</v>
      </c>
      <c r="B324" s="29" t="str">
        <f t="shared" si="285"/>
        <v>3Chiều4Trà</v>
      </c>
      <c r="C324" s="29" t="str">
        <f t="shared" si="286"/>
        <v/>
      </c>
      <c r="D324" s="29" t="str">
        <f t="shared" si="287"/>
        <v/>
      </c>
      <c r="E324" s="29" t="s">
        <v>87</v>
      </c>
      <c r="F324" s="29">
        <v>3</v>
      </c>
      <c r="G324" s="29" t="s">
        <v>4</v>
      </c>
      <c r="H324" s="29">
        <v>4</v>
      </c>
      <c r="I324" s="36" t="str">
        <f t="shared" si="282"/>
        <v>Trà</v>
      </c>
      <c r="J324" s="36" t="str">
        <f t="shared" si="283"/>
        <v>GVVN -3A1</v>
      </c>
    </row>
    <row r="325" spans="1:10" x14ac:dyDescent="0.25">
      <c r="A325" s="29" t="str">
        <f t="shared" si="284"/>
        <v>3Chiều5</v>
      </c>
      <c r="B325" s="29" t="str">
        <f t="shared" si="285"/>
        <v>3Chiều5</v>
      </c>
      <c r="C325" s="29" t="str">
        <f t="shared" si="286"/>
        <v/>
      </c>
      <c r="D325" s="29" t="str">
        <f t="shared" si="287"/>
        <v/>
      </c>
      <c r="E325" s="29" t="s">
        <v>87</v>
      </c>
      <c r="F325" s="29">
        <v>3</v>
      </c>
      <c r="G325" s="29" t="s">
        <v>4</v>
      </c>
      <c r="H325" s="29">
        <v>5</v>
      </c>
      <c r="I325" s="36" t="str">
        <f t="shared" si="282"/>
        <v/>
      </c>
      <c r="J325" s="36" t="str">
        <f t="shared" si="283"/>
        <v/>
      </c>
    </row>
    <row r="326" spans="1:10" x14ac:dyDescent="0.25">
      <c r="A326" s="29" t="str">
        <f t="shared" si="284"/>
        <v>4Sáng1</v>
      </c>
      <c r="B326" s="29" t="str">
        <f t="shared" si="285"/>
        <v>4Sáng1Ngọc</v>
      </c>
      <c r="C326" s="29" t="str">
        <f t="shared" si="286"/>
        <v/>
      </c>
      <c r="D326" s="29" t="str">
        <f t="shared" si="287"/>
        <v/>
      </c>
      <c r="E326" s="29" t="s">
        <v>87</v>
      </c>
      <c r="F326" s="29">
        <v>4</v>
      </c>
      <c r="G326" s="29" t="s">
        <v>3</v>
      </c>
      <c r="H326" s="29">
        <v>1</v>
      </c>
      <c r="I326" s="36" t="str">
        <f t="shared" si="282"/>
        <v>Ngọc</v>
      </c>
      <c r="J326" s="36" t="str">
        <f t="shared" si="283"/>
        <v>Toán -3A1</v>
      </c>
    </row>
    <row r="327" spans="1:10" x14ac:dyDescent="0.25">
      <c r="A327" s="29" t="str">
        <f t="shared" si="284"/>
        <v>4Sáng2</v>
      </c>
      <c r="B327" s="29" t="str">
        <f t="shared" si="285"/>
        <v>4Sáng2Nguyên</v>
      </c>
      <c r="C327" s="29" t="str">
        <f t="shared" si="286"/>
        <v/>
      </c>
      <c r="D327" s="29" t="str">
        <f t="shared" si="287"/>
        <v/>
      </c>
      <c r="E327" s="29" t="s">
        <v>87</v>
      </c>
      <c r="F327" s="29">
        <v>4</v>
      </c>
      <c r="G327" s="29" t="s">
        <v>3</v>
      </c>
      <c r="H327" s="29">
        <v>2</v>
      </c>
      <c r="I327" s="36" t="str">
        <f t="shared" si="282"/>
        <v>Nguyên</v>
      </c>
      <c r="J327" s="36" t="str">
        <f t="shared" si="283"/>
        <v>Robotics -3A1</v>
      </c>
    </row>
    <row r="328" spans="1:10" x14ac:dyDescent="0.25">
      <c r="A328" s="29" t="str">
        <f t="shared" si="284"/>
        <v>4Sáng3Aziz</v>
      </c>
      <c r="B328" s="29" t="str">
        <f t="shared" si="285"/>
        <v>4Sáng3Trà</v>
      </c>
      <c r="C328" s="29" t="str">
        <f t="shared" si="286"/>
        <v>Aziz</v>
      </c>
      <c r="D328" s="29" t="str">
        <f t="shared" si="287"/>
        <v>Trà</v>
      </c>
      <c r="E328" s="29" t="s">
        <v>87</v>
      </c>
      <c r="F328" s="29">
        <v>4</v>
      </c>
      <c r="G328" s="29" t="s">
        <v>3</v>
      </c>
      <c r="H328" s="29">
        <v>3</v>
      </c>
      <c r="I328" s="36" t="str">
        <f t="shared" si="282"/>
        <v>Aziz, Trà</v>
      </c>
      <c r="J328" s="36" t="str">
        <f t="shared" si="283"/>
        <v>GVNN -3A1</v>
      </c>
    </row>
    <row r="329" spans="1:10" x14ac:dyDescent="0.25">
      <c r="A329" s="29" t="str">
        <f t="shared" si="284"/>
        <v>4Sáng4</v>
      </c>
      <c r="B329" s="29" t="str">
        <f t="shared" si="285"/>
        <v>4Sáng4Ngọc</v>
      </c>
      <c r="C329" s="29" t="str">
        <f t="shared" si="286"/>
        <v/>
      </c>
      <c r="D329" s="29" t="str">
        <f t="shared" si="287"/>
        <v/>
      </c>
      <c r="E329" s="29" t="s">
        <v>87</v>
      </c>
      <c r="F329" s="29">
        <v>4</v>
      </c>
      <c r="G329" s="29" t="s">
        <v>3</v>
      </c>
      <c r="H329" s="29">
        <v>4</v>
      </c>
      <c r="I329" s="36" t="str">
        <f t="shared" si="282"/>
        <v>Ngọc</v>
      </c>
      <c r="J329" s="36" t="str">
        <f t="shared" si="283"/>
        <v>TViệt -3A1</v>
      </c>
    </row>
    <row r="330" spans="1:10" x14ac:dyDescent="0.25">
      <c r="A330" s="29" t="str">
        <f t="shared" si="284"/>
        <v>4Sáng5</v>
      </c>
      <c r="B330" s="29" t="str">
        <f t="shared" si="285"/>
        <v>4Sáng5</v>
      </c>
      <c r="C330" s="29" t="str">
        <f t="shared" si="286"/>
        <v/>
      </c>
      <c r="D330" s="29" t="str">
        <f t="shared" si="287"/>
        <v/>
      </c>
      <c r="E330" s="29" t="s">
        <v>87</v>
      </c>
      <c r="F330" s="29">
        <v>4</v>
      </c>
      <c r="G330" s="29" t="s">
        <v>3</v>
      </c>
      <c r="H330" s="29">
        <v>5</v>
      </c>
      <c r="I330" s="36" t="str">
        <f t="shared" si="282"/>
        <v/>
      </c>
      <c r="J330" s="36" t="str">
        <f t="shared" si="283"/>
        <v/>
      </c>
    </row>
    <row r="331" spans="1:10" x14ac:dyDescent="0.25">
      <c r="A331" s="29" t="str">
        <f t="shared" si="284"/>
        <v>4Chiều1</v>
      </c>
      <c r="B331" s="29" t="str">
        <f t="shared" si="285"/>
        <v>4Chiều1Thanh</v>
      </c>
      <c r="C331" s="29" t="str">
        <f t="shared" si="286"/>
        <v/>
      </c>
      <c r="D331" s="29" t="str">
        <f t="shared" si="287"/>
        <v/>
      </c>
      <c r="E331" s="29" t="s">
        <v>87</v>
      </c>
      <c r="F331" s="29">
        <v>4</v>
      </c>
      <c r="G331" s="29" t="s">
        <v>4</v>
      </c>
      <c r="H331" s="29">
        <v>1</v>
      </c>
      <c r="I331" s="36" t="str">
        <f t="shared" si="282"/>
        <v>Thanh</v>
      </c>
      <c r="J331" s="36" t="str">
        <f t="shared" si="283"/>
        <v>Tiếng Trung -3A1</v>
      </c>
    </row>
    <row r="332" spans="1:10" x14ac:dyDescent="0.25">
      <c r="A332" s="29" t="str">
        <f t="shared" si="284"/>
        <v>4Chiều2</v>
      </c>
      <c r="B332" s="29" t="str">
        <f t="shared" si="285"/>
        <v>4Chiều2Nhi</v>
      </c>
      <c r="C332" s="29" t="str">
        <f t="shared" si="286"/>
        <v/>
      </c>
      <c r="D332" s="29" t="str">
        <f t="shared" si="287"/>
        <v/>
      </c>
      <c r="E332" s="29" t="s">
        <v>87</v>
      </c>
      <c r="F332" s="29">
        <v>4</v>
      </c>
      <c r="G332" s="29" t="s">
        <v>4</v>
      </c>
      <c r="H332" s="29">
        <v>2</v>
      </c>
      <c r="I332" s="36" t="str">
        <f t="shared" si="282"/>
        <v>Nhi</v>
      </c>
      <c r="J332" s="36" t="str">
        <f t="shared" si="283"/>
        <v>TNXH -3A1</v>
      </c>
    </row>
    <row r="333" spans="1:10" x14ac:dyDescent="0.25">
      <c r="A333" s="29" t="str">
        <f t="shared" si="284"/>
        <v>4Chiều3Aziz</v>
      </c>
      <c r="B333" s="29" t="str">
        <f t="shared" si="285"/>
        <v>4Chiều3Trà</v>
      </c>
      <c r="C333" s="29" t="str">
        <f t="shared" si="286"/>
        <v>Aziz</v>
      </c>
      <c r="D333" s="29" t="str">
        <f t="shared" si="287"/>
        <v>Trà</v>
      </c>
      <c r="E333" s="29" t="s">
        <v>87</v>
      </c>
      <c r="F333" s="29">
        <v>4</v>
      </c>
      <c r="G333" s="29" t="s">
        <v>4</v>
      </c>
      <c r="H333" s="29">
        <v>3</v>
      </c>
      <c r="I333" s="36" t="str">
        <f t="shared" si="282"/>
        <v>Aziz, Trà</v>
      </c>
      <c r="J333" s="36" t="str">
        <f t="shared" si="283"/>
        <v>GVNN -3A1</v>
      </c>
    </row>
    <row r="334" spans="1:10" x14ac:dyDescent="0.25">
      <c r="A334" s="29" t="str">
        <f t="shared" si="284"/>
        <v>4Chiều4</v>
      </c>
      <c r="B334" s="29" t="str">
        <f t="shared" si="285"/>
        <v>4Chiều4Ngọc</v>
      </c>
      <c r="C334" s="29" t="str">
        <f t="shared" si="286"/>
        <v/>
      </c>
      <c r="D334" s="29" t="str">
        <f t="shared" si="287"/>
        <v/>
      </c>
      <c r="E334" s="29" t="s">
        <v>87</v>
      </c>
      <c r="F334" s="29">
        <v>4</v>
      </c>
      <c r="G334" s="29" t="s">
        <v>4</v>
      </c>
      <c r="H334" s="29">
        <v>4</v>
      </c>
      <c r="I334" s="36" t="str">
        <f t="shared" si="282"/>
        <v>Ngọc</v>
      </c>
      <c r="J334" s="36" t="str">
        <f t="shared" si="283"/>
        <v>Toán -3A1</v>
      </c>
    </row>
    <row r="335" spans="1:10" x14ac:dyDescent="0.25">
      <c r="A335" s="29" t="str">
        <f t="shared" si="284"/>
        <v>4Chiều5</v>
      </c>
      <c r="B335" s="29" t="str">
        <f t="shared" si="285"/>
        <v>4Chiều5</v>
      </c>
      <c r="C335" s="29" t="str">
        <f t="shared" si="286"/>
        <v/>
      </c>
      <c r="D335" s="29" t="str">
        <f t="shared" si="287"/>
        <v/>
      </c>
      <c r="E335" s="29" t="s">
        <v>87</v>
      </c>
      <c r="F335" s="29">
        <v>4</v>
      </c>
      <c r="G335" s="29" t="s">
        <v>4</v>
      </c>
      <c r="H335" s="29">
        <v>5</v>
      </c>
      <c r="I335" s="36" t="str">
        <f t="shared" si="282"/>
        <v/>
      </c>
      <c r="J335" s="36" t="str">
        <f t="shared" si="283"/>
        <v/>
      </c>
    </row>
    <row r="336" spans="1:10" x14ac:dyDescent="0.25">
      <c r="A336" s="29" t="str">
        <f t="shared" si="284"/>
        <v>5Sáng1</v>
      </c>
      <c r="B336" s="29" t="str">
        <f t="shared" si="285"/>
        <v>5Sáng1Ngọc</v>
      </c>
      <c r="C336" s="29" t="str">
        <f t="shared" si="286"/>
        <v/>
      </c>
      <c r="D336" s="29" t="str">
        <f t="shared" si="287"/>
        <v/>
      </c>
      <c r="E336" s="29" t="s">
        <v>87</v>
      </c>
      <c r="F336" s="29">
        <v>5</v>
      </c>
      <c r="G336" s="29" t="s">
        <v>3</v>
      </c>
      <c r="H336" s="29">
        <v>1</v>
      </c>
      <c r="I336" s="36" t="str">
        <f t="shared" si="282"/>
        <v>Ngọc</v>
      </c>
      <c r="J336" s="36" t="str">
        <f t="shared" si="283"/>
        <v>Toán -3A1</v>
      </c>
    </row>
    <row r="337" spans="1:10" x14ac:dyDescent="0.25">
      <c r="A337" s="29" t="str">
        <f t="shared" si="284"/>
        <v>5Sáng2</v>
      </c>
      <c r="B337" s="29" t="str">
        <f t="shared" si="285"/>
        <v>5Sáng2Ngọc</v>
      </c>
      <c r="C337" s="29" t="str">
        <f t="shared" si="286"/>
        <v/>
      </c>
      <c r="D337" s="29" t="str">
        <f t="shared" si="287"/>
        <v/>
      </c>
      <c r="E337" s="29" t="s">
        <v>87</v>
      </c>
      <c r="F337" s="29">
        <v>5</v>
      </c>
      <c r="G337" s="29" t="s">
        <v>3</v>
      </c>
      <c r="H337" s="29">
        <v>2</v>
      </c>
      <c r="I337" s="36" t="str">
        <f t="shared" si="282"/>
        <v>Ngọc</v>
      </c>
      <c r="J337" s="36" t="str">
        <f t="shared" si="283"/>
        <v>TViệt -3A1</v>
      </c>
    </row>
    <row r="338" spans="1:10" x14ac:dyDescent="0.25">
      <c r="A338" s="29" t="str">
        <f t="shared" si="284"/>
        <v>5Sáng3Aziz</v>
      </c>
      <c r="B338" s="29" t="str">
        <f t="shared" si="285"/>
        <v>5Sáng3Trà</v>
      </c>
      <c r="C338" s="29" t="str">
        <f t="shared" si="286"/>
        <v>Aziz</v>
      </c>
      <c r="D338" s="29" t="str">
        <f t="shared" si="287"/>
        <v>Trà</v>
      </c>
      <c r="E338" s="29" t="s">
        <v>87</v>
      </c>
      <c r="F338" s="29">
        <v>5</v>
      </c>
      <c r="G338" s="29" t="s">
        <v>3</v>
      </c>
      <c r="H338" s="29">
        <v>3</v>
      </c>
      <c r="I338" s="36" t="str">
        <f t="shared" si="282"/>
        <v>Aziz, Trà</v>
      </c>
      <c r="J338" s="36" t="str">
        <f t="shared" si="283"/>
        <v>GVNN -3A1</v>
      </c>
    </row>
    <row r="339" spans="1:10" x14ac:dyDescent="0.25">
      <c r="A339" s="29" t="str">
        <f t="shared" si="284"/>
        <v>5Sáng4</v>
      </c>
      <c r="B339" s="29" t="str">
        <f t="shared" si="285"/>
        <v>5Sáng4Xuân</v>
      </c>
      <c r="C339" s="29" t="str">
        <f t="shared" si="286"/>
        <v/>
      </c>
      <c r="D339" s="29" t="str">
        <f t="shared" si="287"/>
        <v/>
      </c>
      <c r="E339" s="29" t="s">
        <v>87</v>
      </c>
      <c r="F339" s="29">
        <v>5</v>
      </c>
      <c r="G339" s="29" t="s">
        <v>3</v>
      </c>
      <c r="H339" s="29">
        <v>4</v>
      </c>
      <c r="I339" s="36" t="str">
        <f t="shared" ref="I339:I365" si="288">Q99</f>
        <v>Xuân</v>
      </c>
      <c r="J339" s="36" t="str">
        <f t="shared" ref="J339:J365" si="289">R99</f>
        <v>Viết sáng tạo -3A1</v>
      </c>
    </row>
    <row r="340" spans="1:10" x14ac:dyDescent="0.25">
      <c r="A340" s="29" t="str">
        <f t="shared" si="284"/>
        <v>5Sáng5</v>
      </c>
      <c r="B340" s="29" t="str">
        <f t="shared" si="285"/>
        <v>5Sáng5</v>
      </c>
      <c r="C340" s="29" t="str">
        <f t="shared" si="286"/>
        <v/>
      </c>
      <c r="D340" s="29" t="str">
        <f t="shared" si="287"/>
        <v/>
      </c>
      <c r="E340" s="29" t="s">
        <v>87</v>
      </c>
      <c r="F340" s="29">
        <v>5</v>
      </c>
      <c r="G340" s="29" t="s">
        <v>3</v>
      </c>
      <c r="H340" s="29">
        <v>5</v>
      </c>
      <c r="I340" s="36" t="str">
        <f t="shared" si="288"/>
        <v/>
      </c>
      <c r="J340" s="36" t="str">
        <f t="shared" si="289"/>
        <v/>
      </c>
    </row>
    <row r="341" spans="1:10" x14ac:dyDescent="0.25">
      <c r="A341" s="29" t="str">
        <f t="shared" si="284"/>
        <v>5Chiều1</v>
      </c>
      <c r="B341" s="29" t="str">
        <f t="shared" si="285"/>
        <v>5Chiều1Nguyên</v>
      </c>
      <c r="C341" s="29" t="str">
        <f t="shared" si="286"/>
        <v/>
      </c>
      <c r="D341" s="29" t="str">
        <f t="shared" si="287"/>
        <v/>
      </c>
      <c r="E341" s="29" t="s">
        <v>87</v>
      </c>
      <c r="F341" s="29">
        <v>5</v>
      </c>
      <c r="G341" s="29" t="s">
        <v>4</v>
      </c>
      <c r="H341" s="29">
        <v>1</v>
      </c>
      <c r="I341" s="36" t="str">
        <f t="shared" si="288"/>
        <v>Nguyên</v>
      </c>
      <c r="J341" s="36" t="str">
        <f t="shared" si="289"/>
        <v>Tin -3A1</v>
      </c>
    </row>
    <row r="342" spans="1:10" x14ac:dyDescent="0.25">
      <c r="A342" s="29" t="str">
        <f t="shared" si="284"/>
        <v>5Chiều2</v>
      </c>
      <c r="B342" s="29" t="str">
        <f t="shared" si="285"/>
        <v>5Chiều2Ngọc</v>
      </c>
      <c r="C342" s="29" t="str">
        <f t="shared" si="286"/>
        <v/>
      </c>
      <c r="D342" s="29" t="str">
        <f t="shared" si="287"/>
        <v/>
      </c>
      <c r="E342" s="29" t="s">
        <v>87</v>
      </c>
      <c r="F342" s="29">
        <v>5</v>
      </c>
      <c r="G342" s="29" t="s">
        <v>4</v>
      </c>
      <c r="H342" s="29">
        <v>2</v>
      </c>
      <c r="I342" s="36" t="str">
        <f t="shared" si="288"/>
        <v>Ngọc</v>
      </c>
      <c r="J342" s="36" t="str">
        <f t="shared" si="289"/>
        <v>Toán -3A1</v>
      </c>
    </row>
    <row r="343" spans="1:10" x14ac:dyDescent="0.25">
      <c r="A343" s="29" t="str">
        <f t="shared" si="284"/>
        <v>5Chiều3Aziz</v>
      </c>
      <c r="B343" s="29" t="str">
        <f t="shared" si="285"/>
        <v>5Chiều3Trà</v>
      </c>
      <c r="C343" s="29" t="str">
        <f t="shared" si="286"/>
        <v>Aziz</v>
      </c>
      <c r="D343" s="29" t="str">
        <f t="shared" si="287"/>
        <v>Trà</v>
      </c>
      <c r="E343" s="29" t="s">
        <v>87</v>
      </c>
      <c r="F343" s="29">
        <v>5</v>
      </c>
      <c r="G343" s="29" t="s">
        <v>4</v>
      </c>
      <c r="H343" s="29">
        <v>3</v>
      </c>
      <c r="I343" s="36" t="str">
        <f t="shared" si="288"/>
        <v>Aziz, Trà</v>
      </c>
      <c r="J343" s="36" t="str">
        <f t="shared" si="289"/>
        <v>GVNN -3A1</v>
      </c>
    </row>
    <row r="344" spans="1:10" x14ac:dyDescent="0.25">
      <c r="A344" s="29" t="str">
        <f t="shared" si="284"/>
        <v>5Chiều4</v>
      </c>
      <c r="B344" s="29" t="str">
        <f t="shared" si="285"/>
        <v>5Chiều4Xuân</v>
      </c>
      <c r="C344" s="29" t="str">
        <f t="shared" si="286"/>
        <v/>
      </c>
      <c r="D344" s="29" t="str">
        <f t="shared" si="287"/>
        <v/>
      </c>
      <c r="E344" s="29" t="s">
        <v>87</v>
      </c>
      <c r="F344" s="29">
        <v>5</v>
      </c>
      <c r="G344" s="29" t="s">
        <v>4</v>
      </c>
      <c r="H344" s="29">
        <v>4</v>
      </c>
      <c r="I344" s="36" t="str">
        <f t="shared" si="288"/>
        <v>Xuân</v>
      </c>
      <c r="J344" s="36" t="str">
        <f t="shared" si="289"/>
        <v>Đọc sách -3A1</v>
      </c>
    </row>
    <row r="345" spans="1:10" x14ac:dyDescent="0.25">
      <c r="A345" s="29" t="str">
        <f t="shared" si="284"/>
        <v>5Chiều5</v>
      </c>
      <c r="B345" s="29" t="str">
        <f t="shared" si="285"/>
        <v>5Chiều5</v>
      </c>
      <c r="C345" s="29" t="str">
        <f t="shared" si="286"/>
        <v/>
      </c>
      <c r="D345" s="29" t="str">
        <f t="shared" si="287"/>
        <v/>
      </c>
      <c r="E345" s="29" t="s">
        <v>87</v>
      </c>
      <c r="F345" s="29">
        <v>5</v>
      </c>
      <c r="G345" s="29" t="s">
        <v>4</v>
      </c>
      <c r="H345" s="29">
        <v>5</v>
      </c>
      <c r="I345" s="36" t="str">
        <f t="shared" si="288"/>
        <v/>
      </c>
      <c r="J345" s="36" t="str">
        <f t="shared" si="289"/>
        <v/>
      </c>
    </row>
    <row r="346" spans="1:10" x14ac:dyDescent="0.25">
      <c r="A346" s="29" t="str">
        <f t="shared" si="284"/>
        <v>6Sáng1</v>
      </c>
      <c r="B346" s="29" t="str">
        <f t="shared" si="285"/>
        <v>6Sáng1Ngọc</v>
      </c>
      <c r="C346" s="29" t="str">
        <f t="shared" si="286"/>
        <v/>
      </c>
      <c r="D346" s="29" t="str">
        <f t="shared" si="287"/>
        <v/>
      </c>
      <c r="E346" s="29" t="s">
        <v>87</v>
      </c>
      <c r="F346" s="29">
        <v>6</v>
      </c>
      <c r="G346" s="29" t="s">
        <v>3</v>
      </c>
      <c r="H346" s="29">
        <v>1</v>
      </c>
      <c r="I346" s="36" t="str">
        <f t="shared" si="288"/>
        <v>Ngọc</v>
      </c>
      <c r="J346" s="36" t="str">
        <f t="shared" si="289"/>
        <v>TViệt -3A1</v>
      </c>
    </row>
    <row r="347" spans="1:10" x14ac:dyDescent="0.25">
      <c r="A347" s="29" t="str">
        <f t="shared" si="284"/>
        <v>6Sáng2</v>
      </c>
      <c r="B347" s="29" t="str">
        <f t="shared" si="285"/>
        <v>6Sáng2Ngọc</v>
      </c>
      <c r="C347" s="29" t="str">
        <f t="shared" si="286"/>
        <v/>
      </c>
      <c r="D347" s="29" t="str">
        <f t="shared" si="287"/>
        <v/>
      </c>
      <c r="E347" s="29" t="s">
        <v>87</v>
      </c>
      <c r="F347" s="29">
        <v>6</v>
      </c>
      <c r="G347" s="29" t="s">
        <v>3</v>
      </c>
      <c r="H347" s="29">
        <v>2</v>
      </c>
      <c r="I347" s="36" t="str">
        <f t="shared" si="288"/>
        <v>Ngọc</v>
      </c>
      <c r="J347" s="36" t="str">
        <f t="shared" si="289"/>
        <v>TViệt -3A1</v>
      </c>
    </row>
    <row r="348" spans="1:10" x14ac:dyDescent="0.25">
      <c r="A348" s="29" t="str">
        <f t="shared" si="284"/>
        <v>6Sáng3</v>
      </c>
      <c r="B348" s="29" t="str">
        <f t="shared" si="285"/>
        <v>6Sáng3Trà</v>
      </c>
      <c r="C348" s="29" t="str">
        <f t="shared" si="286"/>
        <v/>
      </c>
      <c r="D348" s="29" t="str">
        <f t="shared" si="287"/>
        <v/>
      </c>
      <c r="E348" s="29" t="s">
        <v>87</v>
      </c>
      <c r="F348" s="29">
        <v>6</v>
      </c>
      <c r="G348" s="29" t="s">
        <v>3</v>
      </c>
      <c r="H348" s="29">
        <v>3</v>
      </c>
      <c r="I348" s="36" t="str">
        <f t="shared" si="288"/>
        <v>Trà</v>
      </c>
      <c r="J348" s="36" t="str">
        <f t="shared" si="289"/>
        <v>GVVN -3A1</v>
      </c>
    </row>
    <row r="349" spans="1:10" x14ac:dyDescent="0.25">
      <c r="A349" s="29" t="str">
        <f t="shared" si="284"/>
        <v>6Sáng4</v>
      </c>
      <c r="B349" s="29" t="str">
        <f t="shared" si="285"/>
        <v>6Sáng4Phương</v>
      </c>
      <c r="C349" s="29" t="str">
        <f t="shared" si="286"/>
        <v/>
      </c>
      <c r="D349" s="29" t="str">
        <f t="shared" si="287"/>
        <v/>
      </c>
      <c r="E349" s="29" t="s">
        <v>87</v>
      </c>
      <c r="F349" s="29">
        <v>6</v>
      </c>
      <c r="G349" s="29" t="s">
        <v>3</v>
      </c>
      <c r="H349" s="29">
        <v>4</v>
      </c>
      <c r="I349" s="36" t="str">
        <f t="shared" si="288"/>
        <v>Phương</v>
      </c>
      <c r="J349" s="36" t="str">
        <f t="shared" si="289"/>
        <v>Mĩ thuật -3A1</v>
      </c>
    </row>
    <row r="350" spans="1:10" x14ac:dyDescent="0.25">
      <c r="A350" s="29" t="str">
        <f t="shared" si="284"/>
        <v>6Sáng5</v>
      </c>
      <c r="B350" s="29" t="str">
        <f t="shared" si="285"/>
        <v>6Sáng5</v>
      </c>
      <c r="C350" s="29" t="str">
        <f t="shared" si="286"/>
        <v/>
      </c>
      <c r="D350" s="29" t="str">
        <f t="shared" si="287"/>
        <v/>
      </c>
      <c r="E350" s="29" t="s">
        <v>87</v>
      </c>
      <c r="F350" s="29">
        <v>6</v>
      </c>
      <c r="G350" s="29" t="s">
        <v>3</v>
      </c>
      <c r="H350" s="29">
        <v>5</v>
      </c>
      <c r="I350" s="36" t="str">
        <f t="shared" si="288"/>
        <v/>
      </c>
      <c r="J350" s="36" t="str">
        <f t="shared" si="289"/>
        <v/>
      </c>
    </row>
    <row r="351" spans="1:10" x14ac:dyDescent="0.25">
      <c r="A351" s="29" t="str">
        <f t="shared" si="284"/>
        <v>6Chiều1</v>
      </c>
      <c r="B351" s="29" t="str">
        <f t="shared" si="285"/>
        <v>6Chiều1Nhi</v>
      </c>
      <c r="C351" s="29" t="str">
        <f t="shared" si="286"/>
        <v/>
      </c>
      <c r="D351" s="29" t="str">
        <f t="shared" si="287"/>
        <v/>
      </c>
      <c r="E351" s="29" t="s">
        <v>87</v>
      </c>
      <c r="F351" s="29">
        <v>6</v>
      </c>
      <c r="G351" s="29" t="s">
        <v>4</v>
      </c>
      <c r="H351" s="29">
        <v>1</v>
      </c>
      <c r="I351" s="36" t="str">
        <f t="shared" si="288"/>
        <v>Nhi</v>
      </c>
      <c r="J351" s="36" t="str">
        <f t="shared" si="289"/>
        <v>Đạo đức -3A1</v>
      </c>
    </row>
    <row r="352" spans="1:10" x14ac:dyDescent="0.25">
      <c r="A352" s="29" t="str">
        <f t="shared" si="284"/>
        <v>6Chiều2</v>
      </c>
      <c r="B352" s="29" t="str">
        <f t="shared" si="285"/>
        <v>6Chiều2Ngọc</v>
      </c>
      <c r="C352" s="29" t="str">
        <f t="shared" si="286"/>
        <v/>
      </c>
      <c r="D352" s="29" t="str">
        <f t="shared" si="287"/>
        <v/>
      </c>
      <c r="E352" s="29" t="s">
        <v>87</v>
      </c>
      <c r="F352" s="29">
        <v>6</v>
      </c>
      <c r="G352" s="29" t="s">
        <v>4</v>
      </c>
      <c r="H352" s="29">
        <v>2</v>
      </c>
      <c r="I352" s="36" t="str">
        <f t="shared" si="288"/>
        <v>Ngọc</v>
      </c>
      <c r="J352" s="36" t="str">
        <f t="shared" si="289"/>
        <v>TViệt -3A1</v>
      </c>
    </row>
    <row r="353" spans="1:10" x14ac:dyDescent="0.25">
      <c r="A353" s="29" t="str">
        <f t="shared" si="284"/>
        <v>6Chiều3</v>
      </c>
      <c r="B353" s="29" t="str">
        <f t="shared" si="285"/>
        <v>6Chiều3Trà</v>
      </c>
      <c r="C353" s="29" t="str">
        <f t="shared" si="286"/>
        <v/>
      </c>
      <c r="D353" s="29" t="str">
        <f t="shared" si="287"/>
        <v/>
      </c>
      <c r="E353" s="29" t="s">
        <v>87</v>
      </c>
      <c r="F353" s="29">
        <v>6</v>
      </c>
      <c r="G353" s="29" t="s">
        <v>4</v>
      </c>
      <c r="H353" s="29">
        <v>3</v>
      </c>
      <c r="I353" s="36" t="str">
        <f t="shared" si="288"/>
        <v>Trà</v>
      </c>
      <c r="J353" s="36" t="str">
        <f t="shared" si="289"/>
        <v>GVVN -3A1</v>
      </c>
    </row>
    <row r="354" spans="1:10" x14ac:dyDescent="0.25">
      <c r="A354" s="29" t="str">
        <f t="shared" si="284"/>
        <v>6Chiều4</v>
      </c>
      <c r="B354" s="29" t="str">
        <f t="shared" si="285"/>
        <v>6Chiều4Ngọc</v>
      </c>
      <c r="C354" s="29" t="str">
        <f t="shared" si="286"/>
        <v/>
      </c>
      <c r="D354" s="29" t="str">
        <f t="shared" si="287"/>
        <v/>
      </c>
      <c r="E354" s="29" t="s">
        <v>87</v>
      </c>
      <c r="F354" s="29">
        <v>6</v>
      </c>
      <c r="G354" s="29" t="s">
        <v>4</v>
      </c>
      <c r="H354" s="29">
        <v>4</v>
      </c>
      <c r="I354" s="36" t="str">
        <f t="shared" si="288"/>
        <v>Ngọc</v>
      </c>
      <c r="J354" s="36" t="str">
        <f t="shared" si="289"/>
        <v>Toán -3A1</v>
      </c>
    </row>
    <row r="355" spans="1:10" x14ac:dyDescent="0.25">
      <c r="A355" s="29" t="str">
        <f t="shared" si="284"/>
        <v>6Chiều5</v>
      </c>
      <c r="B355" s="29" t="str">
        <f t="shared" si="285"/>
        <v>6Chiều5</v>
      </c>
      <c r="C355" s="29" t="str">
        <f t="shared" si="286"/>
        <v/>
      </c>
      <c r="D355" s="29" t="str">
        <f t="shared" si="287"/>
        <v/>
      </c>
      <c r="E355" s="29" t="s">
        <v>87</v>
      </c>
      <c r="F355" s="29">
        <v>6</v>
      </c>
      <c r="G355" s="29" t="s">
        <v>4</v>
      </c>
      <c r="H355" s="29">
        <v>5</v>
      </c>
      <c r="I355" s="36" t="str">
        <f t="shared" si="288"/>
        <v/>
      </c>
      <c r="J355" s="36" t="str">
        <f t="shared" si="289"/>
        <v/>
      </c>
    </row>
    <row r="356" spans="1:10" x14ac:dyDescent="0.25">
      <c r="A356" s="29" t="str">
        <f t="shared" si="284"/>
        <v>7Sáng1</v>
      </c>
      <c r="B356" s="29" t="str">
        <f t="shared" si="285"/>
        <v>7Sáng1</v>
      </c>
      <c r="C356" s="29" t="str">
        <f t="shared" si="286"/>
        <v/>
      </c>
      <c r="D356" s="29" t="str">
        <f t="shared" si="287"/>
        <v/>
      </c>
      <c r="E356" s="29" t="s">
        <v>87</v>
      </c>
      <c r="F356" s="29">
        <v>7</v>
      </c>
      <c r="G356" s="29" t="s">
        <v>3</v>
      </c>
      <c r="H356" s="29">
        <v>1</v>
      </c>
      <c r="I356" s="36" t="str">
        <f t="shared" si="288"/>
        <v/>
      </c>
      <c r="J356" s="36" t="str">
        <f t="shared" si="289"/>
        <v/>
      </c>
    </row>
    <row r="357" spans="1:10" x14ac:dyDescent="0.25">
      <c r="A357" s="29" t="str">
        <f t="shared" si="284"/>
        <v>7Sáng2</v>
      </c>
      <c r="B357" s="29" t="str">
        <f t="shared" si="285"/>
        <v>7Sáng2</v>
      </c>
      <c r="C357" s="29" t="str">
        <f t="shared" si="286"/>
        <v/>
      </c>
      <c r="D357" s="29" t="str">
        <f t="shared" si="287"/>
        <v/>
      </c>
      <c r="E357" s="29" t="s">
        <v>87</v>
      </c>
      <c r="F357" s="29">
        <v>7</v>
      </c>
      <c r="G357" s="29" t="s">
        <v>3</v>
      </c>
      <c r="H357" s="29">
        <v>2</v>
      </c>
      <c r="I357" s="36" t="str">
        <f t="shared" si="288"/>
        <v/>
      </c>
      <c r="J357" s="36" t="str">
        <f t="shared" si="289"/>
        <v/>
      </c>
    </row>
    <row r="358" spans="1:10" x14ac:dyDescent="0.25">
      <c r="A358" s="29" t="str">
        <f t="shared" si="284"/>
        <v>7Sáng3</v>
      </c>
      <c r="B358" s="29" t="str">
        <f t="shared" si="285"/>
        <v>7Sáng3</v>
      </c>
      <c r="C358" s="29" t="str">
        <f t="shared" si="286"/>
        <v/>
      </c>
      <c r="D358" s="29" t="str">
        <f t="shared" si="287"/>
        <v/>
      </c>
      <c r="E358" s="29" t="s">
        <v>87</v>
      </c>
      <c r="F358" s="29">
        <v>7</v>
      </c>
      <c r="G358" s="29" t="s">
        <v>3</v>
      </c>
      <c r="H358" s="29">
        <v>3</v>
      </c>
      <c r="I358" s="36" t="str">
        <f t="shared" si="288"/>
        <v/>
      </c>
      <c r="J358" s="36" t="str">
        <f t="shared" si="289"/>
        <v/>
      </c>
    </row>
    <row r="359" spans="1:10" x14ac:dyDescent="0.25">
      <c r="A359" s="29" t="str">
        <f t="shared" si="284"/>
        <v>7Sáng4</v>
      </c>
      <c r="B359" s="29" t="str">
        <f t="shared" si="285"/>
        <v>7Sáng4</v>
      </c>
      <c r="C359" s="29" t="str">
        <f t="shared" si="286"/>
        <v/>
      </c>
      <c r="D359" s="29" t="str">
        <f t="shared" si="287"/>
        <v/>
      </c>
      <c r="E359" s="29" t="s">
        <v>87</v>
      </c>
      <c r="F359" s="29">
        <v>7</v>
      </c>
      <c r="G359" s="29" t="s">
        <v>3</v>
      </c>
      <c r="H359" s="29">
        <v>4</v>
      </c>
      <c r="I359" s="36" t="str">
        <f t="shared" si="288"/>
        <v/>
      </c>
      <c r="J359" s="36" t="str">
        <f t="shared" si="289"/>
        <v/>
      </c>
    </row>
    <row r="360" spans="1:10" x14ac:dyDescent="0.25">
      <c r="A360" s="29" t="str">
        <f t="shared" si="284"/>
        <v>7Sáng5</v>
      </c>
      <c r="B360" s="29" t="str">
        <f t="shared" si="285"/>
        <v>7Sáng5</v>
      </c>
      <c r="C360" s="29" t="str">
        <f t="shared" si="286"/>
        <v/>
      </c>
      <c r="D360" s="29" t="str">
        <f t="shared" si="287"/>
        <v/>
      </c>
      <c r="E360" s="29" t="s">
        <v>87</v>
      </c>
      <c r="F360" s="29">
        <v>7</v>
      </c>
      <c r="G360" s="29" t="s">
        <v>3</v>
      </c>
      <c r="H360" s="29">
        <v>5</v>
      </c>
      <c r="I360" s="36" t="str">
        <f t="shared" si="288"/>
        <v/>
      </c>
      <c r="J360" s="36" t="str">
        <f t="shared" si="289"/>
        <v/>
      </c>
    </row>
    <row r="361" spans="1:10" x14ac:dyDescent="0.25">
      <c r="A361" s="29" t="str">
        <f t="shared" si="284"/>
        <v>7Chiều1</v>
      </c>
      <c r="B361" s="29" t="str">
        <f t="shared" si="285"/>
        <v>7Chiều1</v>
      </c>
      <c r="C361" s="29" t="str">
        <f t="shared" si="286"/>
        <v/>
      </c>
      <c r="D361" s="29" t="str">
        <f t="shared" si="287"/>
        <v/>
      </c>
      <c r="E361" s="29" t="s">
        <v>87</v>
      </c>
      <c r="F361" s="29">
        <v>7</v>
      </c>
      <c r="G361" s="29" t="s">
        <v>4</v>
      </c>
      <c r="H361" s="29">
        <v>1</v>
      </c>
      <c r="I361" s="36" t="str">
        <f t="shared" si="288"/>
        <v/>
      </c>
      <c r="J361" s="36" t="str">
        <f t="shared" si="289"/>
        <v/>
      </c>
    </row>
    <row r="362" spans="1:10" x14ac:dyDescent="0.25">
      <c r="A362" s="29" t="str">
        <f t="shared" si="284"/>
        <v>7Chiều2</v>
      </c>
      <c r="B362" s="29" t="str">
        <f t="shared" si="285"/>
        <v>7Chiều2</v>
      </c>
      <c r="C362" s="29" t="str">
        <f t="shared" si="286"/>
        <v/>
      </c>
      <c r="D362" s="29" t="str">
        <f t="shared" si="287"/>
        <v/>
      </c>
      <c r="E362" s="29" t="s">
        <v>87</v>
      </c>
      <c r="F362" s="29">
        <v>7</v>
      </c>
      <c r="G362" s="29" t="s">
        <v>4</v>
      </c>
      <c r="H362" s="29">
        <v>2</v>
      </c>
      <c r="I362" s="36" t="str">
        <f t="shared" si="288"/>
        <v/>
      </c>
      <c r="J362" s="36" t="str">
        <f t="shared" si="289"/>
        <v/>
      </c>
    </row>
    <row r="363" spans="1:10" x14ac:dyDescent="0.25">
      <c r="A363" s="29" t="str">
        <f t="shared" si="284"/>
        <v>7Chiều3</v>
      </c>
      <c r="B363" s="29" t="str">
        <f t="shared" si="285"/>
        <v>7Chiều3</v>
      </c>
      <c r="C363" s="29" t="str">
        <f t="shared" si="286"/>
        <v/>
      </c>
      <c r="D363" s="29" t="str">
        <f t="shared" si="287"/>
        <v/>
      </c>
      <c r="E363" s="29" t="s">
        <v>87</v>
      </c>
      <c r="F363" s="29">
        <v>7</v>
      </c>
      <c r="G363" s="29" t="s">
        <v>4</v>
      </c>
      <c r="H363" s="29">
        <v>3</v>
      </c>
      <c r="I363" s="36" t="str">
        <f t="shared" si="288"/>
        <v/>
      </c>
      <c r="J363" s="36" t="str">
        <f t="shared" si="289"/>
        <v/>
      </c>
    </row>
    <row r="364" spans="1:10" x14ac:dyDescent="0.25">
      <c r="A364" s="29" t="str">
        <f t="shared" si="284"/>
        <v>7Chiều4</v>
      </c>
      <c r="B364" s="29" t="str">
        <f t="shared" si="285"/>
        <v>7Chiều4</v>
      </c>
      <c r="C364" s="29" t="str">
        <f t="shared" si="286"/>
        <v/>
      </c>
      <c r="D364" s="29" t="str">
        <f t="shared" si="287"/>
        <v/>
      </c>
      <c r="E364" s="29" t="s">
        <v>87</v>
      </c>
      <c r="F364" s="29">
        <v>7</v>
      </c>
      <c r="G364" s="29" t="s">
        <v>4</v>
      </c>
      <c r="H364" s="29">
        <v>4</v>
      </c>
      <c r="I364" s="36" t="str">
        <f t="shared" si="288"/>
        <v/>
      </c>
      <c r="J364" s="36" t="str">
        <f t="shared" si="289"/>
        <v/>
      </c>
    </row>
    <row r="365" spans="1:10" x14ac:dyDescent="0.25">
      <c r="A365" s="29" t="str">
        <f t="shared" si="284"/>
        <v>7Chiều5</v>
      </c>
      <c r="B365" s="29" t="str">
        <f t="shared" si="285"/>
        <v>7Chiều5</v>
      </c>
      <c r="C365" s="29" t="str">
        <f t="shared" si="286"/>
        <v/>
      </c>
      <c r="D365" s="29" t="str">
        <f t="shared" si="287"/>
        <v/>
      </c>
      <c r="E365" s="29" t="s">
        <v>87</v>
      </c>
      <c r="F365" s="29">
        <v>7</v>
      </c>
      <c r="G365" s="29" t="s">
        <v>4</v>
      </c>
      <c r="H365" s="29">
        <v>5</v>
      </c>
      <c r="I365" s="36" t="str">
        <f t="shared" si="288"/>
        <v/>
      </c>
      <c r="J365" s="36" t="str">
        <f t="shared" si="289"/>
        <v/>
      </c>
    </row>
    <row r="366" spans="1:10" x14ac:dyDescent="0.25">
      <c r="A366" s="29" t="str">
        <f t="shared" si="284"/>
        <v>2Sáng1</v>
      </c>
      <c r="B366" s="29" t="str">
        <f t="shared" si="285"/>
        <v>2Sáng1Ly</v>
      </c>
      <c r="C366" s="29" t="str">
        <f t="shared" si="286"/>
        <v/>
      </c>
      <c r="D366" s="29" t="str">
        <f t="shared" si="287"/>
        <v/>
      </c>
      <c r="E366" s="29" t="s">
        <v>13</v>
      </c>
      <c r="F366" s="29">
        <v>2</v>
      </c>
      <c r="G366" s="29" t="s">
        <v>3</v>
      </c>
      <c r="H366" s="29">
        <v>1</v>
      </c>
      <c r="I366" s="36" t="str">
        <f t="shared" ref="I366:I397" si="290">S66</f>
        <v>Ly</v>
      </c>
      <c r="J366" s="36" t="str">
        <f t="shared" ref="J366:J397" si="291">T66</f>
        <v>Đạo đức -3C1</v>
      </c>
    </row>
    <row r="367" spans="1:10" x14ac:dyDescent="0.25">
      <c r="A367" s="29" t="str">
        <f t="shared" si="284"/>
        <v>2Sáng2</v>
      </c>
      <c r="B367" s="29" t="str">
        <f t="shared" si="285"/>
        <v>2Sáng2Chi</v>
      </c>
      <c r="C367" s="29" t="str">
        <f t="shared" si="286"/>
        <v/>
      </c>
      <c r="D367" s="29" t="str">
        <f t="shared" si="287"/>
        <v/>
      </c>
      <c r="E367" s="29" t="s">
        <v>13</v>
      </c>
      <c r="F367" s="29">
        <v>2</v>
      </c>
      <c r="G367" s="29" t="s">
        <v>3</v>
      </c>
      <c r="H367" s="29">
        <v>2</v>
      </c>
      <c r="I367" s="36" t="str">
        <f t="shared" si="290"/>
        <v>Chi</v>
      </c>
      <c r="J367" s="36" t="str">
        <f t="shared" si="291"/>
        <v>Toán -3C1</v>
      </c>
    </row>
    <row r="368" spans="1:10" x14ac:dyDescent="0.25">
      <c r="A368" s="29" t="str">
        <f t="shared" si="284"/>
        <v>2Sáng3</v>
      </c>
      <c r="B368" s="29" t="str">
        <f t="shared" si="285"/>
        <v>2Sáng3Ly</v>
      </c>
      <c r="C368" s="29" t="str">
        <f t="shared" si="286"/>
        <v/>
      </c>
      <c r="D368" s="29" t="str">
        <f t="shared" si="287"/>
        <v/>
      </c>
      <c r="E368" s="29" t="s">
        <v>13</v>
      </c>
      <c r="F368" s="29">
        <v>2</v>
      </c>
      <c r="G368" s="29" t="s">
        <v>3</v>
      </c>
      <c r="H368" s="29">
        <v>3</v>
      </c>
      <c r="I368" s="36" t="str">
        <f t="shared" si="290"/>
        <v>Ly</v>
      </c>
      <c r="J368" s="36" t="str">
        <f t="shared" si="291"/>
        <v>TViệt -3C1</v>
      </c>
    </row>
    <row r="369" spans="1:10" x14ac:dyDescent="0.25">
      <c r="A369" s="29" t="str">
        <f t="shared" si="284"/>
        <v>2Sáng4</v>
      </c>
      <c r="B369" s="29" t="str">
        <f t="shared" si="285"/>
        <v>2Sáng4Chi</v>
      </c>
      <c r="C369" s="29" t="str">
        <f t="shared" si="286"/>
        <v/>
      </c>
      <c r="D369" s="29" t="str">
        <f t="shared" si="287"/>
        <v/>
      </c>
      <c r="E369" s="29" t="s">
        <v>13</v>
      </c>
      <c r="F369" s="29">
        <v>2</v>
      </c>
      <c r="G369" s="29" t="s">
        <v>3</v>
      </c>
      <c r="H369" s="29">
        <v>4</v>
      </c>
      <c r="I369" s="36" t="str">
        <f t="shared" si="290"/>
        <v>Chi</v>
      </c>
      <c r="J369" s="36" t="str">
        <f t="shared" si="291"/>
        <v>Toán -3C1</v>
      </c>
    </row>
    <row r="370" spans="1:10" x14ac:dyDescent="0.25">
      <c r="A370" s="29" t="str">
        <f t="shared" si="284"/>
        <v>2Sáng5</v>
      </c>
      <c r="B370" s="29" t="str">
        <f t="shared" si="285"/>
        <v>2Sáng5</v>
      </c>
      <c r="C370" s="29" t="str">
        <f t="shared" si="286"/>
        <v/>
      </c>
      <c r="D370" s="29" t="str">
        <f t="shared" si="287"/>
        <v/>
      </c>
      <c r="E370" s="29" t="s">
        <v>13</v>
      </c>
      <c r="F370" s="29">
        <v>2</v>
      </c>
      <c r="G370" s="29" t="s">
        <v>3</v>
      </c>
      <c r="H370" s="29">
        <v>5</v>
      </c>
      <c r="I370" s="36" t="str">
        <f t="shared" si="290"/>
        <v/>
      </c>
      <c r="J370" s="36" t="str">
        <f t="shared" si="291"/>
        <v/>
      </c>
    </row>
    <row r="371" spans="1:10" x14ac:dyDescent="0.25">
      <c r="A371" s="29" t="str">
        <f t="shared" si="284"/>
        <v>2Chiều1</v>
      </c>
      <c r="B371" s="29" t="str">
        <f t="shared" si="285"/>
        <v>2Chiều1Ly</v>
      </c>
      <c r="C371" s="29" t="str">
        <f t="shared" si="286"/>
        <v/>
      </c>
      <c r="D371" s="29" t="str">
        <f t="shared" si="287"/>
        <v/>
      </c>
      <c r="E371" s="29" t="s">
        <v>13</v>
      </c>
      <c r="F371" s="29">
        <v>2</v>
      </c>
      <c r="G371" s="29" t="s">
        <v>4</v>
      </c>
      <c r="H371" s="29">
        <v>1</v>
      </c>
      <c r="I371" s="36" t="str">
        <f t="shared" si="290"/>
        <v>Ly</v>
      </c>
      <c r="J371" s="36" t="str">
        <f t="shared" si="291"/>
        <v>TViệt -3C1</v>
      </c>
    </row>
    <row r="372" spans="1:10" x14ac:dyDescent="0.25">
      <c r="A372" s="29" t="str">
        <f t="shared" si="284"/>
        <v>2Chiều2</v>
      </c>
      <c r="B372" s="29" t="str">
        <f t="shared" si="285"/>
        <v>2Chiều2Thanh</v>
      </c>
      <c r="C372" s="29" t="str">
        <f t="shared" si="286"/>
        <v/>
      </c>
      <c r="D372" s="29" t="str">
        <f t="shared" si="287"/>
        <v/>
      </c>
      <c r="E372" s="29" t="s">
        <v>13</v>
      </c>
      <c r="F372" s="29">
        <v>2</v>
      </c>
      <c r="G372" s="29" t="s">
        <v>4</v>
      </c>
      <c r="H372" s="29">
        <v>2</v>
      </c>
      <c r="I372" s="36" t="str">
        <f t="shared" si="290"/>
        <v>Thanh</v>
      </c>
      <c r="J372" s="36" t="str">
        <f t="shared" si="291"/>
        <v>Tiếng Trung -3C1</v>
      </c>
    </row>
    <row r="373" spans="1:10" x14ac:dyDescent="0.25">
      <c r="A373" s="29" t="str">
        <f t="shared" si="284"/>
        <v>2Chiều3</v>
      </c>
      <c r="B373" s="29" t="str">
        <f t="shared" si="285"/>
        <v>2Chiều3Bích</v>
      </c>
      <c r="C373" s="29" t="str">
        <f t="shared" si="286"/>
        <v/>
      </c>
      <c r="D373" s="29" t="str">
        <f t="shared" si="287"/>
        <v/>
      </c>
      <c r="E373" s="29" t="s">
        <v>13</v>
      </c>
      <c r="F373" s="29">
        <v>2</v>
      </c>
      <c r="G373" s="29" t="s">
        <v>4</v>
      </c>
      <c r="H373" s="29">
        <v>3</v>
      </c>
      <c r="I373" s="36" t="str">
        <f t="shared" si="290"/>
        <v>Bích</v>
      </c>
      <c r="J373" s="36" t="str">
        <f t="shared" si="291"/>
        <v>Science -3C1</v>
      </c>
    </row>
    <row r="374" spans="1:10" x14ac:dyDescent="0.25">
      <c r="A374" s="29" t="str">
        <f t="shared" si="284"/>
        <v>2Chiều4Tay</v>
      </c>
      <c r="B374" s="29" t="str">
        <f t="shared" si="285"/>
        <v>2Chiều4Bích</v>
      </c>
      <c r="C374" s="29" t="str">
        <f t="shared" si="286"/>
        <v>Tay</v>
      </c>
      <c r="D374" s="29" t="str">
        <f t="shared" si="287"/>
        <v>Bích</v>
      </c>
      <c r="E374" s="29" t="s">
        <v>13</v>
      </c>
      <c r="F374" s="29">
        <v>2</v>
      </c>
      <c r="G374" s="29" t="s">
        <v>4</v>
      </c>
      <c r="H374" s="29">
        <v>4</v>
      </c>
      <c r="I374" s="36" t="str">
        <f t="shared" si="290"/>
        <v>Tay, Bích</v>
      </c>
      <c r="J374" s="36" t="str">
        <f t="shared" si="291"/>
        <v>GVNN -3C1</v>
      </c>
    </row>
    <row r="375" spans="1:10" x14ac:dyDescent="0.25">
      <c r="A375" s="29" t="str">
        <f t="shared" si="284"/>
        <v>2Chiều5</v>
      </c>
      <c r="B375" s="29" t="str">
        <f t="shared" si="285"/>
        <v>2Chiều5</v>
      </c>
      <c r="C375" s="29" t="str">
        <f t="shared" si="286"/>
        <v/>
      </c>
      <c r="D375" s="29" t="str">
        <f t="shared" si="287"/>
        <v/>
      </c>
      <c r="E375" s="29" t="s">
        <v>13</v>
      </c>
      <c r="F375" s="29">
        <v>2</v>
      </c>
      <c r="G375" s="29" t="s">
        <v>4</v>
      </c>
      <c r="H375" s="29">
        <v>5</v>
      </c>
      <c r="I375" s="36" t="str">
        <f t="shared" si="290"/>
        <v/>
      </c>
      <c r="J375" s="36" t="str">
        <f t="shared" si="291"/>
        <v/>
      </c>
    </row>
    <row r="376" spans="1:10" x14ac:dyDescent="0.25">
      <c r="A376" s="29" t="str">
        <f t="shared" si="284"/>
        <v>3Sáng1</v>
      </c>
      <c r="B376" s="29" t="str">
        <f t="shared" si="285"/>
        <v>3Sáng1Hồng</v>
      </c>
      <c r="C376" s="29" t="str">
        <f t="shared" si="286"/>
        <v/>
      </c>
      <c r="D376" s="29" t="str">
        <f t="shared" si="287"/>
        <v/>
      </c>
      <c r="E376" s="29" t="s">
        <v>13</v>
      </c>
      <c r="F376" s="29">
        <v>3</v>
      </c>
      <c r="G376" s="29" t="s">
        <v>3</v>
      </c>
      <c r="H376" s="29">
        <v>1</v>
      </c>
      <c r="I376" s="36" t="str">
        <f t="shared" si="290"/>
        <v>Hồng</v>
      </c>
      <c r="J376" s="36" t="str">
        <f t="shared" si="291"/>
        <v>GDTC -3C1</v>
      </c>
    </row>
    <row r="377" spans="1:10" x14ac:dyDescent="0.25">
      <c r="A377" s="29" t="str">
        <f t="shared" si="284"/>
        <v>3Sáng2</v>
      </c>
      <c r="B377" s="29" t="str">
        <f t="shared" si="285"/>
        <v>3Sáng2Hồng</v>
      </c>
      <c r="C377" s="29" t="str">
        <f t="shared" si="286"/>
        <v/>
      </c>
      <c r="D377" s="29" t="str">
        <f t="shared" si="287"/>
        <v/>
      </c>
      <c r="E377" s="29" t="s">
        <v>13</v>
      </c>
      <c r="F377" s="29">
        <v>3</v>
      </c>
      <c r="G377" s="29" t="s">
        <v>3</v>
      </c>
      <c r="H377" s="29">
        <v>2</v>
      </c>
      <c r="I377" s="36" t="str">
        <f t="shared" si="290"/>
        <v>Hồng</v>
      </c>
      <c r="J377" s="36" t="str">
        <f t="shared" si="291"/>
        <v>GDTC -3C1</v>
      </c>
    </row>
    <row r="378" spans="1:10" x14ac:dyDescent="0.25">
      <c r="A378" s="29" t="str">
        <f t="shared" si="284"/>
        <v>3Sáng3Tay</v>
      </c>
      <c r="B378" s="29" t="str">
        <f t="shared" si="285"/>
        <v>3Sáng3Bích</v>
      </c>
      <c r="C378" s="29" t="str">
        <f t="shared" si="286"/>
        <v>Tay</v>
      </c>
      <c r="D378" s="29" t="str">
        <f t="shared" si="287"/>
        <v>Bích</v>
      </c>
      <c r="E378" s="29" t="s">
        <v>13</v>
      </c>
      <c r="F378" s="29">
        <v>3</v>
      </c>
      <c r="G378" s="29" t="s">
        <v>3</v>
      </c>
      <c r="H378" s="29">
        <v>3</v>
      </c>
      <c r="I378" s="36" t="str">
        <f t="shared" si="290"/>
        <v>Tay, Bích</v>
      </c>
      <c r="J378" s="36" t="str">
        <f t="shared" si="291"/>
        <v>GVNN -3C1</v>
      </c>
    </row>
    <row r="379" spans="1:10" x14ac:dyDescent="0.25">
      <c r="A379" s="29" t="str">
        <f t="shared" si="284"/>
        <v>3Sáng4</v>
      </c>
      <c r="B379" s="29" t="str">
        <f t="shared" si="285"/>
        <v>3Sáng4Chi</v>
      </c>
      <c r="C379" s="29" t="str">
        <f t="shared" si="286"/>
        <v/>
      </c>
      <c r="D379" s="29" t="str">
        <f t="shared" si="287"/>
        <v/>
      </c>
      <c r="E379" s="29" t="s">
        <v>13</v>
      </c>
      <c r="F379" s="29">
        <v>3</v>
      </c>
      <c r="G379" s="29" t="s">
        <v>3</v>
      </c>
      <c r="H379" s="29">
        <v>4</v>
      </c>
      <c r="I379" s="36" t="str">
        <f t="shared" si="290"/>
        <v>Chi</v>
      </c>
      <c r="J379" s="36" t="str">
        <f t="shared" si="291"/>
        <v>Toán -3C1</v>
      </c>
    </row>
    <row r="380" spans="1:10" x14ac:dyDescent="0.25">
      <c r="A380" s="29" t="str">
        <f t="shared" si="284"/>
        <v>3Sáng5</v>
      </c>
      <c r="B380" s="29" t="str">
        <f t="shared" si="285"/>
        <v>3Sáng5</v>
      </c>
      <c r="C380" s="29" t="str">
        <f t="shared" si="286"/>
        <v/>
      </c>
      <c r="D380" s="29" t="str">
        <f t="shared" si="287"/>
        <v/>
      </c>
      <c r="E380" s="29" t="s">
        <v>13</v>
      </c>
      <c r="F380" s="29">
        <v>3</v>
      </c>
      <c r="G380" s="29" t="s">
        <v>3</v>
      </c>
      <c r="H380" s="29">
        <v>5</v>
      </c>
      <c r="I380" s="36" t="str">
        <f t="shared" si="290"/>
        <v/>
      </c>
      <c r="J380" s="36" t="str">
        <f t="shared" si="291"/>
        <v/>
      </c>
    </row>
    <row r="381" spans="1:10" x14ac:dyDescent="0.25">
      <c r="A381" s="29" t="str">
        <f t="shared" si="284"/>
        <v>3Chiều1</v>
      </c>
      <c r="B381" s="29" t="str">
        <f t="shared" si="285"/>
        <v>3Chiều1Chi</v>
      </c>
      <c r="C381" s="29" t="str">
        <f t="shared" si="286"/>
        <v/>
      </c>
      <c r="D381" s="29" t="str">
        <f t="shared" si="287"/>
        <v/>
      </c>
      <c r="E381" s="29" t="s">
        <v>13</v>
      </c>
      <c r="F381" s="29">
        <v>3</v>
      </c>
      <c r="G381" s="29" t="s">
        <v>4</v>
      </c>
      <c r="H381" s="29">
        <v>1</v>
      </c>
      <c r="I381" s="36" t="str">
        <f t="shared" si="290"/>
        <v>Chi</v>
      </c>
      <c r="J381" s="36" t="str">
        <f t="shared" si="291"/>
        <v>Toán -3C1</v>
      </c>
    </row>
    <row r="382" spans="1:10" x14ac:dyDescent="0.25">
      <c r="A382" s="29" t="str">
        <f t="shared" si="284"/>
        <v>3Chiều2</v>
      </c>
      <c r="B382" s="29" t="str">
        <f t="shared" si="285"/>
        <v>3Chiều2Ly</v>
      </c>
      <c r="C382" s="29" t="str">
        <f t="shared" si="286"/>
        <v/>
      </c>
      <c r="D382" s="29" t="str">
        <f t="shared" si="287"/>
        <v/>
      </c>
      <c r="E382" s="29" t="s">
        <v>13</v>
      </c>
      <c r="F382" s="29">
        <v>3</v>
      </c>
      <c r="G382" s="29" t="s">
        <v>4</v>
      </c>
      <c r="H382" s="29">
        <v>2</v>
      </c>
      <c r="I382" s="36" t="str">
        <f t="shared" si="290"/>
        <v>Ly</v>
      </c>
      <c r="J382" s="36" t="str">
        <f t="shared" si="291"/>
        <v>TViệt -3C1</v>
      </c>
    </row>
    <row r="383" spans="1:10" x14ac:dyDescent="0.25">
      <c r="A383" s="29" t="str">
        <f t="shared" ref="A383:A446" si="292">F383&amp;G383&amp;H383&amp;C383</f>
        <v>3Chiều3</v>
      </c>
      <c r="B383" s="29" t="str">
        <f t="shared" ref="B383:B446" si="293">IF(D383="",F383&amp;G383&amp;H383&amp;I383,F383&amp;G383&amp;H383&amp;D383)</f>
        <v>3Chiều3Ly</v>
      </c>
      <c r="C383" s="29" t="str">
        <f t="shared" ref="C383:C446" si="294">IFERROR(LEFT(I383,FIND(",",I383)-1),"")</f>
        <v/>
      </c>
      <c r="D383" s="29" t="str">
        <f t="shared" ref="D383:D446" si="295">IF(C383="","",RIGHT(I383,LEN(I383)-FIND(",",I383)-1))</f>
        <v/>
      </c>
      <c r="E383" s="29" t="s">
        <v>13</v>
      </c>
      <c r="F383" s="29">
        <v>3</v>
      </c>
      <c r="G383" s="29" t="s">
        <v>4</v>
      </c>
      <c r="H383" s="29">
        <v>3</v>
      </c>
      <c r="I383" s="36" t="str">
        <f t="shared" si="290"/>
        <v>Ly</v>
      </c>
      <c r="J383" s="36" t="str">
        <f t="shared" si="291"/>
        <v>TViệt -3C1</v>
      </c>
    </row>
    <row r="384" spans="1:10" x14ac:dyDescent="0.25">
      <c r="A384" s="29" t="str">
        <f t="shared" si="292"/>
        <v>3Chiều4</v>
      </c>
      <c r="B384" s="29" t="str">
        <f t="shared" si="293"/>
        <v>3Chiều4Bích</v>
      </c>
      <c r="C384" s="29" t="str">
        <f t="shared" si="294"/>
        <v/>
      </c>
      <c r="D384" s="29" t="str">
        <f t="shared" si="295"/>
        <v/>
      </c>
      <c r="E384" s="29" t="s">
        <v>13</v>
      </c>
      <c r="F384" s="29">
        <v>3</v>
      </c>
      <c r="G384" s="29" t="s">
        <v>4</v>
      </c>
      <c r="H384" s="29">
        <v>4</v>
      </c>
      <c r="I384" s="36" t="str">
        <f t="shared" si="290"/>
        <v>Bích</v>
      </c>
      <c r="J384" s="36" t="str">
        <f t="shared" si="291"/>
        <v>GVVN -3C1</v>
      </c>
    </row>
    <row r="385" spans="1:10" x14ac:dyDescent="0.25">
      <c r="A385" s="29" t="str">
        <f t="shared" si="292"/>
        <v>3Chiều5</v>
      </c>
      <c r="B385" s="29" t="str">
        <f t="shared" si="293"/>
        <v>3Chiều5</v>
      </c>
      <c r="C385" s="29" t="str">
        <f t="shared" si="294"/>
        <v/>
      </c>
      <c r="D385" s="29" t="str">
        <f t="shared" si="295"/>
        <v/>
      </c>
      <c r="E385" s="29" t="s">
        <v>13</v>
      </c>
      <c r="F385" s="29">
        <v>3</v>
      </c>
      <c r="G385" s="29" t="s">
        <v>4</v>
      </c>
      <c r="H385" s="29">
        <v>5</v>
      </c>
      <c r="I385" s="36" t="str">
        <f t="shared" si="290"/>
        <v/>
      </c>
      <c r="J385" s="36" t="str">
        <f t="shared" si="291"/>
        <v/>
      </c>
    </row>
    <row r="386" spans="1:10" x14ac:dyDescent="0.25">
      <c r="A386" s="29" t="str">
        <f t="shared" si="292"/>
        <v>4Sáng1</v>
      </c>
      <c r="B386" s="29" t="str">
        <f t="shared" si="293"/>
        <v>4Sáng1Chi</v>
      </c>
      <c r="C386" s="29" t="str">
        <f t="shared" si="294"/>
        <v/>
      </c>
      <c r="D386" s="29" t="str">
        <f t="shared" si="295"/>
        <v/>
      </c>
      <c r="E386" s="29" t="s">
        <v>13</v>
      </c>
      <c r="F386" s="29">
        <v>4</v>
      </c>
      <c r="G386" s="29" t="s">
        <v>3</v>
      </c>
      <c r="H386" s="29">
        <v>1</v>
      </c>
      <c r="I386" s="36" t="str">
        <f t="shared" si="290"/>
        <v>Chi</v>
      </c>
      <c r="J386" s="36" t="str">
        <f t="shared" si="291"/>
        <v>Toán -3C1</v>
      </c>
    </row>
    <row r="387" spans="1:10" x14ac:dyDescent="0.25">
      <c r="A387" s="29" t="str">
        <f t="shared" si="292"/>
        <v>4Sáng2Tay</v>
      </c>
      <c r="B387" s="29" t="str">
        <f t="shared" si="293"/>
        <v>4Sáng2Bích</v>
      </c>
      <c r="C387" s="29" t="str">
        <f t="shared" si="294"/>
        <v>Tay</v>
      </c>
      <c r="D387" s="29" t="str">
        <f t="shared" si="295"/>
        <v>Bích</v>
      </c>
      <c r="E387" s="29" t="s">
        <v>13</v>
      </c>
      <c r="F387" s="29">
        <v>4</v>
      </c>
      <c r="G387" s="29" t="s">
        <v>3</v>
      </c>
      <c r="H387" s="29">
        <v>2</v>
      </c>
      <c r="I387" s="36" t="str">
        <f t="shared" si="290"/>
        <v>Tay, Bích</v>
      </c>
      <c r="J387" s="36" t="str">
        <f t="shared" si="291"/>
        <v>GVNN -3C1</v>
      </c>
    </row>
    <row r="388" spans="1:10" x14ac:dyDescent="0.25">
      <c r="A388" s="29" t="str">
        <f t="shared" si="292"/>
        <v>4Sáng3</v>
      </c>
      <c r="B388" s="29" t="str">
        <f t="shared" si="293"/>
        <v>4Sáng3Bích</v>
      </c>
      <c r="C388" s="29" t="str">
        <f t="shared" si="294"/>
        <v/>
      </c>
      <c r="D388" s="29" t="str">
        <f t="shared" si="295"/>
        <v/>
      </c>
      <c r="E388" s="29" t="s">
        <v>13</v>
      </c>
      <c r="F388" s="29">
        <v>4</v>
      </c>
      <c r="G388" s="29" t="s">
        <v>3</v>
      </c>
      <c r="H388" s="29">
        <v>3</v>
      </c>
      <c r="I388" s="36" t="str">
        <f t="shared" si="290"/>
        <v>Bích</v>
      </c>
      <c r="J388" s="36" t="str">
        <f t="shared" si="291"/>
        <v>Science -3C1</v>
      </c>
    </row>
    <row r="389" spans="1:10" x14ac:dyDescent="0.25">
      <c r="A389" s="29" t="str">
        <f t="shared" si="292"/>
        <v>4Sáng4</v>
      </c>
      <c r="B389" s="29" t="str">
        <f t="shared" si="293"/>
        <v>4Sáng4Nguyên</v>
      </c>
      <c r="C389" s="29" t="str">
        <f t="shared" si="294"/>
        <v/>
      </c>
      <c r="D389" s="29" t="str">
        <f t="shared" si="295"/>
        <v/>
      </c>
      <c r="E389" s="29" t="s">
        <v>13</v>
      </c>
      <c r="F389" s="29">
        <v>4</v>
      </c>
      <c r="G389" s="29" t="s">
        <v>3</v>
      </c>
      <c r="H389" s="29">
        <v>4</v>
      </c>
      <c r="I389" s="36" t="str">
        <f t="shared" si="290"/>
        <v>Nguyên</v>
      </c>
      <c r="J389" s="36" t="str">
        <f t="shared" si="291"/>
        <v>Tin -3C1</v>
      </c>
    </row>
    <row r="390" spans="1:10" x14ac:dyDescent="0.25">
      <c r="A390" s="29" t="str">
        <f t="shared" si="292"/>
        <v>4Sáng5</v>
      </c>
      <c r="B390" s="29" t="str">
        <f t="shared" si="293"/>
        <v>4Sáng5</v>
      </c>
      <c r="C390" s="29" t="str">
        <f t="shared" si="294"/>
        <v/>
      </c>
      <c r="D390" s="29" t="str">
        <f t="shared" si="295"/>
        <v/>
      </c>
      <c r="E390" s="29" t="s">
        <v>13</v>
      </c>
      <c r="F390" s="29">
        <v>4</v>
      </c>
      <c r="G390" s="29" t="s">
        <v>3</v>
      </c>
      <c r="H390" s="29">
        <v>5</v>
      </c>
      <c r="I390" s="36" t="str">
        <f t="shared" si="290"/>
        <v/>
      </c>
      <c r="J390" s="36" t="str">
        <f t="shared" si="291"/>
        <v/>
      </c>
    </row>
    <row r="391" spans="1:10" x14ac:dyDescent="0.25">
      <c r="A391" s="29" t="str">
        <f t="shared" si="292"/>
        <v>4Chiều1</v>
      </c>
      <c r="B391" s="29" t="str">
        <f t="shared" si="293"/>
        <v>4Chiều1Phương</v>
      </c>
      <c r="C391" s="29" t="str">
        <f t="shared" si="294"/>
        <v/>
      </c>
      <c r="D391" s="29" t="str">
        <f t="shared" si="295"/>
        <v/>
      </c>
      <c r="E391" s="29" t="s">
        <v>13</v>
      </c>
      <c r="F391" s="29">
        <v>4</v>
      </c>
      <c r="G391" s="29" t="s">
        <v>4</v>
      </c>
      <c r="H391" s="29">
        <v>1</v>
      </c>
      <c r="I391" s="36" t="str">
        <f t="shared" si="290"/>
        <v>Phương</v>
      </c>
      <c r="J391" s="36" t="str">
        <f t="shared" si="291"/>
        <v>Mĩ thuật -3C1</v>
      </c>
    </row>
    <row r="392" spans="1:10" x14ac:dyDescent="0.25">
      <c r="A392" s="29" t="str">
        <f t="shared" si="292"/>
        <v>4Chiều2</v>
      </c>
      <c r="B392" s="29" t="str">
        <f t="shared" si="293"/>
        <v>4Chiều2Ly</v>
      </c>
      <c r="C392" s="29" t="str">
        <f t="shared" si="294"/>
        <v/>
      </c>
      <c r="D392" s="29" t="str">
        <f t="shared" si="295"/>
        <v/>
      </c>
      <c r="E392" s="29" t="s">
        <v>13</v>
      </c>
      <c r="F392" s="29">
        <v>4</v>
      </c>
      <c r="G392" s="29" t="s">
        <v>4</v>
      </c>
      <c r="H392" s="29">
        <v>2</v>
      </c>
      <c r="I392" s="36" t="str">
        <f t="shared" si="290"/>
        <v>Ly</v>
      </c>
      <c r="J392" s="36" t="str">
        <f t="shared" si="291"/>
        <v>TViệt -3C1</v>
      </c>
    </row>
    <row r="393" spans="1:10" x14ac:dyDescent="0.25">
      <c r="A393" s="29" t="str">
        <f t="shared" si="292"/>
        <v>4Chiều3</v>
      </c>
      <c r="B393" s="29" t="str">
        <f t="shared" si="293"/>
        <v>4Chiều3Bích</v>
      </c>
      <c r="C393" s="29" t="str">
        <f t="shared" si="294"/>
        <v/>
      </c>
      <c r="D393" s="29" t="str">
        <f t="shared" si="295"/>
        <v/>
      </c>
      <c r="E393" s="29" t="s">
        <v>13</v>
      </c>
      <c r="F393" s="29">
        <v>4</v>
      </c>
      <c r="G393" s="29" t="s">
        <v>4</v>
      </c>
      <c r="H393" s="29">
        <v>3</v>
      </c>
      <c r="I393" s="36" t="str">
        <f t="shared" si="290"/>
        <v>Bích</v>
      </c>
      <c r="J393" s="36" t="str">
        <f t="shared" si="291"/>
        <v>GVVN -3C1</v>
      </c>
    </row>
    <row r="394" spans="1:10" x14ac:dyDescent="0.25">
      <c r="A394" s="29" t="str">
        <f t="shared" si="292"/>
        <v>4Chiều4</v>
      </c>
      <c r="B394" s="29" t="str">
        <f t="shared" si="293"/>
        <v>4Chiều4Nhi</v>
      </c>
      <c r="C394" s="29" t="str">
        <f t="shared" si="294"/>
        <v/>
      </c>
      <c r="D394" s="29" t="str">
        <f t="shared" si="295"/>
        <v/>
      </c>
      <c r="E394" s="29" t="s">
        <v>13</v>
      </c>
      <c r="F394" s="29">
        <v>4</v>
      </c>
      <c r="G394" s="29" t="s">
        <v>4</v>
      </c>
      <c r="H394" s="29">
        <v>4</v>
      </c>
      <c r="I394" s="36" t="str">
        <f t="shared" si="290"/>
        <v>Nhi</v>
      </c>
      <c r="J394" s="36" t="str">
        <f t="shared" si="291"/>
        <v>TNXH -3C1</v>
      </c>
    </row>
    <row r="395" spans="1:10" x14ac:dyDescent="0.25">
      <c r="A395" s="29" t="str">
        <f t="shared" si="292"/>
        <v>4Chiều5</v>
      </c>
      <c r="B395" s="29" t="str">
        <f t="shared" si="293"/>
        <v>4Chiều5</v>
      </c>
      <c r="C395" s="29" t="str">
        <f t="shared" si="294"/>
        <v/>
      </c>
      <c r="D395" s="29" t="str">
        <f t="shared" si="295"/>
        <v/>
      </c>
      <c r="E395" s="29" t="s">
        <v>13</v>
      </c>
      <c r="F395" s="29">
        <v>4</v>
      </c>
      <c r="G395" s="29" t="s">
        <v>4</v>
      </c>
      <c r="H395" s="29">
        <v>5</v>
      </c>
      <c r="I395" s="36" t="str">
        <f t="shared" si="290"/>
        <v/>
      </c>
      <c r="J395" s="36" t="str">
        <f t="shared" si="291"/>
        <v/>
      </c>
    </row>
    <row r="396" spans="1:10" x14ac:dyDescent="0.25">
      <c r="A396" s="29" t="str">
        <f t="shared" si="292"/>
        <v>5Sáng1Tay</v>
      </c>
      <c r="B396" s="29" t="str">
        <f t="shared" si="293"/>
        <v>5Sáng1Bích</v>
      </c>
      <c r="C396" s="29" t="str">
        <f t="shared" si="294"/>
        <v>Tay</v>
      </c>
      <c r="D396" s="29" t="str">
        <f t="shared" si="295"/>
        <v>Bích</v>
      </c>
      <c r="E396" s="29" t="s">
        <v>13</v>
      </c>
      <c r="F396" s="29">
        <v>5</v>
      </c>
      <c r="G396" s="29" t="s">
        <v>3</v>
      </c>
      <c r="H396" s="29">
        <v>1</v>
      </c>
      <c r="I396" s="36" t="str">
        <f t="shared" si="290"/>
        <v>Tay, Bích</v>
      </c>
      <c r="J396" s="36" t="str">
        <f t="shared" si="291"/>
        <v>GVNN -3C1</v>
      </c>
    </row>
    <row r="397" spans="1:10" x14ac:dyDescent="0.25">
      <c r="A397" s="29" t="str">
        <f t="shared" si="292"/>
        <v>5Sáng2</v>
      </c>
      <c r="B397" s="29" t="str">
        <f t="shared" si="293"/>
        <v>5Sáng2Trang ÂN</v>
      </c>
      <c r="C397" s="29" t="str">
        <f t="shared" si="294"/>
        <v/>
      </c>
      <c r="D397" s="29" t="str">
        <f t="shared" si="295"/>
        <v/>
      </c>
      <c r="E397" s="29" t="s">
        <v>13</v>
      </c>
      <c r="F397" s="29">
        <v>5</v>
      </c>
      <c r="G397" s="29" t="s">
        <v>3</v>
      </c>
      <c r="H397" s="29">
        <v>2</v>
      </c>
      <c r="I397" s="36" t="str">
        <f t="shared" si="290"/>
        <v>Trang ÂN</v>
      </c>
      <c r="J397" s="36" t="str">
        <f t="shared" si="291"/>
        <v>Nhạc -3C1</v>
      </c>
    </row>
    <row r="398" spans="1:10" x14ac:dyDescent="0.25">
      <c r="A398" s="29" t="str">
        <f t="shared" si="292"/>
        <v>5Sáng3</v>
      </c>
      <c r="B398" s="29" t="str">
        <f t="shared" si="293"/>
        <v>5Sáng3Chi</v>
      </c>
      <c r="C398" s="29" t="str">
        <f t="shared" si="294"/>
        <v/>
      </c>
      <c r="D398" s="29" t="str">
        <f t="shared" si="295"/>
        <v/>
      </c>
      <c r="E398" s="29" t="s">
        <v>13</v>
      </c>
      <c r="F398" s="29">
        <v>5</v>
      </c>
      <c r="G398" s="29" t="s">
        <v>3</v>
      </c>
      <c r="H398" s="29">
        <v>3</v>
      </c>
      <c r="I398" s="36" t="str">
        <f t="shared" ref="I398:I425" si="296">S98</f>
        <v>Chi</v>
      </c>
      <c r="J398" s="36" t="str">
        <f t="shared" ref="J398:J425" si="297">T98</f>
        <v>Toán -3C1</v>
      </c>
    </row>
    <row r="399" spans="1:10" x14ac:dyDescent="0.25">
      <c r="A399" s="29" t="str">
        <f t="shared" si="292"/>
        <v>5Sáng4</v>
      </c>
      <c r="B399" s="29" t="str">
        <f t="shared" si="293"/>
        <v>5Sáng4Bích</v>
      </c>
      <c r="C399" s="29" t="str">
        <f t="shared" si="294"/>
        <v/>
      </c>
      <c r="D399" s="29" t="str">
        <f t="shared" si="295"/>
        <v/>
      </c>
      <c r="E399" s="29" t="s">
        <v>13</v>
      </c>
      <c r="F399" s="29">
        <v>5</v>
      </c>
      <c r="G399" s="29" t="s">
        <v>3</v>
      </c>
      <c r="H399" s="29">
        <v>4</v>
      </c>
      <c r="I399" s="36" t="str">
        <f t="shared" si="296"/>
        <v>Bích</v>
      </c>
      <c r="J399" s="36" t="str">
        <f t="shared" si="297"/>
        <v>GVVN -3C1</v>
      </c>
    </row>
    <row r="400" spans="1:10" x14ac:dyDescent="0.25">
      <c r="A400" s="29" t="str">
        <f t="shared" si="292"/>
        <v>5Sáng5</v>
      </c>
      <c r="B400" s="29" t="str">
        <f t="shared" si="293"/>
        <v>5Sáng5</v>
      </c>
      <c r="C400" s="29" t="str">
        <f t="shared" si="294"/>
        <v/>
      </c>
      <c r="D400" s="29" t="str">
        <f t="shared" si="295"/>
        <v/>
      </c>
      <c r="E400" s="29" t="s">
        <v>13</v>
      </c>
      <c r="F400" s="29">
        <v>5</v>
      </c>
      <c r="G400" s="29" t="s">
        <v>3</v>
      </c>
      <c r="H400" s="29">
        <v>5</v>
      </c>
      <c r="I400" s="36" t="str">
        <f t="shared" si="296"/>
        <v/>
      </c>
      <c r="J400" s="36" t="str">
        <f t="shared" si="297"/>
        <v/>
      </c>
    </row>
    <row r="401" spans="1:10" x14ac:dyDescent="0.25">
      <c r="A401" s="29" t="str">
        <f t="shared" si="292"/>
        <v>5Chiều1</v>
      </c>
      <c r="B401" s="29" t="str">
        <f t="shared" si="293"/>
        <v>5Chiều1Ly</v>
      </c>
      <c r="C401" s="29" t="str">
        <f t="shared" si="294"/>
        <v/>
      </c>
      <c r="D401" s="29" t="str">
        <f t="shared" si="295"/>
        <v/>
      </c>
      <c r="E401" s="29" t="s">
        <v>13</v>
      </c>
      <c r="F401" s="29">
        <v>5</v>
      </c>
      <c r="G401" s="29" t="s">
        <v>4</v>
      </c>
      <c r="H401" s="29">
        <v>1</v>
      </c>
      <c r="I401" s="36" t="str">
        <f t="shared" si="296"/>
        <v>Ly</v>
      </c>
      <c r="J401" s="36" t="str">
        <f t="shared" si="297"/>
        <v>TViệt -3C1</v>
      </c>
    </row>
    <row r="402" spans="1:10" x14ac:dyDescent="0.25">
      <c r="A402" s="29" t="str">
        <f t="shared" si="292"/>
        <v>5Chiều2</v>
      </c>
      <c r="B402" s="29" t="str">
        <f t="shared" si="293"/>
        <v>5Chiều2Bích</v>
      </c>
      <c r="C402" s="29" t="str">
        <f t="shared" si="294"/>
        <v/>
      </c>
      <c r="D402" s="29" t="str">
        <f t="shared" si="295"/>
        <v/>
      </c>
      <c r="E402" s="29" t="s">
        <v>13</v>
      </c>
      <c r="F402" s="29">
        <v>5</v>
      </c>
      <c r="G402" s="29" t="s">
        <v>4</v>
      </c>
      <c r="H402" s="29">
        <v>2</v>
      </c>
      <c r="I402" s="36" t="str">
        <f t="shared" si="296"/>
        <v>Bích</v>
      </c>
      <c r="J402" s="36" t="str">
        <f t="shared" si="297"/>
        <v>GVVN -3C1</v>
      </c>
    </row>
    <row r="403" spans="1:10" x14ac:dyDescent="0.25">
      <c r="A403" s="29" t="str">
        <f t="shared" si="292"/>
        <v>5Chiều3</v>
      </c>
      <c r="B403" s="29" t="str">
        <f t="shared" si="293"/>
        <v>5Chiều3Chi</v>
      </c>
      <c r="C403" s="29" t="str">
        <f t="shared" si="294"/>
        <v/>
      </c>
      <c r="D403" s="29" t="str">
        <f t="shared" si="295"/>
        <v/>
      </c>
      <c r="E403" s="29" t="s">
        <v>13</v>
      </c>
      <c r="F403" s="29">
        <v>5</v>
      </c>
      <c r="G403" s="29" t="s">
        <v>4</v>
      </c>
      <c r="H403" s="29">
        <v>3</v>
      </c>
      <c r="I403" s="36" t="str">
        <f t="shared" si="296"/>
        <v>Chi</v>
      </c>
      <c r="J403" s="36" t="str">
        <f t="shared" si="297"/>
        <v>Toán -3C1</v>
      </c>
    </row>
    <row r="404" spans="1:10" x14ac:dyDescent="0.25">
      <c r="A404" s="29" t="str">
        <f t="shared" si="292"/>
        <v>5Chiều4</v>
      </c>
      <c r="B404" s="29" t="str">
        <f t="shared" si="293"/>
        <v>5Chiều4Bích</v>
      </c>
      <c r="C404" s="29" t="str">
        <f t="shared" si="294"/>
        <v/>
      </c>
      <c r="D404" s="29" t="str">
        <f t="shared" si="295"/>
        <v/>
      </c>
      <c r="E404" s="29" t="s">
        <v>13</v>
      </c>
      <c r="F404" s="29">
        <v>5</v>
      </c>
      <c r="G404" s="29" t="s">
        <v>4</v>
      </c>
      <c r="H404" s="29">
        <v>4</v>
      </c>
      <c r="I404" s="36" t="str">
        <f t="shared" si="296"/>
        <v>Bích</v>
      </c>
      <c r="J404" s="36" t="str">
        <f t="shared" si="297"/>
        <v>Science -3C1</v>
      </c>
    </row>
    <row r="405" spans="1:10" x14ac:dyDescent="0.25">
      <c r="A405" s="29" t="str">
        <f t="shared" si="292"/>
        <v>5Chiều5</v>
      </c>
      <c r="B405" s="29" t="str">
        <f t="shared" si="293"/>
        <v>5Chiều5</v>
      </c>
      <c r="C405" s="29" t="str">
        <f t="shared" si="294"/>
        <v/>
      </c>
      <c r="D405" s="29" t="str">
        <f t="shared" si="295"/>
        <v/>
      </c>
      <c r="E405" s="29" t="s">
        <v>13</v>
      </c>
      <c r="F405" s="29">
        <v>5</v>
      </c>
      <c r="G405" s="29" t="s">
        <v>4</v>
      </c>
      <c r="H405" s="29">
        <v>5</v>
      </c>
      <c r="I405" s="36" t="str">
        <f t="shared" si="296"/>
        <v/>
      </c>
      <c r="J405" s="36" t="str">
        <f t="shared" si="297"/>
        <v/>
      </c>
    </row>
    <row r="406" spans="1:10" x14ac:dyDescent="0.25">
      <c r="A406" s="29" t="str">
        <f t="shared" si="292"/>
        <v>6Sáng1</v>
      </c>
      <c r="B406" s="29" t="str">
        <f t="shared" si="293"/>
        <v>6Sáng1Chi</v>
      </c>
      <c r="C406" s="29" t="str">
        <f t="shared" si="294"/>
        <v/>
      </c>
      <c r="D406" s="29" t="str">
        <f t="shared" si="295"/>
        <v/>
      </c>
      <c r="E406" s="29" t="s">
        <v>13</v>
      </c>
      <c r="F406" s="29">
        <v>6</v>
      </c>
      <c r="G406" s="29" t="s">
        <v>3</v>
      </c>
      <c r="H406" s="29">
        <v>1</v>
      </c>
      <c r="I406" s="36" t="str">
        <f t="shared" si="296"/>
        <v>Chi</v>
      </c>
      <c r="J406" s="36" t="str">
        <f t="shared" si="297"/>
        <v>Toán -3C1</v>
      </c>
    </row>
    <row r="407" spans="1:10" x14ac:dyDescent="0.25">
      <c r="A407" s="29" t="str">
        <f t="shared" si="292"/>
        <v>6Sáng2</v>
      </c>
      <c r="B407" s="29" t="str">
        <f t="shared" si="293"/>
        <v>6Sáng2Nguyên</v>
      </c>
      <c r="C407" s="29" t="str">
        <f t="shared" si="294"/>
        <v/>
      </c>
      <c r="D407" s="29" t="str">
        <f t="shared" si="295"/>
        <v/>
      </c>
      <c r="E407" s="29" t="s">
        <v>13</v>
      </c>
      <c r="F407" s="29">
        <v>6</v>
      </c>
      <c r="G407" s="29" t="s">
        <v>3</v>
      </c>
      <c r="H407" s="29">
        <v>2</v>
      </c>
      <c r="I407" s="36" t="str">
        <f t="shared" si="296"/>
        <v>Nguyên</v>
      </c>
      <c r="J407" s="36" t="str">
        <f t="shared" si="297"/>
        <v>Robotics -3C1</v>
      </c>
    </row>
    <row r="408" spans="1:10" x14ac:dyDescent="0.25">
      <c r="A408" s="29" t="str">
        <f t="shared" si="292"/>
        <v>6Sáng3</v>
      </c>
      <c r="B408" s="29" t="str">
        <f t="shared" si="293"/>
        <v>6Sáng3Nhi</v>
      </c>
      <c r="C408" s="29" t="str">
        <f t="shared" si="294"/>
        <v/>
      </c>
      <c r="D408" s="29" t="str">
        <f t="shared" si="295"/>
        <v/>
      </c>
      <c r="E408" s="29" t="s">
        <v>13</v>
      </c>
      <c r="F408" s="29">
        <v>6</v>
      </c>
      <c r="G408" s="29" t="s">
        <v>3</v>
      </c>
      <c r="H408" s="29">
        <v>3</v>
      </c>
      <c r="I408" s="36" t="str">
        <f t="shared" si="296"/>
        <v>Nhi</v>
      </c>
      <c r="J408" s="36" t="str">
        <f t="shared" si="297"/>
        <v>TNXH -3C1</v>
      </c>
    </row>
    <row r="409" spans="1:10" x14ac:dyDescent="0.25">
      <c r="A409" s="29" t="str">
        <f t="shared" si="292"/>
        <v>6Sáng4</v>
      </c>
      <c r="B409" s="29" t="str">
        <f t="shared" si="293"/>
        <v>6Sáng4Bích</v>
      </c>
      <c r="C409" s="29" t="str">
        <f t="shared" si="294"/>
        <v/>
      </c>
      <c r="D409" s="29" t="str">
        <f t="shared" si="295"/>
        <v/>
      </c>
      <c r="E409" s="29" t="s">
        <v>13</v>
      </c>
      <c r="F409" s="29">
        <v>6</v>
      </c>
      <c r="G409" s="29" t="s">
        <v>3</v>
      </c>
      <c r="H409" s="29">
        <v>4</v>
      </c>
      <c r="I409" s="36" t="str">
        <f t="shared" si="296"/>
        <v>Bích</v>
      </c>
      <c r="J409" s="36" t="str">
        <f t="shared" si="297"/>
        <v>GVVN -3C1</v>
      </c>
    </row>
    <row r="410" spans="1:10" x14ac:dyDescent="0.25">
      <c r="A410" s="29" t="str">
        <f t="shared" si="292"/>
        <v>6Sáng5</v>
      </c>
      <c r="B410" s="29" t="str">
        <f t="shared" si="293"/>
        <v>6Sáng5</v>
      </c>
      <c r="C410" s="29" t="str">
        <f t="shared" si="294"/>
        <v/>
      </c>
      <c r="D410" s="29" t="str">
        <f t="shared" si="295"/>
        <v/>
      </c>
      <c r="E410" s="29" t="s">
        <v>13</v>
      </c>
      <c r="F410" s="29">
        <v>6</v>
      </c>
      <c r="G410" s="29" t="s">
        <v>3</v>
      </c>
      <c r="H410" s="29">
        <v>5</v>
      </c>
      <c r="I410" s="36" t="str">
        <f t="shared" si="296"/>
        <v/>
      </c>
      <c r="J410" s="36" t="str">
        <f t="shared" si="297"/>
        <v/>
      </c>
    </row>
    <row r="411" spans="1:10" x14ac:dyDescent="0.25">
      <c r="A411" s="29" t="str">
        <f t="shared" si="292"/>
        <v>6Chiều1</v>
      </c>
      <c r="B411" s="29" t="str">
        <f t="shared" si="293"/>
        <v>6Chiều1Chi</v>
      </c>
      <c r="C411" s="29" t="str">
        <f t="shared" si="294"/>
        <v/>
      </c>
      <c r="D411" s="29" t="str">
        <f t="shared" si="295"/>
        <v/>
      </c>
      <c r="E411" s="29" t="s">
        <v>13</v>
      </c>
      <c r="F411" s="29">
        <v>6</v>
      </c>
      <c r="G411" s="29" t="s">
        <v>4</v>
      </c>
      <c r="H411" s="29">
        <v>1</v>
      </c>
      <c r="I411" s="36" t="str">
        <f t="shared" si="296"/>
        <v>Chi</v>
      </c>
      <c r="J411" s="36" t="str">
        <f t="shared" si="297"/>
        <v>Toán -3C1</v>
      </c>
    </row>
    <row r="412" spans="1:10" x14ac:dyDescent="0.25">
      <c r="A412" s="29" t="str">
        <f t="shared" si="292"/>
        <v>6Chiều2</v>
      </c>
      <c r="B412" s="29" t="str">
        <f t="shared" si="293"/>
        <v>6Chiều2Ly</v>
      </c>
      <c r="C412" s="29" t="str">
        <f t="shared" si="294"/>
        <v/>
      </c>
      <c r="D412" s="29" t="str">
        <f t="shared" si="295"/>
        <v/>
      </c>
      <c r="E412" s="29" t="s">
        <v>13</v>
      </c>
      <c r="F412" s="29">
        <v>6</v>
      </c>
      <c r="G412" s="29" t="s">
        <v>4</v>
      </c>
      <c r="H412" s="29">
        <v>2</v>
      </c>
      <c r="I412" s="36" t="str">
        <f t="shared" si="296"/>
        <v>Ly</v>
      </c>
      <c r="J412" s="36" t="str">
        <f t="shared" si="297"/>
        <v>TViệt -3C1</v>
      </c>
    </row>
    <row r="413" spans="1:10" x14ac:dyDescent="0.25">
      <c r="A413" s="29" t="str">
        <f t="shared" si="292"/>
        <v>6Chiều3</v>
      </c>
      <c r="B413" s="29" t="str">
        <f t="shared" si="293"/>
        <v>6Chiều3Bích</v>
      </c>
      <c r="C413" s="29" t="str">
        <f t="shared" si="294"/>
        <v/>
      </c>
      <c r="D413" s="29" t="str">
        <f t="shared" si="295"/>
        <v/>
      </c>
      <c r="E413" s="29" t="s">
        <v>13</v>
      </c>
      <c r="F413" s="29">
        <v>6</v>
      </c>
      <c r="G413" s="29" t="s">
        <v>4</v>
      </c>
      <c r="H413" s="29">
        <v>3</v>
      </c>
      <c r="I413" s="36" t="str">
        <f t="shared" si="296"/>
        <v>Bích</v>
      </c>
      <c r="J413" s="36" t="str">
        <f t="shared" si="297"/>
        <v>GVVN -3C1</v>
      </c>
    </row>
    <row r="414" spans="1:10" x14ac:dyDescent="0.25">
      <c r="A414" s="29" t="str">
        <f t="shared" si="292"/>
        <v>6Chiều4</v>
      </c>
      <c r="B414" s="29" t="str">
        <f t="shared" si="293"/>
        <v>6Chiều4Ly</v>
      </c>
      <c r="C414" s="29" t="str">
        <f t="shared" si="294"/>
        <v/>
      </c>
      <c r="D414" s="29" t="str">
        <f t="shared" si="295"/>
        <v/>
      </c>
      <c r="E414" s="29" t="s">
        <v>13</v>
      </c>
      <c r="F414" s="29">
        <v>6</v>
      </c>
      <c r="G414" s="29" t="s">
        <v>4</v>
      </c>
      <c r="H414" s="29">
        <v>4</v>
      </c>
      <c r="I414" s="36" t="str">
        <f t="shared" si="296"/>
        <v>Ly</v>
      </c>
      <c r="J414" s="36" t="str">
        <f t="shared" si="297"/>
        <v>HĐTN -3C1</v>
      </c>
    </row>
    <row r="415" spans="1:10" x14ac:dyDescent="0.25">
      <c r="A415" s="29" t="str">
        <f t="shared" si="292"/>
        <v>6Chiều5</v>
      </c>
      <c r="B415" s="29" t="str">
        <f t="shared" si="293"/>
        <v>6Chiều5</v>
      </c>
      <c r="C415" s="29" t="str">
        <f t="shared" si="294"/>
        <v/>
      </c>
      <c r="D415" s="29" t="str">
        <f t="shared" si="295"/>
        <v/>
      </c>
      <c r="E415" s="29" t="s">
        <v>13</v>
      </c>
      <c r="F415" s="29">
        <v>6</v>
      </c>
      <c r="G415" s="29" t="s">
        <v>4</v>
      </c>
      <c r="H415" s="29">
        <v>5</v>
      </c>
      <c r="I415" s="36" t="str">
        <f t="shared" si="296"/>
        <v/>
      </c>
      <c r="J415" s="36" t="str">
        <f t="shared" si="297"/>
        <v/>
      </c>
    </row>
    <row r="416" spans="1:10" x14ac:dyDescent="0.25">
      <c r="A416" s="29" t="str">
        <f t="shared" si="292"/>
        <v>7Sáng1</v>
      </c>
      <c r="B416" s="29" t="str">
        <f t="shared" si="293"/>
        <v>7Sáng1</v>
      </c>
      <c r="C416" s="29" t="str">
        <f t="shared" si="294"/>
        <v/>
      </c>
      <c r="D416" s="29" t="str">
        <f t="shared" si="295"/>
        <v/>
      </c>
      <c r="E416" s="29" t="s">
        <v>13</v>
      </c>
      <c r="F416" s="29">
        <v>7</v>
      </c>
      <c r="G416" s="29" t="s">
        <v>3</v>
      </c>
      <c r="H416" s="29">
        <v>1</v>
      </c>
      <c r="I416" s="36" t="str">
        <f t="shared" si="296"/>
        <v/>
      </c>
      <c r="J416" s="36" t="str">
        <f t="shared" si="297"/>
        <v/>
      </c>
    </row>
    <row r="417" spans="1:10" x14ac:dyDescent="0.25">
      <c r="A417" s="29" t="str">
        <f t="shared" si="292"/>
        <v>7Sáng2</v>
      </c>
      <c r="B417" s="29" t="str">
        <f t="shared" si="293"/>
        <v>7Sáng2</v>
      </c>
      <c r="C417" s="29" t="str">
        <f t="shared" si="294"/>
        <v/>
      </c>
      <c r="D417" s="29" t="str">
        <f t="shared" si="295"/>
        <v/>
      </c>
      <c r="E417" s="29" t="s">
        <v>13</v>
      </c>
      <c r="F417" s="29">
        <v>7</v>
      </c>
      <c r="G417" s="29" t="s">
        <v>3</v>
      </c>
      <c r="H417" s="29">
        <v>2</v>
      </c>
      <c r="I417" s="36" t="str">
        <f t="shared" si="296"/>
        <v/>
      </c>
      <c r="J417" s="36" t="str">
        <f t="shared" si="297"/>
        <v/>
      </c>
    </row>
    <row r="418" spans="1:10" x14ac:dyDescent="0.25">
      <c r="A418" s="29" t="str">
        <f t="shared" si="292"/>
        <v>7Sáng3</v>
      </c>
      <c r="B418" s="29" t="str">
        <f t="shared" si="293"/>
        <v>7Sáng3</v>
      </c>
      <c r="C418" s="29" t="str">
        <f t="shared" si="294"/>
        <v/>
      </c>
      <c r="D418" s="29" t="str">
        <f t="shared" si="295"/>
        <v/>
      </c>
      <c r="E418" s="29" t="s">
        <v>13</v>
      </c>
      <c r="F418" s="29">
        <v>7</v>
      </c>
      <c r="G418" s="29" t="s">
        <v>3</v>
      </c>
      <c r="H418" s="29">
        <v>3</v>
      </c>
      <c r="I418" s="36" t="str">
        <f t="shared" si="296"/>
        <v/>
      </c>
      <c r="J418" s="36" t="str">
        <f t="shared" si="297"/>
        <v/>
      </c>
    </row>
    <row r="419" spans="1:10" x14ac:dyDescent="0.25">
      <c r="A419" s="29" t="str">
        <f t="shared" si="292"/>
        <v>7Sáng4</v>
      </c>
      <c r="B419" s="29" t="str">
        <f t="shared" si="293"/>
        <v>7Sáng4</v>
      </c>
      <c r="C419" s="29" t="str">
        <f t="shared" si="294"/>
        <v/>
      </c>
      <c r="D419" s="29" t="str">
        <f t="shared" si="295"/>
        <v/>
      </c>
      <c r="E419" s="29" t="s">
        <v>13</v>
      </c>
      <c r="F419" s="29">
        <v>7</v>
      </c>
      <c r="G419" s="29" t="s">
        <v>3</v>
      </c>
      <c r="H419" s="29">
        <v>4</v>
      </c>
      <c r="I419" s="36" t="str">
        <f t="shared" si="296"/>
        <v/>
      </c>
      <c r="J419" s="36" t="str">
        <f t="shared" si="297"/>
        <v/>
      </c>
    </row>
    <row r="420" spans="1:10" x14ac:dyDescent="0.25">
      <c r="A420" s="29" t="str">
        <f t="shared" si="292"/>
        <v>7Sáng5</v>
      </c>
      <c r="B420" s="29" t="str">
        <f t="shared" si="293"/>
        <v>7Sáng5</v>
      </c>
      <c r="C420" s="29" t="str">
        <f t="shared" si="294"/>
        <v/>
      </c>
      <c r="D420" s="29" t="str">
        <f t="shared" si="295"/>
        <v/>
      </c>
      <c r="E420" s="29" t="s">
        <v>13</v>
      </c>
      <c r="F420" s="29">
        <v>7</v>
      </c>
      <c r="G420" s="29" t="s">
        <v>3</v>
      </c>
      <c r="H420" s="29">
        <v>5</v>
      </c>
      <c r="I420" s="36" t="str">
        <f t="shared" si="296"/>
        <v/>
      </c>
      <c r="J420" s="36" t="str">
        <f t="shared" si="297"/>
        <v/>
      </c>
    </row>
    <row r="421" spans="1:10" x14ac:dyDescent="0.25">
      <c r="A421" s="29" t="str">
        <f t="shared" si="292"/>
        <v>7Chiều1</v>
      </c>
      <c r="B421" s="29" t="str">
        <f t="shared" si="293"/>
        <v>7Chiều1</v>
      </c>
      <c r="C421" s="29" t="str">
        <f t="shared" si="294"/>
        <v/>
      </c>
      <c r="D421" s="29" t="str">
        <f t="shared" si="295"/>
        <v/>
      </c>
      <c r="E421" s="29" t="s">
        <v>13</v>
      </c>
      <c r="F421" s="29">
        <v>7</v>
      </c>
      <c r="G421" s="29" t="s">
        <v>4</v>
      </c>
      <c r="H421" s="29">
        <v>1</v>
      </c>
      <c r="I421" s="36" t="str">
        <f t="shared" si="296"/>
        <v/>
      </c>
      <c r="J421" s="36" t="str">
        <f t="shared" si="297"/>
        <v/>
      </c>
    </row>
    <row r="422" spans="1:10" x14ac:dyDescent="0.25">
      <c r="A422" s="29" t="str">
        <f t="shared" si="292"/>
        <v>7Chiều2</v>
      </c>
      <c r="B422" s="29" t="str">
        <f t="shared" si="293"/>
        <v>7Chiều2</v>
      </c>
      <c r="C422" s="29" t="str">
        <f t="shared" si="294"/>
        <v/>
      </c>
      <c r="D422" s="29" t="str">
        <f t="shared" si="295"/>
        <v/>
      </c>
      <c r="E422" s="29" t="s">
        <v>13</v>
      </c>
      <c r="F422" s="29">
        <v>7</v>
      </c>
      <c r="G422" s="29" t="s">
        <v>4</v>
      </c>
      <c r="H422" s="29">
        <v>2</v>
      </c>
      <c r="I422" s="36" t="str">
        <f t="shared" si="296"/>
        <v/>
      </c>
      <c r="J422" s="36" t="str">
        <f t="shared" si="297"/>
        <v/>
      </c>
    </row>
    <row r="423" spans="1:10" x14ac:dyDescent="0.25">
      <c r="A423" s="29" t="str">
        <f t="shared" si="292"/>
        <v>7Chiều3</v>
      </c>
      <c r="B423" s="29" t="str">
        <f t="shared" si="293"/>
        <v>7Chiều3</v>
      </c>
      <c r="C423" s="29" t="str">
        <f t="shared" si="294"/>
        <v/>
      </c>
      <c r="D423" s="29" t="str">
        <f t="shared" si="295"/>
        <v/>
      </c>
      <c r="E423" s="29" t="s">
        <v>13</v>
      </c>
      <c r="F423" s="29">
        <v>7</v>
      </c>
      <c r="G423" s="29" t="s">
        <v>4</v>
      </c>
      <c r="H423" s="29">
        <v>3</v>
      </c>
      <c r="I423" s="36" t="str">
        <f t="shared" si="296"/>
        <v/>
      </c>
      <c r="J423" s="36" t="str">
        <f t="shared" si="297"/>
        <v/>
      </c>
    </row>
    <row r="424" spans="1:10" x14ac:dyDescent="0.25">
      <c r="A424" s="29" t="str">
        <f t="shared" si="292"/>
        <v>7Chiều4</v>
      </c>
      <c r="B424" s="29" t="e">
        <f t="shared" si="293"/>
        <v>#VALUE!</v>
      </c>
      <c r="C424" s="29" t="str">
        <f t="shared" si="294"/>
        <v/>
      </c>
      <c r="D424" s="29" t="str">
        <f t="shared" si="295"/>
        <v/>
      </c>
      <c r="E424" s="29" t="s">
        <v>13</v>
      </c>
      <c r="F424" s="29">
        <v>7</v>
      </c>
      <c r="G424" s="29" t="s">
        <v>4</v>
      </c>
      <c r="H424" s="29">
        <v>4</v>
      </c>
      <c r="I424" s="36" t="e">
        <f t="shared" si="296"/>
        <v>#VALUE!</v>
      </c>
      <c r="J424" s="36" t="e">
        <f t="shared" si="297"/>
        <v>#VALUE!</v>
      </c>
    </row>
    <row r="425" spans="1:10" x14ac:dyDescent="0.25">
      <c r="A425" s="29" t="str">
        <f t="shared" si="292"/>
        <v>7Chiều5</v>
      </c>
      <c r="B425" s="29" t="e">
        <f t="shared" si="293"/>
        <v>#VALUE!</v>
      </c>
      <c r="C425" s="29" t="str">
        <f t="shared" si="294"/>
        <v/>
      </c>
      <c r="D425" s="29" t="str">
        <f t="shared" si="295"/>
        <v/>
      </c>
      <c r="E425" s="29" t="s">
        <v>13</v>
      </c>
      <c r="F425" s="29">
        <v>7</v>
      </c>
      <c r="G425" s="29" t="s">
        <v>4</v>
      </c>
      <c r="H425" s="29">
        <v>5</v>
      </c>
      <c r="I425" s="36" t="e">
        <f t="shared" si="296"/>
        <v>#VALUE!</v>
      </c>
      <c r="J425" s="36" t="e">
        <f t="shared" si="297"/>
        <v>#VALUE!</v>
      </c>
    </row>
    <row r="426" spans="1:10" x14ac:dyDescent="0.25">
      <c r="A426" s="29" t="str">
        <f t="shared" si="292"/>
        <v>2Sáng1</v>
      </c>
      <c r="B426" s="29" t="str">
        <f t="shared" si="293"/>
        <v>2Sáng1Quỳnh</v>
      </c>
      <c r="C426" s="29" t="str">
        <f t="shared" si="294"/>
        <v/>
      </c>
      <c r="D426" s="29" t="str">
        <f t="shared" si="295"/>
        <v/>
      </c>
      <c r="E426" s="29" t="s">
        <v>67</v>
      </c>
      <c r="F426" s="29">
        <v>2</v>
      </c>
      <c r="G426" s="29" t="s">
        <v>3</v>
      </c>
      <c r="H426" s="29">
        <v>1</v>
      </c>
      <c r="I426" s="36" t="str">
        <f t="shared" ref="I426:I457" si="298">Z66</f>
        <v>Quỳnh</v>
      </c>
      <c r="J426" s="36" t="str">
        <f t="shared" ref="J426:J457" si="299">AA66</f>
        <v>GVVN -4C1</v>
      </c>
    </row>
    <row r="427" spans="1:10" x14ac:dyDescent="0.25">
      <c r="A427" s="29" t="str">
        <f t="shared" si="292"/>
        <v>2Sáng2</v>
      </c>
      <c r="B427" s="29" t="str">
        <f t="shared" si="293"/>
        <v>2Sáng2Ly</v>
      </c>
      <c r="C427" s="29" t="str">
        <f t="shared" si="294"/>
        <v/>
      </c>
      <c r="D427" s="29" t="str">
        <f t="shared" si="295"/>
        <v/>
      </c>
      <c r="E427" s="29" t="s">
        <v>67</v>
      </c>
      <c r="F427" s="29">
        <v>2</v>
      </c>
      <c r="G427" s="29" t="s">
        <v>3</v>
      </c>
      <c r="H427" s="29">
        <v>2</v>
      </c>
      <c r="I427" s="36" t="str">
        <f t="shared" si="298"/>
        <v>Ly</v>
      </c>
      <c r="J427" s="36" t="str">
        <f t="shared" si="299"/>
        <v>TViệt -4C1</v>
      </c>
    </row>
    <row r="428" spans="1:10" x14ac:dyDescent="0.25">
      <c r="A428" s="29" t="str">
        <f t="shared" si="292"/>
        <v>2Sáng3</v>
      </c>
      <c r="B428" s="29" t="str">
        <f t="shared" si="293"/>
        <v>2Sáng3Phương Anh</v>
      </c>
      <c r="C428" s="29" t="str">
        <f t="shared" si="294"/>
        <v/>
      </c>
      <c r="D428" s="29" t="str">
        <f t="shared" si="295"/>
        <v/>
      </c>
      <c r="E428" s="29" t="s">
        <v>67</v>
      </c>
      <c r="F428" s="29">
        <v>2</v>
      </c>
      <c r="G428" s="29" t="s">
        <v>3</v>
      </c>
      <c r="H428" s="29">
        <v>3</v>
      </c>
      <c r="I428" s="36" t="str">
        <f t="shared" si="298"/>
        <v>Phương Anh</v>
      </c>
      <c r="J428" s="36" t="str">
        <f t="shared" si="299"/>
        <v>HĐTN -4C1</v>
      </c>
    </row>
    <row r="429" spans="1:10" x14ac:dyDescent="0.25">
      <c r="A429" s="29" t="str">
        <f t="shared" si="292"/>
        <v>2Sáng4Tay</v>
      </c>
      <c r="B429" s="29" t="str">
        <f t="shared" si="293"/>
        <v>2Sáng4Quỳnh</v>
      </c>
      <c r="C429" s="29" t="str">
        <f t="shared" si="294"/>
        <v>Tay</v>
      </c>
      <c r="D429" s="29" t="str">
        <f t="shared" si="295"/>
        <v>Quỳnh</v>
      </c>
      <c r="E429" s="29" t="s">
        <v>67</v>
      </c>
      <c r="F429" s="29">
        <v>2</v>
      </c>
      <c r="G429" s="29" t="s">
        <v>3</v>
      </c>
      <c r="H429" s="29">
        <v>4</v>
      </c>
      <c r="I429" s="36" t="str">
        <f t="shared" si="298"/>
        <v>Tay, Quỳnh</v>
      </c>
      <c r="J429" s="36" t="str">
        <f t="shared" si="299"/>
        <v>GVNN -4C1</v>
      </c>
    </row>
    <row r="430" spans="1:10" x14ac:dyDescent="0.25">
      <c r="A430" s="29" t="str">
        <f t="shared" si="292"/>
        <v>2Sáng5</v>
      </c>
      <c r="B430" s="29" t="str">
        <f t="shared" si="293"/>
        <v>2Sáng5</v>
      </c>
      <c r="C430" s="29" t="str">
        <f t="shared" si="294"/>
        <v/>
      </c>
      <c r="D430" s="29" t="str">
        <f t="shared" si="295"/>
        <v/>
      </c>
      <c r="E430" s="29" t="s">
        <v>67</v>
      </c>
      <c r="F430" s="29">
        <v>2</v>
      </c>
      <c r="G430" s="29" t="s">
        <v>3</v>
      </c>
      <c r="H430" s="29">
        <v>5</v>
      </c>
      <c r="I430" s="36" t="str">
        <f t="shared" si="298"/>
        <v/>
      </c>
      <c r="J430" s="36" t="str">
        <f t="shared" si="299"/>
        <v/>
      </c>
    </row>
    <row r="431" spans="1:10" x14ac:dyDescent="0.25">
      <c r="A431" s="29" t="str">
        <f t="shared" si="292"/>
        <v>2Chiều1</v>
      </c>
      <c r="B431" s="29" t="str">
        <f t="shared" si="293"/>
        <v>2Chiều1Phương Anh</v>
      </c>
      <c r="C431" s="29" t="str">
        <f t="shared" si="294"/>
        <v/>
      </c>
      <c r="D431" s="29" t="str">
        <f t="shared" si="295"/>
        <v/>
      </c>
      <c r="E431" s="29" t="s">
        <v>67</v>
      </c>
      <c r="F431" s="29">
        <v>2</v>
      </c>
      <c r="G431" s="29" t="s">
        <v>4</v>
      </c>
      <c r="H431" s="29">
        <v>1</v>
      </c>
      <c r="I431" s="36" t="str">
        <f t="shared" si="298"/>
        <v>Phương Anh</v>
      </c>
      <c r="J431" s="36" t="str">
        <f t="shared" si="299"/>
        <v>Toán -4C1</v>
      </c>
    </row>
    <row r="432" spans="1:10" x14ac:dyDescent="0.25">
      <c r="A432" s="29" t="str">
        <f t="shared" si="292"/>
        <v>2Chiều2</v>
      </c>
      <c r="B432" s="29" t="str">
        <f t="shared" si="293"/>
        <v>2Chiều2Ly</v>
      </c>
      <c r="C432" s="29" t="str">
        <f t="shared" si="294"/>
        <v/>
      </c>
      <c r="D432" s="29" t="str">
        <f t="shared" si="295"/>
        <v/>
      </c>
      <c r="E432" s="29" t="s">
        <v>67</v>
      </c>
      <c r="F432" s="29">
        <v>2</v>
      </c>
      <c r="G432" s="29" t="s">
        <v>4</v>
      </c>
      <c r="H432" s="29">
        <v>2</v>
      </c>
      <c r="I432" s="36" t="str">
        <f t="shared" si="298"/>
        <v>Ly</v>
      </c>
      <c r="J432" s="36" t="str">
        <f t="shared" si="299"/>
        <v>TViệt -4C1</v>
      </c>
    </row>
    <row r="433" spans="1:10" x14ac:dyDescent="0.25">
      <c r="A433" s="29" t="str">
        <f t="shared" si="292"/>
        <v>2Chiều3</v>
      </c>
      <c r="B433" s="29" t="str">
        <f t="shared" si="293"/>
        <v>2Chiều3Thanh</v>
      </c>
      <c r="C433" s="29" t="str">
        <f t="shared" si="294"/>
        <v/>
      </c>
      <c r="D433" s="29" t="str">
        <f t="shared" si="295"/>
        <v/>
      </c>
      <c r="E433" s="29" t="s">
        <v>67</v>
      </c>
      <c r="F433" s="29">
        <v>2</v>
      </c>
      <c r="G433" s="29" t="s">
        <v>4</v>
      </c>
      <c r="H433" s="29">
        <v>3</v>
      </c>
      <c r="I433" s="36" t="str">
        <f t="shared" si="298"/>
        <v>Thanh</v>
      </c>
      <c r="J433" s="36" t="str">
        <f t="shared" si="299"/>
        <v>Tiếng Trung -4C1</v>
      </c>
    </row>
    <row r="434" spans="1:10" x14ac:dyDescent="0.25">
      <c r="A434" s="29" t="str">
        <f t="shared" si="292"/>
        <v>2Chiều4</v>
      </c>
      <c r="B434" s="29" t="str">
        <f t="shared" si="293"/>
        <v>2Chiều4Ly</v>
      </c>
      <c r="C434" s="29" t="str">
        <f t="shared" si="294"/>
        <v/>
      </c>
      <c r="D434" s="29" t="str">
        <f t="shared" si="295"/>
        <v/>
      </c>
      <c r="E434" s="29" t="s">
        <v>67</v>
      </c>
      <c r="F434" s="29">
        <v>2</v>
      </c>
      <c r="G434" s="29" t="s">
        <v>4</v>
      </c>
      <c r="H434" s="29">
        <v>4</v>
      </c>
      <c r="I434" s="36" t="str">
        <f t="shared" si="298"/>
        <v>Ly</v>
      </c>
      <c r="J434" s="36" t="str">
        <f t="shared" si="299"/>
        <v>Đạo đức -4C1</v>
      </c>
    </row>
    <row r="435" spans="1:10" x14ac:dyDescent="0.25">
      <c r="A435" s="29" t="str">
        <f t="shared" si="292"/>
        <v>2Chiều5</v>
      </c>
      <c r="B435" s="29" t="str">
        <f t="shared" si="293"/>
        <v>2Chiều5</v>
      </c>
      <c r="C435" s="29" t="str">
        <f t="shared" si="294"/>
        <v/>
      </c>
      <c r="D435" s="29" t="str">
        <f t="shared" si="295"/>
        <v/>
      </c>
      <c r="E435" s="29" t="s">
        <v>67</v>
      </c>
      <c r="F435" s="29">
        <v>2</v>
      </c>
      <c r="G435" s="29" t="s">
        <v>4</v>
      </c>
      <c r="H435" s="29">
        <v>5</v>
      </c>
      <c r="I435" s="36" t="str">
        <f t="shared" si="298"/>
        <v/>
      </c>
      <c r="J435" s="36" t="str">
        <f t="shared" si="299"/>
        <v/>
      </c>
    </row>
    <row r="436" spans="1:10" x14ac:dyDescent="0.25">
      <c r="A436" s="29" t="str">
        <f t="shared" si="292"/>
        <v>3Sáng1</v>
      </c>
      <c r="B436" s="29" t="str">
        <f t="shared" si="293"/>
        <v>3Sáng1Trang ÂN</v>
      </c>
      <c r="C436" s="29" t="str">
        <f t="shared" si="294"/>
        <v/>
      </c>
      <c r="D436" s="29" t="str">
        <f t="shared" si="295"/>
        <v/>
      </c>
      <c r="E436" s="29" t="s">
        <v>67</v>
      </c>
      <c r="F436" s="29">
        <v>3</v>
      </c>
      <c r="G436" s="29" t="s">
        <v>3</v>
      </c>
      <c r="H436" s="29">
        <v>1</v>
      </c>
      <c r="I436" s="36" t="str">
        <f t="shared" si="298"/>
        <v>Trang ÂN</v>
      </c>
      <c r="J436" s="36" t="str">
        <f t="shared" si="299"/>
        <v>Nhạc -4C1</v>
      </c>
    </row>
    <row r="437" spans="1:10" x14ac:dyDescent="0.25">
      <c r="A437" s="29" t="str">
        <f t="shared" si="292"/>
        <v>3Sáng2Tay</v>
      </c>
      <c r="B437" s="29" t="str">
        <f t="shared" si="293"/>
        <v>3Sáng2Quỳnh</v>
      </c>
      <c r="C437" s="29" t="str">
        <f t="shared" si="294"/>
        <v>Tay</v>
      </c>
      <c r="D437" s="29" t="str">
        <f t="shared" si="295"/>
        <v>Quỳnh</v>
      </c>
      <c r="E437" s="29" t="s">
        <v>67</v>
      </c>
      <c r="F437" s="29">
        <v>3</v>
      </c>
      <c r="G437" s="29" t="s">
        <v>3</v>
      </c>
      <c r="H437" s="29">
        <v>2</v>
      </c>
      <c r="I437" s="36" t="str">
        <f t="shared" si="298"/>
        <v>Tay, Quỳnh</v>
      </c>
      <c r="J437" s="36" t="str">
        <f t="shared" si="299"/>
        <v>GVNN -4C1</v>
      </c>
    </row>
    <row r="438" spans="1:10" x14ac:dyDescent="0.25">
      <c r="A438" s="29" t="str">
        <f t="shared" si="292"/>
        <v>3Sáng3</v>
      </c>
      <c r="B438" s="29" t="str">
        <f t="shared" si="293"/>
        <v>3Sáng3Ly</v>
      </c>
      <c r="C438" s="29" t="str">
        <f t="shared" si="294"/>
        <v/>
      </c>
      <c r="D438" s="29" t="str">
        <f t="shared" si="295"/>
        <v/>
      </c>
      <c r="E438" s="29" t="s">
        <v>67</v>
      </c>
      <c r="F438" s="29">
        <v>3</v>
      </c>
      <c r="G438" s="29" t="s">
        <v>3</v>
      </c>
      <c r="H438" s="29">
        <v>3</v>
      </c>
      <c r="I438" s="36" t="str">
        <f t="shared" si="298"/>
        <v>Ly</v>
      </c>
      <c r="J438" s="36" t="str">
        <f t="shared" si="299"/>
        <v>LS&amp;ĐL -4C1</v>
      </c>
    </row>
    <row r="439" spans="1:10" x14ac:dyDescent="0.25">
      <c r="A439" s="29" t="str">
        <f t="shared" si="292"/>
        <v>3Sáng4</v>
      </c>
      <c r="B439" s="29" t="str">
        <f t="shared" si="293"/>
        <v>3Sáng4Phương Anh</v>
      </c>
      <c r="C439" s="29" t="str">
        <f t="shared" si="294"/>
        <v/>
      </c>
      <c r="D439" s="29" t="str">
        <f t="shared" si="295"/>
        <v/>
      </c>
      <c r="E439" s="29" t="s">
        <v>67</v>
      </c>
      <c r="F439" s="29">
        <v>3</v>
      </c>
      <c r="G439" s="29" t="s">
        <v>3</v>
      </c>
      <c r="H439" s="29">
        <v>4</v>
      </c>
      <c r="I439" s="36" t="str">
        <f t="shared" si="298"/>
        <v>Phương Anh</v>
      </c>
      <c r="J439" s="36" t="str">
        <f t="shared" si="299"/>
        <v>Toán -4C1</v>
      </c>
    </row>
    <row r="440" spans="1:10" x14ac:dyDescent="0.25">
      <c r="A440" s="29" t="str">
        <f t="shared" si="292"/>
        <v>3Sáng5</v>
      </c>
      <c r="B440" s="29" t="str">
        <f t="shared" si="293"/>
        <v>3Sáng5</v>
      </c>
      <c r="C440" s="29" t="str">
        <f t="shared" si="294"/>
        <v/>
      </c>
      <c r="D440" s="29" t="str">
        <f t="shared" si="295"/>
        <v/>
      </c>
      <c r="E440" s="29" t="s">
        <v>67</v>
      </c>
      <c r="F440" s="29">
        <v>3</v>
      </c>
      <c r="G440" s="29" t="s">
        <v>3</v>
      </c>
      <c r="H440" s="29">
        <v>5</v>
      </c>
      <c r="I440" s="36" t="str">
        <f t="shared" si="298"/>
        <v/>
      </c>
      <c r="J440" s="36" t="str">
        <f t="shared" si="299"/>
        <v/>
      </c>
    </row>
    <row r="441" spans="1:10" x14ac:dyDescent="0.25">
      <c r="A441" s="29" t="str">
        <f t="shared" si="292"/>
        <v>3Chiều1</v>
      </c>
      <c r="B441" s="29" t="str">
        <f t="shared" si="293"/>
        <v>3Chiều1Quỳnh</v>
      </c>
      <c r="C441" s="29" t="str">
        <f t="shared" si="294"/>
        <v/>
      </c>
      <c r="D441" s="29" t="str">
        <f t="shared" si="295"/>
        <v/>
      </c>
      <c r="E441" s="29" t="s">
        <v>67</v>
      </c>
      <c r="F441" s="29">
        <v>3</v>
      </c>
      <c r="G441" s="29" t="s">
        <v>4</v>
      </c>
      <c r="H441" s="29">
        <v>1</v>
      </c>
      <c r="I441" s="36" t="str">
        <f t="shared" si="298"/>
        <v>Quỳnh</v>
      </c>
      <c r="J441" s="36" t="str">
        <f t="shared" si="299"/>
        <v>GVVN -4C1</v>
      </c>
    </row>
    <row r="442" spans="1:10" x14ac:dyDescent="0.25">
      <c r="A442" s="29" t="str">
        <f t="shared" si="292"/>
        <v>3Chiều2</v>
      </c>
      <c r="B442" s="29" t="str">
        <f t="shared" si="293"/>
        <v>3Chiều2Phương Anh</v>
      </c>
      <c r="C442" s="29" t="str">
        <f t="shared" si="294"/>
        <v/>
      </c>
      <c r="D442" s="29" t="str">
        <f t="shared" si="295"/>
        <v/>
      </c>
      <c r="E442" s="29" t="s">
        <v>67</v>
      </c>
      <c r="F442" s="29">
        <v>3</v>
      </c>
      <c r="G442" s="29" t="s">
        <v>4</v>
      </c>
      <c r="H442" s="29">
        <v>2</v>
      </c>
      <c r="I442" s="36" t="str">
        <f t="shared" si="298"/>
        <v>Phương Anh</v>
      </c>
      <c r="J442" s="36" t="str">
        <f t="shared" si="299"/>
        <v>Toán -4C1</v>
      </c>
    </row>
    <row r="443" spans="1:10" x14ac:dyDescent="0.25">
      <c r="A443" s="29" t="str">
        <f t="shared" si="292"/>
        <v>3Chiều3</v>
      </c>
      <c r="B443" s="29" t="str">
        <f t="shared" si="293"/>
        <v>3Chiều3Quỳnh</v>
      </c>
      <c r="C443" s="29" t="str">
        <f t="shared" si="294"/>
        <v/>
      </c>
      <c r="D443" s="29" t="str">
        <f t="shared" si="295"/>
        <v/>
      </c>
      <c r="E443" s="29" t="s">
        <v>67</v>
      </c>
      <c r="F443" s="29">
        <v>3</v>
      </c>
      <c r="G443" s="29" t="s">
        <v>4</v>
      </c>
      <c r="H443" s="29">
        <v>3</v>
      </c>
      <c r="I443" s="36" t="str">
        <f t="shared" si="298"/>
        <v>Quỳnh</v>
      </c>
      <c r="J443" s="36" t="str">
        <f t="shared" si="299"/>
        <v>Science -4C1</v>
      </c>
    </row>
    <row r="444" spans="1:10" x14ac:dyDescent="0.25">
      <c r="A444" s="29" t="str">
        <f t="shared" si="292"/>
        <v>3Chiều4</v>
      </c>
      <c r="B444" s="29" t="str">
        <f t="shared" si="293"/>
        <v>3Chiều4Ly</v>
      </c>
      <c r="C444" s="29" t="str">
        <f t="shared" si="294"/>
        <v/>
      </c>
      <c r="D444" s="29" t="str">
        <f t="shared" si="295"/>
        <v/>
      </c>
      <c r="E444" s="29" t="s">
        <v>67</v>
      </c>
      <c r="F444" s="29">
        <v>3</v>
      </c>
      <c r="G444" s="29" t="s">
        <v>4</v>
      </c>
      <c r="H444" s="29">
        <v>4</v>
      </c>
      <c r="I444" s="36" t="str">
        <f t="shared" si="298"/>
        <v>Ly</v>
      </c>
      <c r="J444" s="36" t="str">
        <f t="shared" si="299"/>
        <v>TViệt -4C1</v>
      </c>
    </row>
    <row r="445" spans="1:10" x14ac:dyDescent="0.25">
      <c r="A445" s="29" t="str">
        <f t="shared" si="292"/>
        <v>3Chiều5</v>
      </c>
      <c r="B445" s="29" t="str">
        <f t="shared" si="293"/>
        <v>3Chiều5</v>
      </c>
      <c r="C445" s="29" t="str">
        <f t="shared" si="294"/>
        <v/>
      </c>
      <c r="D445" s="29" t="str">
        <f t="shared" si="295"/>
        <v/>
      </c>
      <c r="E445" s="29" t="s">
        <v>67</v>
      </c>
      <c r="F445" s="29">
        <v>3</v>
      </c>
      <c r="G445" s="29" t="s">
        <v>4</v>
      </c>
      <c r="H445" s="29">
        <v>5</v>
      </c>
      <c r="I445" s="36" t="str">
        <f t="shared" si="298"/>
        <v/>
      </c>
      <c r="J445" s="36" t="str">
        <f t="shared" si="299"/>
        <v/>
      </c>
    </row>
    <row r="446" spans="1:10" x14ac:dyDescent="0.25">
      <c r="A446" s="29" t="str">
        <f t="shared" si="292"/>
        <v>4Sáng1</v>
      </c>
      <c r="B446" s="29" t="str">
        <f t="shared" si="293"/>
        <v>4Sáng1Ly</v>
      </c>
      <c r="C446" s="29" t="str">
        <f t="shared" si="294"/>
        <v/>
      </c>
      <c r="D446" s="29" t="str">
        <f t="shared" si="295"/>
        <v/>
      </c>
      <c r="E446" s="29" t="s">
        <v>67</v>
      </c>
      <c r="F446" s="29">
        <v>4</v>
      </c>
      <c r="G446" s="29" t="s">
        <v>3</v>
      </c>
      <c r="H446" s="29">
        <v>1</v>
      </c>
      <c r="I446" s="36" t="str">
        <f t="shared" si="298"/>
        <v>Ly</v>
      </c>
      <c r="J446" s="36" t="str">
        <f t="shared" si="299"/>
        <v>TViệt -4C1</v>
      </c>
    </row>
    <row r="447" spans="1:10" x14ac:dyDescent="0.25">
      <c r="A447" s="29" t="str">
        <f t="shared" ref="A447:A510" si="300">F447&amp;G447&amp;H447&amp;C447</f>
        <v>4Sáng2</v>
      </c>
      <c r="B447" s="29" t="str">
        <f t="shared" ref="B447:B510" si="301">IF(D447="",F447&amp;G447&amp;H447&amp;I447,F447&amp;G447&amp;H447&amp;D447)</f>
        <v>4Sáng2Quỳnh</v>
      </c>
      <c r="C447" s="29" t="str">
        <f t="shared" ref="C447:C510" si="302">IFERROR(LEFT(I447,FIND(",",I447)-1),"")</f>
        <v/>
      </c>
      <c r="D447" s="29" t="str">
        <f t="shared" ref="D447:D510" si="303">IF(C447="","",RIGHT(I447,LEN(I447)-FIND(",",I447)-1))</f>
        <v/>
      </c>
      <c r="E447" s="29" t="s">
        <v>67</v>
      </c>
      <c r="F447" s="29">
        <v>4</v>
      </c>
      <c r="G447" s="29" t="s">
        <v>3</v>
      </c>
      <c r="H447" s="29">
        <v>2</v>
      </c>
      <c r="I447" s="36" t="str">
        <f t="shared" si="298"/>
        <v>Quỳnh</v>
      </c>
      <c r="J447" s="36" t="str">
        <f t="shared" si="299"/>
        <v>GVVN -4C1</v>
      </c>
    </row>
    <row r="448" spans="1:10" x14ac:dyDescent="0.25">
      <c r="A448" s="29" t="str">
        <f t="shared" si="300"/>
        <v>4Sáng3</v>
      </c>
      <c r="B448" s="29" t="str">
        <f t="shared" si="301"/>
        <v>4Sáng3Phương</v>
      </c>
      <c r="C448" s="29" t="str">
        <f t="shared" si="302"/>
        <v/>
      </c>
      <c r="D448" s="29" t="str">
        <f t="shared" si="303"/>
        <v/>
      </c>
      <c r="E448" s="29" t="s">
        <v>67</v>
      </c>
      <c r="F448" s="29">
        <v>4</v>
      </c>
      <c r="G448" s="29" t="s">
        <v>3</v>
      </c>
      <c r="H448" s="29">
        <v>3</v>
      </c>
      <c r="I448" s="36" t="str">
        <f t="shared" si="298"/>
        <v>Phương</v>
      </c>
      <c r="J448" s="36" t="str">
        <f t="shared" si="299"/>
        <v>Mĩ thuật -4C1</v>
      </c>
    </row>
    <row r="449" spans="1:10" x14ac:dyDescent="0.25">
      <c r="A449" s="29" t="str">
        <f t="shared" si="300"/>
        <v>4Sáng4</v>
      </c>
      <c r="B449" s="29" t="str">
        <f t="shared" si="301"/>
        <v>4Sáng4Phương Anh</v>
      </c>
      <c r="C449" s="29" t="str">
        <f t="shared" si="302"/>
        <v/>
      </c>
      <c r="D449" s="29" t="str">
        <f t="shared" si="303"/>
        <v/>
      </c>
      <c r="E449" s="29" t="s">
        <v>67</v>
      </c>
      <c r="F449" s="29">
        <v>4</v>
      </c>
      <c r="G449" s="29" t="s">
        <v>3</v>
      </c>
      <c r="H449" s="29">
        <v>4</v>
      </c>
      <c r="I449" s="36" t="str">
        <f t="shared" si="298"/>
        <v>Phương Anh</v>
      </c>
      <c r="J449" s="36" t="str">
        <f t="shared" si="299"/>
        <v>Toán -4C1</v>
      </c>
    </row>
    <row r="450" spans="1:10" x14ac:dyDescent="0.25">
      <c r="A450" s="29" t="str">
        <f t="shared" si="300"/>
        <v>4Sáng5</v>
      </c>
      <c r="B450" s="29" t="str">
        <f t="shared" si="301"/>
        <v>4Sáng5</v>
      </c>
      <c r="C450" s="29" t="str">
        <f t="shared" si="302"/>
        <v/>
      </c>
      <c r="D450" s="29" t="str">
        <f t="shared" si="303"/>
        <v/>
      </c>
      <c r="E450" s="29" t="s">
        <v>67</v>
      </c>
      <c r="F450" s="29">
        <v>4</v>
      </c>
      <c r="G450" s="29" t="s">
        <v>3</v>
      </c>
      <c r="H450" s="29">
        <v>5</v>
      </c>
      <c r="I450" s="36" t="str">
        <f t="shared" si="298"/>
        <v/>
      </c>
      <c r="J450" s="36" t="str">
        <f t="shared" si="299"/>
        <v/>
      </c>
    </row>
    <row r="451" spans="1:10" x14ac:dyDescent="0.25">
      <c r="A451" s="29" t="str">
        <f t="shared" si="300"/>
        <v>4Chiều1</v>
      </c>
      <c r="B451" s="29" t="str">
        <f t="shared" si="301"/>
        <v>4Chiều1Phương Anh</v>
      </c>
      <c r="C451" s="29" t="str">
        <f t="shared" si="302"/>
        <v/>
      </c>
      <c r="D451" s="29" t="str">
        <f t="shared" si="303"/>
        <v/>
      </c>
      <c r="E451" s="29" t="s">
        <v>67</v>
      </c>
      <c r="F451" s="29">
        <v>4</v>
      </c>
      <c r="G451" s="29" t="s">
        <v>4</v>
      </c>
      <c r="H451" s="29">
        <v>1</v>
      </c>
      <c r="I451" s="36" t="str">
        <f t="shared" si="298"/>
        <v>Phương Anh</v>
      </c>
      <c r="J451" s="36" t="str">
        <f t="shared" si="299"/>
        <v>Toán -4C1</v>
      </c>
    </row>
    <row r="452" spans="1:10" x14ac:dyDescent="0.25">
      <c r="A452" s="29" t="str">
        <f t="shared" si="300"/>
        <v>4Chiều2</v>
      </c>
      <c r="B452" s="29" t="str">
        <f t="shared" si="301"/>
        <v>4Chiều2Quỳnh</v>
      </c>
      <c r="C452" s="29" t="str">
        <f t="shared" si="302"/>
        <v/>
      </c>
      <c r="D452" s="29" t="str">
        <f t="shared" si="303"/>
        <v/>
      </c>
      <c r="E452" s="29" t="s">
        <v>67</v>
      </c>
      <c r="F452" s="29">
        <v>4</v>
      </c>
      <c r="G452" s="29" t="s">
        <v>4</v>
      </c>
      <c r="H452" s="29">
        <v>2</v>
      </c>
      <c r="I452" s="36" t="str">
        <f t="shared" si="298"/>
        <v>Quỳnh</v>
      </c>
      <c r="J452" s="36" t="str">
        <f t="shared" si="299"/>
        <v>Science -4C1</v>
      </c>
    </row>
    <row r="453" spans="1:10" x14ac:dyDescent="0.25">
      <c r="A453" s="29" t="str">
        <f t="shared" si="300"/>
        <v>4Chiều3</v>
      </c>
      <c r="B453" s="29" t="str">
        <f t="shared" si="301"/>
        <v>4Chiều3Nguyên</v>
      </c>
      <c r="C453" s="29" t="str">
        <f t="shared" si="302"/>
        <v/>
      </c>
      <c r="D453" s="29" t="str">
        <f t="shared" si="303"/>
        <v/>
      </c>
      <c r="E453" s="29" t="s">
        <v>67</v>
      </c>
      <c r="F453" s="29">
        <v>4</v>
      </c>
      <c r="G453" s="29" t="s">
        <v>4</v>
      </c>
      <c r="H453" s="29">
        <v>3</v>
      </c>
      <c r="I453" s="36" t="str">
        <f t="shared" si="298"/>
        <v>Nguyên</v>
      </c>
      <c r="J453" s="36" t="str">
        <f t="shared" si="299"/>
        <v>Tin -4C1</v>
      </c>
    </row>
    <row r="454" spans="1:10" x14ac:dyDescent="0.25">
      <c r="A454" s="29" t="str">
        <f t="shared" si="300"/>
        <v>4Chiều4Tay</v>
      </c>
      <c r="B454" s="29" t="str">
        <f t="shared" si="301"/>
        <v>4Chiều4Quỳnh</v>
      </c>
      <c r="C454" s="29" t="str">
        <f t="shared" si="302"/>
        <v>Tay</v>
      </c>
      <c r="D454" s="29" t="str">
        <f t="shared" si="303"/>
        <v>Quỳnh</v>
      </c>
      <c r="E454" s="29" t="s">
        <v>67</v>
      </c>
      <c r="F454" s="29">
        <v>4</v>
      </c>
      <c r="G454" s="29" t="s">
        <v>4</v>
      </c>
      <c r="H454" s="29">
        <v>4</v>
      </c>
      <c r="I454" s="36" t="str">
        <f t="shared" si="298"/>
        <v>Tay, Quỳnh</v>
      </c>
      <c r="J454" s="36" t="str">
        <f t="shared" si="299"/>
        <v>GVNN -4C1</v>
      </c>
    </row>
    <row r="455" spans="1:10" x14ac:dyDescent="0.25">
      <c r="A455" s="29" t="str">
        <f t="shared" si="300"/>
        <v>4Chiều5</v>
      </c>
      <c r="B455" s="29" t="str">
        <f t="shared" si="301"/>
        <v>4Chiều5</v>
      </c>
      <c r="C455" s="29" t="str">
        <f t="shared" si="302"/>
        <v/>
      </c>
      <c r="D455" s="29" t="str">
        <f t="shared" si="303"/>
        <v/>
      </c>
      <c r="E455" s="29" t="s">
        <v>67</v>
      </c>
      <c r="F455" s="29">
        <v>4</v>
      </c>
      <c r="G455" s="29" t="s">
        <v>4</v>
      </c>
      <c r="H455" s="29">
        <v>5</v>
      </c>
      <c r="I455" s="36" t="str">
        <f t="shared" si="298"/>
        <v/>
      </c>
      <c r="J455" s="36" t="str">
        <f t="shared" si="299"/>
        <v/>
      </c>
    </row>
    <row r="456" spans="1:10" x14ac:dyDescent="0.25">
      <c r="A456" s="29" t="str">
        <f t="shared" si="300"/>
        <v>5Sáng1</v>
      </c>
      <c r="B456" s="29" t="str">
        <f t="shared" si="301"/>
        <v>5Sáng1Phương Anh</v>
      </c>
      <c r="C456" s="29" t="str">
        <f t="shared" si="302"/>
        <v/>
      </c>
      <c r="D456" s="29" t="str">
        <f t="shared" si="303"/>
        <v/>
      </c>
      <c r="E456" s="29" t="s">
        <v>67</v>
      </c>
      <c r="F456" s="29">
        <v>5</v>
      </c>
      <c r="G456" s="29" t="s">
        <v>3</v>
      </c>
      <c r="H456" s="29">
        <v>1</v>
      </c>
      <c r="I456" s="36" t="str">
        <f t="shared" si="298"/>
        <v>Phương Anh</v>
      </c>
      <c r="J456" s="36" t="str">
        <f t="shared" si="299"/>
        <v>Toán -4C1</v>
      </c>
    </row>
    <row r="457" spans="1:10" x14ac:dyDescent="0.25">
      <c r="A457" s="29" t="str">
        <f t="shared" si="300"/>
        <v>5Sáng2</v>
      </c>
      <c r="B457" s="29" t="str">
        <f t="shared" si="301"/>
        <v>5Sáng2Quỳnh</v>
      </c>
      <c r="C457" s="29" t="str">
        <f t="shared" si="302"/>
        <v/>
      </c>
      <c r="D457" s="29" t="str">
        <f t="shared" si="303"/>
        <v/>
      </c>
      <c r="E457" s="29" t="s">
        <v>67</v>
      </c>
      <c r="F457" s="29">
        <v>5</v>
      </c>
      <c r="G457" s="29" t="s">
        <v>3</v>
      </c>
      <c r="H457" s="29">
        <v>2</v>
      </c>
      <c r="I457" s="36" t="str">
        <f t="shared" si="298"/>
        <v>Quỳnh</v>
      </c>
      <c r="J457" s="36" t="str">
        <f t="shared" si="299"/>
        <v>Science -4C1</v>
      </c>
    </row>
    <row r="458" spans="1:10" x14ac:dyDescent="0.25">
      <c r="A458" s="29" t="str">
        <f t="shared" si="300"/>
        <v>5Sáng3</v>
      </c>
      <c r="B458" s="29" t="str">
        <f t="shared" si="301"/>
        <v>5Sáng3Ly</v>
      </c>
      <c r="C458" s="29" t="str">
        <f t="shared" si="302"/>
        <v/>
      </c>
      <c r="D458" s="29" t="str">
        <f t="shared" si="303"/>
        <v/>
      </c>
      <c r="E458" s="29" t="s">
        <v>67</v>
      </c>
      <c r="F458" s="29">
        <v>5</v>
      </c>
      <c r="G458" s="29" t="s">
        <v>3</v>
      </c>
      <c r="H458" s="29">
        <v>3</v>
      </c>
      <c r="I458" s="36" t="str">
        <f t="shared" ref="I458:I485" si="304">Z98</f>
        <v>Ly</v>
      </c>
      <c r="J458" s="36" t="str">
        <f t="shared" ref="J458:J485" si="305">AA98</f>
        <v>TViệt -4C1</v>
      </c>
    </row>
    <row r="459" spans="1:10" x14ac:dyDescent="0.25">
      <c r="A459" s="29" t="str">
        <f t="shared" si="300"/>
        <v>5Sáng4</v>
      </c>
      <c r="B459" s="29" t="str">
        <f t="shared" si="301"/>
        <v>5Sáng4Quỳnh</v>
      </c>
      <c r="C459" s="29" t="str">
        <f t="shared" si="302"/>
        <v/>
      </c>
      <c r="D459" s="29" t="str">
        <f t="shared" si="303"/>
        <v/>
      </c>
      <c r="E459" s="29" t="s">
        <v>67</v>
      </c>
      <c r="F459" s="29">
        <v>5</v>
      </c>
      <c r="G459" s="29" t="s">
        <v>3</v>
      </c>
      <c r="H459" s="29">
        <v>4</v>
      </c>
      <c r="I459" s="36" t="str">
        <f t="shared" si="304"/>
        <v>Quỳnh</v>
      </c>
      <c r="J459" s="36" t="str">
        <f t="shared" si="305"/>
        <v>GVVN -4C1</v>
      </c>
    </row>
    <row r="460" spans="1:10" x14ac:dyDescent="0.25">
      <c r="A460" s="29" t="str">
        <f t="shared" si="300"/>
        <v>5Sáng5</v>
      </c>
      <c r="B460" s="29" t="str">
        <f t="shared" si="301"/>
        <v>5Sáng5</v>
      </c>
      <c r="C460" s="29" t="str">
        <f t="shared" si="302"/>
        <v/>
      </c>
      <c r="D460" s="29" t="str">
        <f t="shared" si="303"/>
        <v/>
      </c>
      <c r="E460" s="29" t="s">
        <v>67</v>
      </c>
      <c r="F460" s="29">
        <v>5</v>
      </c>
      <c r="G460" s="29" t="s">
        <v>3</v>
      </c>
      <c r="H460" s="29">
        <v>5</v>
      </c>
      <c r="I460" s="36" t="str">
        <f t="shared" si="304"/>
        <v/>
      </c>
      <c r="J460" s="36" t="str">
        <f t="shared" si="305"/>
        <v/>
      </c>
    </row>
    <row r="461" spans="1:10" x14ac:dyDescent="0.25">
      <c r="A461" s="29" t="str">
        <f t="shared" si="300"/>
        <v>5Chiều1</v>
      </c>
      <c r="B461" s="29" t="str">
        <f t="shared" si="301"/>
        <v>5Chiều1Phương Anh</v>
      </c>
      <c r="C461" s="29" t="str">
        <f t="shared" si="302"/>
        <v/>
      </c>
      <c r="D461" s="29" t="str">
        <f t="shared" si="303"/>
        <v/>
      </c>
      <c r="E461" s="29" t="s">
        <v>67</v>
      </c>
      <c r="F461" s="29">
        <v>5</v>
      </c>
      <c r="G461" s="29" t="s">
        <v>4</v>
      </c>
      <c r="H461" s="29">
        <v>1</v>
      </c>
      <c r="I461" s="36" t="str">
        <f t="shared" si="304"/>
        <v>Phương Anh</v>
      </c>
      <c r="J461" s="36" t="str">
        <f t="shared" si="305"/>
        <v>Toán -4C1</v>
      </c>
    </row>
    <row r="462" spans="1:10" x14ac:dyDescent="0.25">
      <c r="A462" s="29" t="str">
        <f t="shared" si="300"/>
        <v>5Chiều2Tay</v>
      </c>
      <c r="B462" s="29" t="str">
        <f t="shared" si="301"/>
        <v>5Chiều2Quỳnh</v>
      </c>
      <c r="C462" s="29" t="str">
        <f t="shared" si="302"/>
        <v>Tay</v>
      </c>
      <c r="D462" s="29" t="str">
        <f t="shared" si="303"/>
        <v>Quỳnh</v>
      </c>
      <c r="E462" s="29" t="s">
        <v>67</v>
      </c>
      <c r="F462" s="29">
        <v>5</v>
      </c>
      <c r="G462" s="29" t="s">
        <v>4</v>
      </c>
      <c r="H462" s="29">
        <v>2</v>
      </c>
      <c r="I462" s="36" t="str">
        <f t="shared" si="304"/>
        <v>Tay, Quỳnh</v>
      </c>
      <c r="J462" s="36" t="str">
        <f t="shared" si="305"/>
        <v>GVNN -4C1</v>
      </c>
    </row>
    <row r="463" spans="1:10" x14ac:dyDescent="0.25">
      <c r="A463" s="29" t="str">
        <f t="shared" si="300"/>
        <v>5Chiều3</v>
      </c>
      <c r="B463" s="29" t="str">
        <f t="shared" si="301"/>
        <v>5Chiều3Hồng</v>
      </c>
      <c r="C463" s="29" t="str">
        <f t="shared" si="302"/>
        <v/>
      </c>
      <c r="D463" s="29" t="str">
        <f t="shared" si="303"/>
        <v/>
      </c>
      <c r="E463" s="29" t="s">
        <v>67</v>
      </c>
      <c r="F463" s="29">
        <v>5</v>
      </c>
      <c r="G463" s="29" t="s">
        <v>4</v>
      </c>
      <c r="H463" s="29">
        <v>3</v>
      </c>
      <c r="I463" s="36" t="str">
        <f t="shared" si="304"/>
        <v>Hồng</v>
      </c>
      <c r="J463" s="36" t="str">
        <f t="shared" si="305"/>
        <v>GDTC -4C1</v>
      </c>
    </row>
    <row r="464" spans="1:10" x14ac:dyDescent="0.25">
      <c r="A464" s="29" t="str">
        <f t="shared" si="300"/>
        <v>5Chiều4</v>
      </c>
      <c r="B464" s="29" t="str">
        <f t="shared" si="301"/>
        <v>5Chiều4Hồng</v>
      </c>
      <c r="C464" s="29" t="str">
        <f t="shared" si="302"/>
        <v/>
      </c>
      <c r="D464" s="29" t="str">
        <f t="shared" si="303"/>
        <v/>
      </c>
      <c r="E464" s="29" t="s">
        <v>67</v>
      </c>
      <c r="F464" s="29">
        <v>5</v>
      </c>
      <c r="G464" s="29" t="s">
        <v>4</v>
      </c>
      <c r="H464" s="29">
        <v>4</v>
      </c>
      <c r="I464" s="36" t="str">
        <f t="shared" si="304"/>
        <v>Hồng</v>
      </c>
      <c r="J464" s="36" t="str">
        <f t="shared" si="305"/>
        <v>GDTC -4C1</v>
      </c>
    </row>
    <row r="465" spans="1:10" x14ac:dyDescent="0.25">
      <c r="A465" s="29" t="str">
        <f t="shared" si="300"/>
        <v>5Chiều5</v>
      </c>
      <c r="B465" s="29" t="str">
        <f t="shared" si="301"/>
        <v>5Chiều5</v>
      </c>
      <c r="C465" s="29" t="str">
        <f t="shared" si="302"/>
        <v/>
      </c>
      <c r="D465" s="29" t="str">
        <f t="shared" si="303"/>
        <v/>
      </c>
      <c r="E465" s="29" t="s">
        <v>67</v>
      </c>
      <c r="F465" s="29">
        <v>5</v>
      </c>
      <c r="G465" s="29" t="s">
        <v>4</v>
      </c>
      <c r="H465" s="29">
        <v>5</v>
      </c>
      <c r="I465" s="36" t="str">
        <f t="shared" si="304"/>
        <v/>
      </c>
      <c r="J465" s="36" t="str">
        <f t="shared" si="305"/>
        <v/>
      </c>
    </row>
    <row r="466" spans="1:10" x14ac:dyDescent="0.25">
      <c r="A466" s="29" t="str">
        <f t="shared" si="300"/>
        <v>6Sáng1</v>
      </c>
      <c r="B466" s="29" t="str">
        <f t="shared" si="301"/>
        <v>6Sáng1Phương Anh</v>
      </c>
      <c r="C466" s="29" t="str">
        <f t="shared" si="302"/>
        <v/>
      </c>
      <c r="D466" s="29" t="str">
        <f t="shared" si="303"/>
        <v/>
      </c>
      <c r="E466" s="29" t="s">
        <v>67</v>
      </c>
      <c r="F466" s="29">
        <v>6</v>
      </c>
      <c r="G466" s="29" t="s">
        <v>3</v>
      </c>
      <c r="H466" s="29">
        <v>1</v>
      </c>
      <c r="I466" s="36" t="str">
        <f t="shared" si="304"/>
        <v>Phương Anh</v>
      </c>
      <c r="J466" s="36" t="str">
        <f t="shared" si="305"/>
        <v>Toán -4C1</v>
      </c>
    </row>
    <row r="467" spans="1:10" x14ac:dyDescent="0.25">
      <c r="A467" s="29" t="str">
        <f t="shared" si="300"/>
        <v>6Sáng2</v>
      </c>
      <c r="B467" s="29" t="str">
        <f t="shared" si="301"/>
        <v>6Sáng2Quỳnh</v>
      </c>
      <c r="C467" s="29" t="str">
        <f t="shared" si="302"/>
        <v/>
      </c>
      <c r="D467" s="29" t="str">
        <f t="shared" si="303"/>
        <v/>
      </c>
      <c r="E467" s="29" t="s">
        <v>67</v>
      </c>
      <c r="F467" s="29">
        <v>6</v>
      </c>
      <c r="G467" s="29" t="s">
        <v>3</v>
      </c>
      <c r="H467" s="29">
        <v>2</v>
      </c>
      <c r="I467" s="36" t="str">
        <f t="shared" si="304"/>
        <v>Quỳnh</v>
      </c>
      <c r="J467" s="36" t="str">
        <f t="shared" si="305"/>
        <v>GVVN -4C1</v>
      </c>
    </row>
    <row r="468" spans="1:10" x14ac:dyDescent="0.25">
      <c r="A468" s="29" t="str">
        <f t="shared" si="300"/>
        <v>6Sáng3</v>
      </c>
      <c r="B468" s="29" t="str">
        <f t="shared" si="301"/>
        <v>6Sáng3Ly</v>
      </c>
      <c r="C468" s="29" t="str">
        <f t="shared" si="302"/>
        <v/>
      </c>
      <c r="D468" s="29" t="str">
        <f t="shared" si="303"/>
        <v/>
      </c>
      <c r="E468" s="29" t="s">
        <v>67</v>
      </c>
      <c r="F468" s="29">
        <v>6</v>
      </c>
      <c r="G468" s="29" t="s">
        <v>3</v>
      </c>
      <c r="H468" s="29">
        <v>3</v>
      </c>
      <c r="I468" s="36" t="str">
        <f t="shared" si="304"/>
        <v>Ly</v>
      </c>
      <c r="J468" s="36" t="str">
        <f t="shared" si="305"/>
        <v>TViệt -4C1</v>
      </c>
    </row>
    <row r="469" spans="1:10" x14ac:dyDescent="0.25">
      <c r="A469" s="29" t="str">
        <f t="shared" si="300"/>
        <v>6Sáng4</v>
      </c>
      <c r="B469" s="29" t="str">
        <f t="shared" si="301"/>
        <v>6Sáng4Ly</v>
      </c>
      <c r="C469" s="29" t="str">
        <f t="shared" si="302"/>
        <v/>
      </c>
      <c r="D469" s="29" t="str">
        <f t="shared" si="303"/>
        <v/>
      </c>
      <c r="E469" s="29" t="s">
        <v>67</v>
      </c>
      <c r="F469" s="29">
        <v>6</v>
      </c>
      <c r="G469" s="29" t="s">
        <v>3</v>
      </c>
      <c r="H469" s="29">
        <v>4</v>
      </c>
      <c r="I469" s="36" t="str">
        <f t="shared" si="304"/>
        <v>Ly</v>
      </c>
      <c r="J469" s="36" t="str">
        <f t="shared" si="305"/>
        <v>LS&amp;ĐL -4C1</v>
      </c>
    </row>
    <row r="470" spans="1:10" x14ac:dyDescent="0.25">
      <c r="A470" s="29" t="str">
        <f t="shared" si="300"/>
        <v>6Sáng5</v>
      </c>
      <c r="B470" s="29" t="str">
        <f t="shared" si="301"/>
        <v>6Sáng5</v>
      </c>
      <c r="C470" s="29" t="str">
        <f t="shared" si="302"/>
        <v/>
      </c>
      <c r="D470" s="29" t="str">
        <f t="shared" si="303"/>
        <v/>
      </c>
      <c r="E470" s="29" t="s">
        <v>67</v>
      </c>
      <c r="F470" s="29">
        <v>6</v>
      </c>
      <c r="G470" s="29" t="s">
        <v>3</v>
      </c>
      <c r="H470" s="29">
        <v>5</v>
      </c>
      <c r="I470" s="36" t="str">
        <f t="shared" si="304"/>
        <v/>
      </c>
      <c r="J470" s="36" t="str">
        <f t="shared" si="305"/>
        <v/>
      </c>
    </row>
    <row r="471" spans="1:10" x14ac:dyDescent="0.25">
      <c r="A471" s="29" t="str">
        <f t="shared" si="300"/>
        <v>6Chiều1</v>
      </c>
      <c r="B471" s="29" t="str">
        <f t="shared" si="301"/>
        <v>6Chiều1Ly</v>
      </c>
      <c r="C471" s="29" t="str">
        <f t="shared" si="302"/>
        <v/>
      </c>
      <c r="D471" s="29" t="str">
        <f t="shared" si="303"/>
        <v/>
      </c>
      <c r="E471" s="29" t="s">
        <v>67</v>
      </c>
      <c r="F471" s="29">
        <v>6</v>
      </c>
      <c r="G471" s="29" t="s">
        <v>4</v>
      </c>
      <c r="H471" s="29">
        <v>1</v>
      </c>
      <c r="I471" s="36" t="str">
        <f t="shared" si="304"/>
        <v>Ly</v>
      </c>
      <c r="J471" s="36" t="str">
        <f t="shared" si="305"/>
        <v>TViệt -4C1</v>
      </c>
    </row>
    <row r="472" spans="1:10" x14ac:dyDescent="0.25">
      <c r="A472" s="29" t="str">
        <f t="shared" si="300"/>
        <v>6Chiều2</v>
      </c>
      <c r="B472" s="29" t="str">
        <f t="shared" si="301"/>
        <v>6Chiều2Phương Anh</v>
      </c>
      <c r="C472" s="29" t="str">
        <f t="shared" si="302"/>
        <v/>
      </c>
      <c r="D472" s="29" t="str">
        <f t="shared" si="303"/>
        <v/>
      </c>
      <c r="E472" s="29" t="s">
        <v>67</v>
      </c>
      <c r="F472" s="29">
        <v>6</v>
      </c>
      <c r="G472" s="29" t="s">
        <v>4</v>
      </c>
      <c r="H472" s="29">
        <v>2</v>
      </c>
      <c r="I472" s="36" t="str">
        <f t="shared" si="304"/>
        <v>Phương Anh</v>
      </c>
      <c r="J472" s="36" t="str">
        <f t="shared" si="305"/>
        <v>Toán -4C1</v>
      </c>
    </row>
    <row r="473" spans="1:10" x14ac:dyDescent="0.25">
      <c r="A473" s="29" t="str">
        <f t="shared" si="300"/>
        <v>6Chiều3</v>
      </c>
      <c r="B473" s="29" t="str">
        <f t="shared" si="301"/>
        <v>6Chiều3Nguyên</v>
      </c>
      <c r="C473" s="29" t="str">
        <f t="shared" si="302"/>
        <v/>
      </c>
      <c r="D473" s="29" t="str">
        <f t="shared" si="303"/>
        <v/>
      </c>
      <c r="E473" s="29" t="s">
        <v>67</v>
      </c>
      <c r="F473" s="29">
        <v>6</v>
      </c>
      <c r="G473" s="29" t="s">
        <v>4</v>
      </c>
      <c r="H473" s="29">
        <v>3</v>
      </c>
      <c r="I473" s="36" t="str">
        <f t="shared" si="304"/>
        <v>Nguyên</v>
      </c>
      <c r="J473" s="36" t="str">
        <f t="shared" si="305"/>
        <v>Robotics -4C1</v>
      </c>
    </row>
    <row r="474" spans="1:10" x14ac:dyDescent="0.25">
      <c r="A474" s="29" t="str">
        <f t="shared" si="300"/>
        <v>6Chiều4</v>
      </c>
      <c r="B474" s="29" t="str">
        <f t="shared" si="301"/>
        <v>6Chiều4Quỳnh</v>
      </c>
      <c r="C474" s="29" t="str">
        <f t="shared" si="302"/>
        <v/>
      </c>
      <c r="D474" s="29" t="str">
        <f t="shared" si="303"/>
        <v/>
      </c>
      <c r="E474" s="29" t="s">
        <v>67</v>
      </c>
      <c r="F474" s="29">
        <v>6</v>
      </c>
      <c r="G474" s="29" t="s">
        <v>4</v>
      </c>
      <c r="H474" s="29">
        <v>4</v>
      </c>
      <c r="I474" s="36" t="str">
        <f t="shared" si="304"/>
        <v>Quỳnh</v>
      </c>
      <c r="J474" s="36" t="str">
        <f t="shared" si="305"/>
        <v>GVVN -4C1</v>
      </c>
    </row>
    <row r="475" spans="1:10" x14ac:dyDescent="0.25">
      <c r="A475" s="29" t="str">
        <f t="shared" si="300"/>
        <v>6Chiều5</v>
      </c>
      <c r="B475" s="29" t="str">
        <f t="shared" si="301"/>
        <v>6Chiều5</v>
      </c>
      <c r="C475" s="29" t="str">
        <f t="shared" si="302"/>
        <v/>
      </c>
      <c r="D475" s="29" t="str">
        <f t="shared" si="303"/>
        <v/>
      </c>
      <c r="E475" s="29" t="s">
        <v>67</v>
      </c>
      <c r="F475" s="29">
        <v>6</v>
      </c>
      <c r="G475" s="29" t="s">
        <v>4</v>
      </c>
      <c r="H475" s="29">
        <v>5</v>
      </c>
      <c r="I475" s="36" t="str">
        <f t="shared" si="304"/>
        <v/>
      </c>
      <c r="J475" s="36" t="str">
        <f t="shared" si="305"/>
        <v/>
      </c>
    </row>
    <row r="476" spans="1:10" x14ac:dyDescent="0.25">
      <c r="A476" s="29" t="str">
        <f t="shared" si="300"/>
        <v>7Sáng1</v>
      </c>
      <c r="B476" s="29" t="str">
        <f t="shared" si="301"/>
        <v>7Sáng1</v>
      </c>
      <c r="C476" s="29" t="str">
        <f t="shared" si="302"/>
        <v/>
      </c>
      <c r="D476" s="29" t="str">
        <f t="shared" si="303"/>
        <v/>
      </c>
      <c r="E476" s="29" t="s">
        <v>67</v>
      </c>
      <c r="F476" s="29">
        <v>7</v>
      </c>
      <c r="G476" s="29" t="s">
        <v>3</v>
      </c>
      <c r="H476" s="29">
        <v>1</v>
      </c>
      <c r="I476" s="36" t="str">
        <f t="shared" si="304"/>
        <v/>
      </c>
      <c r="J476" s="36" t="str">
        <f t="shared" si="305"/>
        <v/>
      </c>
    </row>
    <row r="477" spans="1:10" x14ac:dyDescent="0.25">
      <c r="A477" s="29" t="str">
        <f t="shared" si="300"/>
        <v>7Sáng2</v>
      </c>
      <c r="B477" s="29" t="str">
        <f t="shared" si="301"/>
        <v>7Sáng2</v>
      </c>
      <c r="C477" s="29" t="str">
        <f t="shared" si="302"/>
        <v/>
      </c>
      <c r="D477" s="29" t="str">
        <f t="shared" si="303"/>
        <v/>
      </c>
      <c r="E477" s="29" t="s">
        <v>67</v>
      </c>
      <c r="F477" s="29">
        <v>7</v>
      </c>
      <c r="G477" s="29" t="s">
        <v>3</v>
      </c>
      <c r="H477" s="29">
        <v>2</v>
      </c>
      <c r="I477" s="36" t="str">
        <f t="shared" si="304"/>
        <v/>
      </c>
      <c r="J477" s="36" t="str">
        <f t="shared" si="305"/>
        <v/>
      </c>
    </row>
    <row r="478" spans="1:10" x14ac:dyDescent="0.25">
      <c r="A478" s="29" t="str">
        <f t="shared" si="300"/>
        <v>7Sáng3</v>
      </c>
      <c r="B478" s="29" t="str">
        <f t="shared" si="301"/>
        <v>7Sáng3</v>
      </c>
      <c r="C478" s="29" t="str">
        <f t="shared" si="302"/>
        <v/>
      </c>
      <c r="D478" s="29" t="str">
        <f t="shared" si="303"/>
        <v/>
      </c>
      <c r="E478" s="29" t="s">
        <v>67</v>
      </c>
      <c r="F478" s="29">
        <v>7</v>
      </c>
      <c r="G478" s="29" t="s">
        <v>3</v>
      </c>
      <c r="H478" s="29">
        <v>3</v>
      </c>
      <c r="I478" s="36" t="str">
        <f t="shared" si="304"/>
        <v/>
      </c>
      <c r="J478" s="36" t="str">
        <f t="shared" si="305"/>
        <v/>
      </c>
    </row>
    <row r="479" spans="1:10" x14ac:dyDescent="0.25">
      <c r="A479" s="29" t="str">
        <f t="shared" si="300"/>
        <v>7Sáng4</v>
      </c>
      <c r="B479" s="29" t="str">
        <f t="shared" si="301"/>
        <v>7Sáng4</v>
      </c>
      <c r="C479" s="29" t="str">
        <f t="shared" si="302"/>
        <v/>
      </c>
      <c r="D479" s="29" t="str">
        <f t="shared" si="303"/>
        <v/>
      </c>
      <c r="E479" s="29" t="s">
        <v>67</v>
      </c>
      <c r="F479" s="29">
        <v>7</v>
      </c>
      <c r="G479" s="29" t="s">
        <v>3</v>
      </c>
      <c r="H479" s="29">
        <v>4</v>
      </c>
      <c r="I479" s="36" t="str">
        <f t="shared" si="304"/>
        <v/>
      </c>
      <c r="J479" s="36" t="str">
        <f t="shared" si="305"/>
        <v/>
      </c>
    </row>
    <row r="480" spans="1:10" x14ac:dyDescent="0.25">
      <c r="A480" s="29" t="str">
        <f t="shared" si="300"/>
        <v>7Sáng5</v>
      </c>
      <c r="B480" s="29" t="str">
        <f t="shared" si="301"/>
        <v>7Sáng5</v>
      </c>
      <c r="C480" s="29" t="str">
        <f t="shared" si="302"/>
        <v/>
      </c>
      <c r="D480" s="29" t="str">
        <f t="shared" si="303"/>
        <v/>
      </c>
      <c r="E480" s="29" t="s">
        <v>67</v>
      </c>
      <c r="F480" s="29">
        <v>7</v>
      </c>
      <c r="G480" s="29" t="s">
        <v>3</v>
      </c>
      <c r="H480" s="29">
        <v>5</v>
      </c>
      <c r="I480" s="36" t="str">
        <f t="shared" si="304"/>
        <v/>
      </c>
      <c r="J480" s="36" t="str">
        <f t="shared" si="305"/>
        <v/>
      </c>
    </row>
    <row r="481" spans="1:10" x14ac:dyDescent="0.25">
      <c r="A481" s="29" t="str">
        <f t="shared" si="300"/>
        <v>7Chiều1</v>
      </c>
      <c r="B481" s="29" t="str">
        <f t="shared" si="301"/>
        <v>7Chiều1</v>
      </c>
      <c r="C481" s="29" t="str">
        <f t="shared" si="302"/>
        <v/>
      </c>
      <c r="D481" s="29" t="str">
        <f t="shared" si="303"/>
        <v/>
      </c>
      <c r="E481" s="29" t="s">
        <v>67</v>
      </c>
      <c r="F481" s="29">
        <v>7</v>
      </c>
      <c r="G481" s="29" t="s">
        <v>4</v>
      </c>
      <c r="H481" s="29">
        <v>1</v>
      </c>
      <c r="I481" s="36" t="str">
        <f t="shared" si="304"/>
        <v/>
      </c>
      <c r="J481" s="36" t="str">
        <f t="shared" si="305"/>
        <v/>
      </c>
    </row>
    <row r="482" spans="1:10" x14ac:dyDescent="0.25">
      <c r="A482" s="29" t="str">
        <f t="shared" si="300"/>
        <v>7Chiều2</v>
      </c>
      <c r="B482" s="29" t="str">
        <f t="shared" si="301"/>
        <v>7Chiều2</v>
      </c>
      <c r="C482" s="29" t="str">
        <f t="shared" si="302"/>
        <v/>
      </c>
      <c r="D482" s="29" t="str">
        <f t="shared" si="303"/>
        <v/>
      </c>
      <c r="E482" s="29" t="s">
        <v>67</v>
      </c>
      <c r="F482" s="29">
        <v>7</v>
      </c>
      <c r="G482" s="29" t="s">
        <v>4</v>
      </c>
      <c r="H482" s="29">
        <v>2</v>
      </c>
      <c r="I482" s="36" t="str">
        <f t="shared" si="304"/>
        <v/>
      </c>
      <c r="J482" s="36" t="str">
        <f t="shared" si="305"/>
        <v/>
      </c>
    </row>
    <row r="483" spans="1:10" x14ac:dyDescent="0.25">
      <c r="A483" s="29" t="str">
        <f t="shared" si="300"/>
        <v>7Chiều3</v>
      </c>
      <c r="B483" s="29" t="str">
        <f t="shared" si="301"/>
        <v>7Chiều3</v>
      </c>
      <c r="C483" s="29" t="str">
        <f t="shared" si="302"/>
        <v/>
      </c>
      <c r="D483" s="29" t="str">
        <f t="shared" si="303"/>
        <v/>
      </c>
      <c r="E483" s="29" t="s">
        <v>67</v>
      </c>
      <c r="F483" s="29">
        <v>7</v>
      </c>
      <c r="G483" s="29" t="s">
        <v>4</v>
      </c>
      <c r="H483" s="29">
        <v>3</v>
      </c>
      <c r="I483" s="36" t="str">
        <f t="shared" si="304"/>
        <v/>
      </c>
      <c r="J483" s="36" t="str">
        <f t="shared" si="305"/>
        <v/>
      </c>
    </row>
    <row r="484" spans="1:10" x14ac:dyDescent="0.25">
      <c r="A484" s="29" t="str">
        <f t="shared" si="300"/>
        <v>7Chiều4</v>
      </c>
      <c r="B484" s="29" t="str">
        <f t="shared" si="301"/>
        <v>7Chiều4</v>
      </c>
      <c r="C484" s="29" t="str">
        <f t="shared" si="302"/>
        <v/>
      </c>
      <c r="D484" s="29" t="str">
        <f t="shared" si="303"/>
        <v/>
      </c>
      <c r="E484" s="29" t="s">
        <v>67</v>
      </c>
      <c r="F484" s="29">
        <v>7</v>
      </c>
      <c r="G484" s="29" t="s">
        <v>4</v>
      </c>
      <c r="H484" s="29">
        <v>4</v>
      </c>
      <c r="I484" s="36" t="str">
        <f t="shared" si="304"/>
        <v/>
      </c>
      <c r="J484" s="36" t="str">
        <f t="shared" si="305"/>
        <v/>
      </c>
    </row>
    <row r="485" spans="1:10" x14ac:dyDescent="0.25">
      <c r="A485" s="29" t="str">
        <f t="shared" si="300"/>
        <v>7Chiều5</v>
      </c>
      <c r="B485" s="29" t="str">
        <f t="shared" si="301"/>
        <v>7Chiều5</v>
      </c>
      <c r="C485" s="29" t="str">
        <f t="shared" si="302"/>
        <v/>
      </c>
      <c r="D485" s="29" t="str">
        <f t="shared" si="303"/>
        <v/>
      </c>
      <c r="E485" s="29" t="s">
        <v>67</v>
      </c>
      <c r="F485" s="29">
        <v>7</v>
      </c>
      <c r="G485" s="29" t="s">
        <v>4</v>
      </c>
      <c r="H485" s="29">
        <v>5</v>
      </c>
      <c r="I485" s="36" t="str">
        <f t="shared" si="304"/>
        <v/>
      </c>
      <c r="J485" s="36" t="str">
        <f t="shared" si="305"/>
        <v/>
      </c>
    </row>
    <row r="486" spans="1:10" x14ac:dyDescent="0.25">
      <c r="A486" s="29" t="str">
        <f t="shared" si="300"/>
        <v>2Sáng1</v>
      </c>
      <c r="B486" s="29" t="str">
        <f t="shared" si="301"/>
        <v>2Sáng1Chi</v>
      </c>
      <c r="C486" s="29" t="str">
        <f t="shared" si="302"/>
        <v/>
      </c>
      <c r="D486" s="29" t="str">
        <f t="shared" si="303"/>
        <v/>
      </c>
      <c r="E486" s="29" t="s">
        <v>88</v>
      </c>
      <c r="F486" s="29">
        <v>2</v>
      </c>
      <c r="G486" s="29" t="s">
        <v>3</v>
      </c>
      <c r="H486" s="29">
        <v>1</v>
      </c>
      <c r="I486" s="36" t="str">
        <f t="shared" ref="I486:I517" si="306">AB66</f>
        <v>Chi</v>
      </c>
      <c r="J486" s="36" t="str">
        <f t="shared" ref="J486:J517" si="307">AC66</f>
        <v>HĐTN -5C1</v>
      </c>
    </row>
    <row r="487" spans="1:10" x14ac:dyDescent="0.25">
      <c r="A487" s="29" t="str">
        <f t="shared" si="300"/>
        <v>2Sáng2</v>
      </c>
      <c r="B487" s="29" t="str">
        <f t="shared" si="301"/>
        <v>2Sáng2Bích</v>
      </c>
      <c r="C487" s="29" t="str">
        <f t="shared" si="302"/>
        <v/>
      </c>
      <c r="D487" s="29" t="str">
        <f t="shared" si="303"/>
        <v/>
      </c>
      <c r="E487" s="29" t="s">
        <v>88</v>
      </c>
      <c r="F487" s="29">
        <v>2</v>
      </c>
      <c r="G487" s="29" t="s">
        <v>3</v>
      </c>
      <c r="H487" s="29">
        <v>2</v>
      </c>
      <c r="I487" s="36" t="str">
        <f t="shared" si="306"/>
        <v>Bích</v>
      </c>
      <c r="J487" s="36" t="str">
        <f t="shared" si="307"/>
        <v>Science -5C1</v>
      </c>
    </row>
    <row r="488" spans="1:10" x14ac:dyDescent="0.25">
      <c r="A488" s="29" t="str">
        <f t="shared" si="300"/>
        <v>2Sáng3</v>
      </c>
      <c r="B488" s="29" t="str">
        <f t="shared" si="301"/>
        <v>2Sáng3Chi</v>
      </c>
      <c r="C488" s="29" t="str">
        <f t="shared" si="302"/>
        <v/>
      </c>
      <c r="D488" s="29" t="str">
        <f t="shared" si="303"/>
        <v/>
      </c>
      <c r="E488" s="29" t="s">
        <v>88</v>
      </c>
      <c r="F488" s="29">
        <v>2</v>
      </c>
      <c r="G488" s="29" t="s">
        <v>3</v>
      </c>
      <c r="H488" s="29">
        <v>3</v>
      </c>
      <c r="I488" s="36" t="str">
        <f t="shared" si="306"/>
        <v>Chi</v>
      </c>
      <c r="J488" s="36" t="str">
        <f t="shared" si="307"/>
        <v>Toán -5C1</v>
      </c>
    </row>
    <row r="489" spans="1:10" x14ac:dyDescent="0.25">
      <c r="A489" s="29" t="str">
        <f t="shared" si="300"/>
        <v>2Sáng4</v>
      </c>
      <c r="B489" s="29" t="str">
        <f t="shared" si="301"/>
        <v>2Sáng4Ngọc</v>
      </c>
      <c r="C489" s="29" t="str">
        <f t="shared" si="302"/>
        <v/>
      </c>
      <c r="D489" s="29" t="str">
        <f t="shared" si="303"/>
        <v/>
      </c>
      <c r="E489" s="29" t="s">
        <v>88</v>
      </c>
      <c r="F489" s="29">
        <v>2</v>
      </c>
      <c r="G489" s="29" t="s">
        <v>3</v>
      </c>
      <c r="H489" s="29">
        <v>4</v>
      </c>
      <c r="I489" s="36" t="str">
        <f t="shared" si="306"/>
        <v>Ngọc</v>
      </c>
      <c r="J489" s="36" t="str">
        <f t="shared" si="307"/>
        <v>TViệt -5C1</v>
      </c>
    </row>
    <row r="490" spans="1:10" x14ac:dyDescent="0.25">
      <c r="A490" s="29" t="str">
        <f t="shared" si="300"/>
        <v>2Sáng5</v>
      </c>
      <c r="B490" s="29" t="str">
        <f t="shared" si="301"/>
        <v>2Sáng5</v>
      </c>
      <c r="C490" s="29" t="str">
        <f t="shared" si="302"/>
        <v/>
      </c>
      <c r="D490" s="29" t="str">
        <f t="shared" si="303"/>
        <v/>
      </c>
      <c r="E490" s="29" t="s">
        <v>88</v>
      </c>
      <c r="F490" s="29">
        <v>2</v>
      </c>
      <c r="G490" s="29" t="s">
        <v>3</v>
      </c>
      <c r="H490" s="29">
        <v>5</v>
      </c>
      <c r="I490" s="36" t="str">
        <f t="shared" si="306"/>
        <v/>
      </c>
      <c r="J490" s="36" t="str">
        <f t="shared" si="307"/>
        <v/>
      </c>
    </row>
    <row r="491" spans="1:10" x14ac:dyDescent="0.25">
      <c r="A491" s="29" t="str">
        <f t="shared" si="300"/>
        <v>2Chiều1</v>
      </c>
      <c r="B491" s="29" t="str">
        <f t="shared" si="301"/>
        <v>2Chiều1Bích</v>
      </c>
      <c r="C491" s="29" t="str">
        <f t="shared" si="302"/>
        <v/>
      </c>
      <c r="D491" s="29" t="str">
        <f t="shared" si="303"/>
        <v/>
      </c>
      <c r="E491" s="29" t="s">
        <v>88</v>
      </c>
      <c r="F491" s="29">
        <v>2</v>
      </c>
      <c r="G491" s="29" t="s">
        <v>4</v>
      </c>
      <c r="H491" s="29">
        <v>1</v>
      </c>
      <c r="I491" s="36" t="str">
        <f t="shared" si="306"/>
        <v>Bích</v>
      </c>
      <c r="J491" s="36" t="str">
        <f t="shared" si="307"/>
        <v>GVVN -5C1</v>
      </c>
    </row>
    <row r="492" spans="1:10" x14ac:dyDescent="0.25">
      <c r="A492" s="29" t="str">
        <f t="shared" si="300"/>
        <v>2Chiều2Tay</v>
      </c>
      <c r="B492" s="29" t="str">
        <f t="shared" si="301"/>
        <v>2Chiều2Bích</v>
      </c>
      <c r="C492" s="29" t="str">
        <f t="shared" si="302"/>
        <v>Tay</v>
      </c>
      <c r="D492" s="29" t="str">
        <f t="shared" si="303"/>
        <v>Bích</v>
      </c>
      <c r="E492" s="29" t="s">
        <v>88</v>
      </c>
      <c r="F492" s="29">
        <v>2</v>
      </c>
      <c r="G492" s="29" t="s">
        <v>4</v>
      </c>
      <c r="H492" s="29">
        <v>2</v>
      </c>
      <c r="I492" s="36" t="str">
        <f t="shared" si="306"/>
        <v>Tay, Bích</v>
      </c>
      <c r="J492" s="36" t="str">
        <f t="shared" si="307"/>
        <v>GVNN -5C1</v>
      </c>
    </row>
    <row r="493" spans="1:10" x14ac:dyDescent="0.25">
      <c r="A493" s="29" t="str">
        <f t="shared" si="300"/>
        <v>2Chiều3</v>
      </c>
      <c r="B493" s="29" t="str">
        <f t="shared" si="301"/>
        <v>2Chiều3Chi</v>
      </c>
      <c r="C493" s="29" t="str">
        <f t="shared" si="302"/>
        <v/>
      </c>
      <c r="D493" s="29" t="str">
        <f t="shared" si="303"/>
        <v/>
      </c>
      <c r="E493" s="29" t="s">
        <v>88</v>
      </c>
      <c r="F493" s="29">
        <v>2</v>
      </c>
      <c r="G493" s="29" t="s">
        <v>4</v>
      </c>
      <c r="H493" s="29">
        <v>3</v>
      </c>
      <c r="I493" s="36" t="str">
        <f t="shared" si="306"/>
        <v>Chi</v>
      </c>
      <c r="J493" s="36" t="str">
        <f t="shared" si="307"/>
        <v>Toán -5C1</v>
      </c>
    </row>
    <row r="494" spans="1:10" x14ac:dyDescent="0.25">
      <c r="A494" s="29" t="str">
        <f t="shared" si="300"/>
        <v>2Chiều4</v>
      </c>
      <c r="B494" s="29" t="str">
        <f t="shared" si="301"/>
        <v>2Chiều4Ngọc</v>
      </c>
      <c r="C494" s="29" t="str">
        <f t="shared" si="302"/>
        <v/>
      </c>
      <c r="D494" s="29" t="str">
        <f t="shared" si="303"/>
        <v/>
      </c>
      <c r="E494" s="29" t="s">
        <v>88</v>
      </c>
      <c r="F494" s="29">
        <v>2</v>
      </c>
      <c r="G494" s="29" t="s">
        <v>4</v>
      </c>
      <c r="H494" s="29">
        <v>4</v>
      </c>
      <c r="I494" s="36" t="str">
        <f t="shared" si="306"/>
        <v>Ngọc</v>
      </c>
      <c r="J494" s="36" t="str">
        <f t="shared" si="307"/>
        <v>TViệt -5C1</v>
      </c>
    </row>
    <row r="495" spans="1:10" x14ac:dyDescent="0.25">
      <c r="A495" s="29" t="str">
        <f t="shared" si="300"/>
        <v>2Chiều5</v>
      </c>
      <c r="B495" s="29" t="str">
        <f t="shared" si="301"/>
        <v>2Chiều5</v>
      </c>
      <c r="C495" s="29" t="str">
        <f t="shared" si="302"/>
        <v/>
      </c>
      <c r="D495" s="29" t="str">
        <f t="shared" si="303"/>
        <v/>
      </c>
      <c r="E495" s="29" t="s">
        <v>88</v>
      </c>
      <c r="F495" s="29">
        <v>2</v>
      </c>
      <c r="G495" s="29" t="s">
        <v>4</v>
      </c>
      <c r="H495" s="29">
        <v>5</v>
      </c>
      <c r="I495" s="36" t="str">
        <f t="shared" si="306"/>
        <v/>
      </c>
      <c r="J495" s="36" t="str">
        <f t="shared" si="307"/>
        <v/>
      </c>
    </row>
    <row r="496" spans="1:10" x14ac:dyDescent="0.25">
      <c r="A496" s="29" t="str">
        <f t="shared" si="300"/>
        <v>3Sáng1Tay</v>
      </c>
      <c r="B496" s="29" t="str">
        <f t="shared" si="301"/>
        <v>3Sáng1Bích</v>
      </c>
      <c r="C496" s="29" t="str">
        <f t="shared" si="302"/>
        <v>Tay</v>
      </c>
      <c r="D496" s="29" t="str">
        <f t="shared" si="303"/>
        <v>Bích</v>
      </c>
      <c r="E496" s="29" t="s">
        <v>88</v>
      </c>
      <c r="F496" s="29">
        <v>3</v>
      </c>
      <c r="G496" s="29" t="s">
        <v>3</v>
      </c>
      <c r="H496" s="29">
        <v>1</v>
      </c>
      <c r="I496" s="36" t="str">
        <f t="shared" si="306"/>
        <v>Tay, Bích</v>
      </c>
      <c r="J496" s="36" t="str">
        <f t="shared" si="307"/>
        <v>GVNN -5C1</v>
      </c>
    </row>
    <row r="497" spans="1:10" x14ac:dyDescent="0.25">
      <c r="A497" s="29" t="str">
        <f t="shared" si="300"/>
        <v>3Sáng2</v>
      </c>
      <c r="B497" s="29" t="str">
        <f t="shared" si="301"/>
        <v>3Sáng2Ly</v>
      </c>
      <c r="C497" s="29" t="str">
        <f t="shared" si="302"/>
        <v/>
      </c>
      <c r="D497" s="29" t="str">
        <f t="shared" si="303"/>
        <v/>
      </c>
      <c r="E497" s="29" t="s">
        <v>88</v>
      </c>
      <c r="F497" s="29">
        <v>3</v>
      </c>
      <c r="G497" s="29" t="s">
        <v>3</v>
      </c>
      <c r="H497" s="29">
        <v>2</v>
      </c>
      <c r="I497" s="36" t="str">
        <f t="shared" si="306"/>
        <v>Ly</v>
      </c>
      <c r="J497" s="36" t="str">
        <f t="shared" si="307"/>
        <v>LS&amp;ĐL -5C1</v>
      </c>
    </row>
    <row r="498" spans="1:10" x14ac:dyDescent="0.25">
      <c r="A498" s="29" t="str">
        <f t="shared" si="300"/>
        <v>3Sáng3</v>
      </c>
      <c r="B498" s="29" t="str">
        <f t="shared" si="301"/>
        <v>3Sáng3Nguyên</v>
      </c>
      <c r="C498" s="29" t="str">
        <f t="shared" si="302"/>
        <v/>
      </c>
      <c r="D498" s="29" t="str">
        <f t="shared" si="303"/>
        <v/>
      </c>
      <c r="E498" s="29" t="s">
        <v>88</v>
      </c>
      <c r="F498" s="29">
        <v>3</v>
      </c>
      <c r="G498" s="29" t="s">
        <v>3</v>
      </c>
      <c r="H498" s="29">
        <v>3</v>
      </c>
      <c r="I498" s="36" t="str">
        <f t="shared" si="306"/>
        <v>Nguyên</v>
      </c>
      <c r="J498" s="36" t="str">
        <f t="shared" si="307"/>
        <v>Tin -5C1</v>
      </c>
    </row>
    <row r="499" spans="1:10" x14ac:dyDescent="0.25">
      <c r="A499" s="29" t="str">
        <f t="shared" si="300"/>
        <v>3Sáng4</v>
      </c>
      <c r="B499" s="29" t="str">
        <f t="shared" si="301"/>
        <v>3Sáng4Nguyên</v>
      </c>
      <c r="C499" s="29" t="str">
        <f t="shared" si="302"/>
        <v/>
      </c>
      <c r="D499" s="29" t="str">
        <f t="shared" si="303"/>
        <v/>
      </c>
      <c r="E499" s="29" t="s">
        <v>88</v>
      </c>
      <c r="F499" s="29">
        <v>3</v>
      </c>
      <c r="G499" s="29" t="s">
        <v>3</v>
      </c>
      <c r="H499" s="29">
        <v>4</v>
      </c>
      <c r="I499" s="36" t="str">
        <f t="shared" si="306"/>
        <v>Nguyên</v>
      </c>
      <c r="J499" s="36" t="str">
        <f t="shared" si="307"/>
        <v>Robotics -5C1</v>
      </c>
    </row>
    <row r="500" spans="1:10" x14ac:dyDescent="0.25">
      <c r="A500" s="29" t="str">
        <f t="shared" si="300"/>
        <v>3Sáng5</v>
      </c>
      <c r="B500" s="29" t="str">
        <f t="shared" si="301"/>
        <v>3Sáng5</v>
      </c>
      <c r="C500" s="29" t="str">
        <f t="shared" si="302"/>
        <v/>
      </c>
      <c r="D500" s="29" t="str">
        <f t="shared" si="303"/>
        <v/>
      </c>
      <c r="E500" s="29" t="s">
        <v>88</v>
      </c>
      <c r="F500" s="29">
        <v>3</v>
      </c>
      <c r="G500" s="29" t="s">
        <v>3</v>
      </c>
      <c r="H500" s="29">
        <v>5</v>
      </c>
      <c r="I500" s="36" t="str">
        <f t="shared" si="306"/>
        <v/>
      </c>
      <c r="J500" s="36" t="str">
        <f t="shared" si="307"/>
        <v/>
      </c>
    </row>
    <row r="501" spans="1:10" x14ac:dyDescent="0.25">
      <c r="A501" s="29" t="str">
        <f t="shared" si="300"/>
        <v>3Chiều1</v>
      </c>
      <c r="B501" s="29" t="str">
        <f t="shared" si="301"/>
        <v>3Chiều1Ngọc</v>
      </c>
      <c r="C501" s="29" t="str">
        <f t="shared" si="302"/>
        <v/>
      </c>
      <c r="D501" s="29" t="str">
        <f t="shared" si="303"/>
        <v/>
      </c>
      <c r="E501" s="29" t="s">
        <v>88</v>
      </c>
      <c r="F501" s="29">
        <v>3</v>
      </c>
      <c r="G501" s="29" t="s">
        <v>4</v>
      </c>
      <c r="H501" s="29">
        <v>1</v>
      </c>
      <c r="I501" s="36" t="str">
        <f t="shared" si="306"/>
        <v>Ngọc</v>
      </c>
      <c r="J501" s="36" t="str">
        <f t="shared" si="307"/>
        <v>TViệt -5C1</v>
      </c>
    </row>
    <row r="502" spans="1:10" x14ac:dyDescent="0.25">
      <c r="A502" s="29" t="str">
        <f t="shared" si="300"/>
        <v>3Chiều2</v>
      </c>
      <c r="B502" s="29" t="str">
        <f t="shared" si="301"/>
        <v>3Chiều2Bích</v>
      </c>
      <c r="C502" s="29" t="str">
        <f t="shared" si="302"/>
        <v/>
      </c>
      <c r="D502" s="29" t="str">
        <f t="shared" si="303"/>
        <v/>
      </c>
      <c r="E502" s="29" t="s">
        <v>88</v>
      </c>
      <c r="F502" s="29">
        <v>3</v>
      </c>
      <c r="G502" s="29" t="s">
        <v>4</v>
      </c>
      <c r="H502" s="29">
        <v>2</v>
      </c>
      <c r="I502" s="36" t="str">
        <f t="shared" si="306"/>
        <v>Bích</v>
      </c>
      <c r="J502" s="36" t="str">
        <f t="shared" si="307"/>
        <v>GVVN -5C1</v>
      </c>
    </row>
    <row r="503" spans="1:10" x14ac:dyDescent="0.25">
      <c r="A503" s="29" t="str">
        <f t="shared" si="300"/>
        <v>3Chiều3</v>
      </c>
      <c r="B503" s="29" t="str">
        <f t="shared" si="301"/>
        <v>3Chiều3Bích</v>
      </c>
      <c r="C503" s="29" t="str">
        <f t="shared" si="302"/>
        <v/>
      </c>
      <c r="D503" s="29" t="str">
        <f t="shared" si="303"/>
        <v/>
      </c>
      <c r="E503" s="29" t="s">
        <v>88</v>
      </c>
      <c r="F503" s="29">
        <v>3</v>
      </c>
      <c r="G503" s="29" t="s">
        <v>4</v>
      </c>
      <c r="H503" s="29">
        <v>3</v>
      </c>
      <c r="I503" s="36" t="str">
        <f t="shared" si="306"/>
        <v>Bích</v>
      </c>
      <c r="J503" s="36" t="str">
        <f t="shared" si="307"/>
        <v>Science -5C1</v>
      </c>
    </row>
    <row r="504" spans="1:10" x14ac:dyDescent="0.25">
      <c r="A504" s="29" t="str">
        <f t="shared" si="300"/>
        <v>3Chiều4</v>
      </c>
      <c r="B504" s="29" t="str">
        <f t="shared" si="301"/>
        <v>3Chiều4Chi</v>
      </c>
      <c r="C504" s="29" t="str">
        <f t="shared" si="302"/>
        <v/>
      </c>
      <c r="D504" s="29" t="str">
        <f t="shared" si="303"/>
        <v/>
      </c>
      <c r="E504" s="29" t="s">
        <v>88</v>
      </c>
      <c r="F504" s="29">
        <v>3</v>
      </c>
      <c r="G504" s="29" t="s">
        <v>4</v>
      </c>
      <c r="H504" s="29">
        <v>4</v>
      </c>
      <c r="I504" s="36" t="str">
        <f t="shared" si="306"/>
        <v>Chi</v>
      </c>
      <c r="J504" s="36" t="str">
        <f t="shared" si="307"/>
        <v>Toán -5C1</v>
      </c>
    </row>
    <row r="505" spans="1:10" x14ac:dyDescent="0.25">
      <c r="A505" s="29" t="str">
        <f t="shared" si="300"/>
        <v>3Chiều5</v>
      </c>
      <c r="B505" s="29" t="str">
        <f t="shared" si="301"/>
        <v>3Chiều5</v>
      </c>
      <c r="C505" s="29" t="str">
        <f t="shared" si="302"/>
        <v/>
      </c>
      <c r="D505" s="29" t="str">
        <f t="shared" si="303"/>
        <v/>
      </c>
      <c r="E505" s="29" t="s">
        <v>88</v>
      </c>
      <c r="F505" s="29">
        <v>3</v>
      </c>
      <c r="G505" s="29" t="s">
        <v>4</v>
      </c>
      <c r="H505" s="29">
        <v>5</v>
      </c>
      <c r="I505" s="36" t="str">
        <f t="shared" si="306"/>
        <v/>
      </c>
      <c r="J505" s="36" t="str">
        <f t="shared" si="307"/>
        <v/>
      </c>
    </row>
    <row r="506" spans="1:10" x14ac:dyDescent="0.25">
      <c r="A506" s="29" t="str">
        <f t="shared" si="300"/>
        <v>4Sáng1</v>
      </c>
      <c r="B506" s="29" t="str">
        <f t="shared" si="301"/>
        <v>4Sáng1Bích</v>
      </c>
      <c r="C506" s="29" t="str">
        <f t="shared" si="302"/>
        <v/>
      </c>
      <c r="D506" s="29" t="str">
        <f t="shared" si="303"/>
        <v/>
      </c>
      <c r="E506" s="29" t="s">
        <v>88</v>
      </c>
      <c r="F506" s="29">
        <v>4</v>
      </c>
      <c r="G506" s="29" t="s">
        <v>3</v>
      </c>
      <c r="H506" s="29">
        <v>1</v>
      </c>
      <c r="I506" s="36" t="str">
        <f t="shared" si="306"/>
        <v>Bích</v>
      </c>
      <c r="J506" s="36" t="str">
        <f t="shared" si="307"/>
        <v>GVVN -5C1</v>
      </c>
    </row>
    <row r="507" spans="1:10" x14ac:dyDescent="0.25">
      <c r="A507" s="29" t="str">
        <f t="shared" si="300"/>
        <v>4Sáng2</v>
      </c>
      <c r="B507" s="29" t="str">
        <f t="shared" si="301"/>
        <v>4Sáng2Ly</v>
      </c>
      <c r="C507" s="29" t="str">
        <f t="shared" si="302"/>
        <v/>
      </c>
      <c r="D507" s="29" t="str">
        <f t="shared" si="303"/>
        <v/>
      </c>
      <c r="E507" s="29" t="s">
        <v>88</v>
      </c>
      <c r="F507" s="29">
        <v>4</v>
      </c>
      <c r="G507" s="29" t="s">
        <v>3</v>
      </c>
      <c r="H507" s="29">
        <v>2</v>
      </c>
      <c r="I507" s="36" t="str">
        <f t="shared" si="306"/>
        <v>Ly</v>
      </c>
      <c r="J507" s="36" t="str">
        <f t="shared" si="307"/>
        <v>TViệt -5C1</v>
      </c>
    </row>
    <row r="508" spans="1:10" x14ac:dyDescent="0.25">
      <c r="A508" s="29" t="str">
        <f t="shared" si="300"/>
        <v>4Sáng3</v>
      </c>
      <c r="B508" s="29" t="str">
        <f t="shared" si="301"/>
        <v>4Sáng3Trang ÂN</v>
      </c>
      <c r="C508" s="29" t="str">
        <f t="shared" si="302"/>
        <v/>
      </c>
      <c r="D508" s="29" t="str">
        <f t="shared" si="303"/>
        <v/>
      </c>
      <c r="E508" s="29" t="s">
        <v>88</v>
      </c>
      <c r="F508" s="29">
        <v>4</v>
      </c>
      <c r="G508" s="29" t="s">
        <v>3</v>
      </c>
      <c r="H508" s="29">
        <v>3</v>
      </c>
      <c r="I508" s="36" t="str">
        <f t="shared" si="306"/>
        <v>Trang ÂN</v>
      </c>
      <c r="J508" s="36" t="str">
        <f t="shared" si="307"/>
        <v>Nhạc -5C1</v>
      </c>
    </row>
    <row r="509" spans="1:10" x14ac:dyDescent="0.25">
      <c r="A509" s="29" t="str">
        <f t="shared" si="300"/>
        <v>4Sáng4</v>
      </c>
      <c r="B509" s="29" t="str">
        <f t="shared" si="301"/>
        <v>4Sáng4Chi</v>
      </c>
      <c r="C509" s="29" t="str">
        <f t="shared" si="302"/>
        <v/>
      </c>
      <c r="D509" s="29" t="str">
        <f t="shared" si="303"/>
        <v/>
      </c>
      <c r="E509" s="29" t="s">
        <v>88</v>
      </c>
      <c r="F509" s="29">
        <v>4</v>
      </c>
      <c r="G509" s="29" t="s">
        <v>3</v>
      </c>
      <c r="H509" s="29">
        <v>4</v>
      </c>
      <c r="I509" s="36" t="str">
        <f t="shared" si="306"/>
        <v>Chi</v>
      </c>
      <c r="J509" s="36" t="str">
        <f t="shared" si="307"/>
        <v>Toán -5C1</v>
      </c>
    </row>
    <row r="510" spans="1:10" x14ac:dyDescent="0.25">
      <c r="A510" s="29" t="str">
        <f t="shared" si="300"/>
        <v>4Sáng5</v>
      </c>
      <c r="B510" s="29" t="str">
        <f t="shared" si="301"/>
        <v>4Sáng5</v>
      </c>
      <c r="C510" s="29" t="str">
        <f t="shared" si="302"/>
        <v/>
      </c>
      <c r="D510" s="29" t="str">
        <f t="shared" si="303"/>
        <v/>
      </c>
      <c r="E510" s="29" t="s">
        <v>88</v>
      </c>
      <c r="F510" s="29">
        <v>4</v>
      </c>
      <c r="G510" s="29" t="s">
        <v>3</v>
      </c>
      <c r="H510" s="29">
        <v>5</v>
      </c>
      <c r="I510" s="36" t="str">
        <f t="shared" si="306"/>
        <v/>
      </c>
      <c r="J510" s="36" t="str">
        <f t="shared" si="307"/>
        <v/>
      </c>
    </row>
    <row r="511" spans="1:10" x14ac:dyDescent="0.25">
      <c r="A511" s="29" t="str">
        <f t="shared" ref="A511:A574" si="308">F511&amp;G511&amp;H511&amp;C511</f>
        <v>4Chiều1Tay</v>
      </c>
      <c r="B511" s="29" t="str">
        <f t="shared" ref="B511:B574" si="309">IF(D511="",F511&amp;G511&amp;H511&amp;I511,F511&amp;G511&amp;H511&amp;D511)</f>
        <v>4Chiều1Bích</v>
      </c>
      <c r="C511" s="29" t="str">
        <f t="shared" ref="C511:C574" si="310">IFERROR(LEFT(I511,FIND(",",I511)-1),"")</f>
        <v>Tay</v>
      </c>
      <c r="D511" s="29" t="str">
        <f t="shared" ref="D511:D574" si="311">IF(C511="","",RIGHT(I511,LEN(I511)-FIND(",",I511)-1))</f>
        <v>Bích</v>
      </c>
      <c r="E511" s="29" t="s">
        <v>88</v>
      </c>
      <c r="F511" s="29">
        <v>4</v>
      </c>
      <c r="G511" s="29" t="s">
        <v>4</v>
      </c>
      <c r="H511" s="29">
        <v>1</v>
      </c>
      <c r="I511" s="36" t="str">
        <f t="shared" si="306"/>
        <v>Tay, Bích</v>
      </c>
      <c r="J511" s="36" t="str">
        <f t="shared" si="307"/>
        <v>GVNN -5C1</v>
      </c>
    </row>
    <row r="512" spans="1:10" x14ac:dyDescent="0.25">
      <c r="A512" s="29" t="str">
        <f t="shared" si="308"/>
        <v>4Chiều2</v>
      </c>
      <c r="B512" s="29" t="str">
        <f t="shared" si="309"/>
        <v>4Chiều2Chi</v>
      </c>
      <c r="C512" s="29" t="str">
        <f t="shared" si="310"/>
        <v/>
      </c>
      <c r="D512" s="29" t="str">
        <f t="shared" si="311"/>
        <v/>
      </c>
      <c r="E512" s="29" t="s">
        <v>88</v>
      </c>
      <c r="F512" s="29">
        <v>4</v>
      </c>
      <c r="G512" s="29" t="s">
        <v>4</v>
      </c>
      <c r="H512" s="29">
        <v>2</v>
      </c>
      <c r="I512" s="36" t="str">
        <f t="shared" si="306"/>
        <v>Chi</v>
      </c>
      <c r="J512" s="36" t="str">
        <f t="shared" si="307"/>
        <v>Toán -5C1</v>
      </c>
    </row>
    <row r="513" spans="1:10" x14ac:dyDescent="0.25">
      <c r="A513" s="29" t="str">
        <f t="shared" si="308"/>
        <v>4Chiều3</v>
      </c>
      <c r="B513" s="29" t="str">
        <f t="shared" si="309"/>
        <v>4Chiều3Phương</v>
      </c>
      <c r="C513" s="29" t="str">
        <f t="shared" si="310"/>
        <v/>
      </c>
      <c r="D513" s="29" t="str">
        <f t="shared" si="311"/>
        <v/>
      </c>
      <c r="E513" s="29" t="s">
        <v>88</v>
      </c>
      <c r="F513" s="29">
        <v>4</v>
      </c>
      <c r="G513" s="29" t="s">
        <v>4</v>
      </c>
      <c r="H513" s="29">
        <v>3</v>
      </c>
      <c r="I513" s="36" t="str">
        <f t="shared" si="306"/>
        <v>Phương</v>
      </c>
      <c r="J513" s="36" t="str">
        <f t="shared" si="307"/>
        <v>Mĩ thuật -5C1</v>
      </c>
    </row>
    <row r="514" spans="1:10" x14ac:dyDescent="0.25">
      <c r="A514" s="29" t="str">
        <f t="shared" si="308"/>
        <v>4Chiều4</v>
      </c>
      <c r="B514" s="29" t="str">
        <f t="shared" si="309"/>
        <v>4Chiều4Thanh</v>
      </c>
      <c r="C514" s="29" t="str">
        <f t="shared" si="310"/>
        <v/>
      </c>
      <c r="D514" s="29" t="str">
        <f t="shared" si="311"/>
        <v/>
      </c>
      <c r="E514" s="29" t="s">
        <v>88</v>
      </c>
      <c r="F514" s="29">
        <v>4</v>
      </c>
      <c r="G514" s="29" t="s">
        <v>4</v>
      </c>
      <c r="H514" s="29">
        <v>4</v>
      </c>
      <c r="I514" s="36" t="str">
        <f t="shared" si="306"/>
        <v>Thanh</v>
      </c>
      <c r="J514" s="36" t="str">
        <f t="shared" si="307"/>
        <v>Tiếng Trung -5C1</v>
      </c>
    </row>
    <row r="515" spans="1:10" x14ac:dyDescent="0.25">
      <c r="A515" s="29" t="str">
        <f t="shared" si="308"/>
        <v>4Chiều5</v>
      </c>
      <c r="B515" s="29" t="str">
        <f t="shared" si="309"/>
        <v>4Chiều5</v>
      </c>
      <c r="C515" s="29" t="str">
        <f t="shared" si="310"/>
        <v/>
      </c>
      <c r="D515" s="29" t="str">
        <f t="shared" si="311"/>
        <v/>
      </c>
      <c r="E515" s="29" t="s">
        <v>88</v>
      </c>
      <c r="F515" s="29">
        <v>4</v>
      </c>
      <c r="G515" s="29" t="s">
        <v>4</v>
      </c>
      <c r="H515" s="29">
        <v>5</v>
      </c>
      <c r="I515" s="36" t="str">
        <f t="shared" si="306"/>
        <v/>
      </c>
      <c r="J515" s="36" t="str">
        <f t="shared" si="307"/>
        <v/>
      </c>
    </row>
    <row r="516" spans="1:10" x14ac:dyDescent="0.25">
      <c r="A516" s="29" t="str">
        <f t="shared" si="308"/>
        <v>5Sáng1</v>
      </c>
      <c r="B516" s="29" t="str">
        <f t="shared" si="309"/>
        <v>5Sáng1Hồng</v>
      </c>
      <c r="C516" s="29" t="str">
        <f t="shared" si="310"/>
        <v/>
      </c>
      <c r="D516" s="29" t="str">
        <f t="shared" si="311"/>
        <v/>
      </c>
      <c r="E516" s="29" t="s">
        <v>88</v>
      </c>
      <c r="F516" s="29">
        <v>5</v>
      </c>
      <c r="G516" s="29" t="s">
        <v>3</v>
      </c>
      <c r="H516" s="29">
        <v>1</v>
      </c>
      <c r="I516" s="36" t="str">
        <f t="shared" si="306"/>
        <v>Hồng</v>
      </c>
      <c r="J516" s="36" t="str">
        <f t="shared" si="307"/>
        <v>GDTC -5C1</v>
      </c>
    </row>
    <row r="517" spans="1:10" x14ac:dyDescent="0.25">
      <c r="A517" s="29" t="str">
        <f t="shared" si="308"/>
        <v>5Sáng2</v>
      </c>
      <c r="B517" s="29" t="str">
        <f t="shared" si="309"/>
        <v>5Sáng2Hồng</v>
      </c>
      <c r="C517" s="29" t="str">
        <f t="shared" si="310"/>
        <v/>
      </c>
      <c r="D517" s="29" t="str">
        <f t="shared" si="311"/>
        <v/>
      </c>
      <c r="E517" s="29" t="s">
        <v>88</v>
      </c>
      <c r="F517" s="29">
        <v>5</v>
      </c>
      <c r="G517" s="29" t="s">
        <v>3</v>
      </c>
      <c r="H517" s="29">
        <v>2</v>
      </c>
      <c r="I517" s="36" t="str">
        <f t="shared" si="306"/>
        <v>Hồng</v>
      </c>
      <c r="J517" s="36" t="str">
        <f t="shared" si="307"/>
        <v>GDTC -5C1</v>
      </c>
    </row>
    <row r="518" spans="1:10" x14ac:dyDescent="0.25">
      <c r="A518" s="29" t="str">
        <f t="shared" si="308"/>
        <v>5Sáng3</v>
      </c>
      <c r="B518" s="29" t="str">
        <f t="shared" si="309"/>
        <v>5Sáng3Bích</v>
      </c>
      <c r="C518" s="29" t="str">
        <f t="shared" si="310"/>
        <v/>
      </c>
      <c r="D518" s="29" t="str">
        <f t="shared" si="311"/>
        <v/>
      </c>
      <c r="E518" s="29" t="s">
        <v>88</v>
      </c>
      <c r="F518" s="29">
        <v>5</v>
      </c>
      <c r="G518" s="29" t="s">
        <v>3</v>
      </c>
      <c r="H518" s="29">
        <v>3</v>
      </c>
      <c r="I518" s="36" t="str">
        <f t="shared" ref="I518:I545" si="312">AB98</f>
        <v>Bích</v>
      </c>
      <c r="J518" s="36" t="str">
        <f t="shared" ref="J518:J545" si="313">AC98</f>
        <v>GVVN -5C1</v>
      </c>
    </row>
    <row r="519" spans="1:10" x14ac:dyDescent="0.25">
      <c r="A519" s="29" t="str">
        <f t="shared" si="308"/>
        <v>5Sáng4</v>
      </c>
      <c r="B519" s="29" t="str">
        <f t="shared" si="309"/>
        <v>5Sáng4Chi</v>
      </c>
      <c r="C519" s="29" t="str">
        <f t="shared" si="310"/>
        <v/>
      </c>
      <c r="D519" s="29" t="str">
        <f t="shared" si="311"/>
        <v/>
      </c>
      <c r="E519" s="29" t="s">
        <v>88</v>
      </c>
      <c r="F519" s="29">
        <v>5</v>
      </c>
      <c r="G519" s="29" t="s">
        <v>3</v>
      </c>
      <c r="H519" s="29">
        <v>4</v>
      </c>
      <c r="I519" s="36" t="str">
        <f t="shared" si="312"/>
        <v>Chi</v>
      </c>
      <c r="J519" s="36" t="str">
        <f t="shared" si="313"/>
        <v>Toán -5C1</v>
      </c>
    </row>
    <row r="520" spans="1:10" x14ac:dyDescent="0.25">
      <c r="A520" s="29" t="str">
        <f t="shared" si="308"/>
        <v>5Sáng5</v>
      </c>
      <c r="B520" s="29" t="str">
        <f t="shared" si="309"/>
        <v>5Sáng5</v>
      </c>
      <c r="C520" s="29" t="str">
        <f t="shared" si="310"/>
        <v/>
      </c>
      <c r="D520" s="29" t="str">
        <f t="shared" si="311"/>
        <v/>
      </c>
      <c r="E520" s="29" t="s">
        <v>88</v>
      </c>
      <c r="F520" s="29">
        <v>5</v>
      </c>
      <c r="G520" s="29" t="s">
        <v>3</v>
      </c>
      <c r="H520" s="29">
        <v>5</v>
      </c>
      <c r="I520" s="36" t="str">
        <f t="shared" si="312"/>
        <v/>
      </c>
      <c r="J520" s="36" t="str">
        <f t="shared" si="313"/>
        <v/>
      </c>
    </row>
    <row r="521" spans="1:10" x14ac:dyDescent="0.25">
      <c r="A521" s="29" t="str">
        <f t="shared" si="308"/>
        <v>5Chiều1Tay</v>
      </c>
      <c r="B521" s="29" t="str">
        <f t="shared" si="309"/>
        <v>5Chiều1Bích</v>
      </c>
      <c r="C521" s="29" t="str">
        <f t="shared" si="310"/>
        <v>Tay</v>
      </c>
      <c r="D521" s="29" t="str">
        <f t="shared" si="311"/>
        <v>Bích</v>
      </c>
      <c r="E521" s="29" t="s">
        <v>88</v>
      </c>
      <c r="F521" s="29">
        <v>5</v>
      </c>
      <c r="G521" s="29" t="s">
        <v>4</v>
      </c>
      <c r="H521" s="29">
        <v>1</v>
      </c>
      <c r="I521" s="36" t="str">
        <f t="shared" si="312"/>
        <v>Tay, Bích</v>
      </c>
      <c r="J521" s="36" t="str">
        <f t="shared" si="313"/>
        <v>GVNN -5C1</v>
      </c>
    </row>
    <row r="522" spans="1:10" x14ac:dyDescent="0.25">
      <c r="A522" s="29" t="str">
        <f t="shared" si="308"/>
        <v>5Chiều2</v>
      </c>
      <c r="B522" s="29" t="str">
        <f t="shared" si="309"/>
        <v>5Chiều2Xuân</v>
      </c>
      <c r="C522" s="29" t="str">
        <f t="shared" si="310"/>
        <v/>
      </c>
      <c r="D522" s="29" t="str">
        <f t="shared" si="311"/>
        <v/>
      </c>
      <c r="E522" s="29" t="s">
        <v>88</v>
      </c>
      <c r="F522" s="29">
        <v>5</v>
      </c>
      <c r="G522" s="29" t="s">
        <v>4</v>
      </c>
      <c r="H522" s="29">
        <v>2</v>
      </c>
      <c r="I522" s="36" t="str">
        <f t="shared" si="312"/>
        <v>Xuân</v>
      </c>
      <c r="J522" s="36" t="str">
        <f t="shared" si="313"/>
        <v>Đạo đức -5C1</v>
      </c>
    </row>
    <row r="523" spans="1:10" x14ac:dyDescent="0.25">
      <c r="A523" s="29" t="str">
        <f t="shared" si="308"/>
        <v>5Chiều3</v>
      </c>
      <c r="B523" s="29" t="str">
        <f t="shared" si="309"/>
        <v>5Chiều3Ngọc</v>
      </c>
      <c r="C523" s="29" t="str">
        <f t="shared" si="310"/>
        <v/>
      </c>
      <c r="D523" s="29" t="str">
        <f t="shared" si="311"/>
        <v/>
      </c>
      <c r="E523" s="29" t="s">
        <v>88</v>
      </c>
      <c r="F523" s="29">
        <v>5</v>
      </c>
      <c r="G523" s="29" t="s">
        <v>4</v>
      </c>
      <c r="H523" s="29">
        <v>3</v>
      </c>
      <c r="I523" s="36" t="str">
        <f t="shared" si="312"/>
        <v>Ngọc</v>
      </c>
      <c r="J523" s="36" t="str">
        <f t="shared" si="313"/>
        <v>TViệt -5C1</v>
      </c>
    </row>
    <row r="524" spans="1:10" x14ac:dyDescent="0.25">
      <c r="A524" s="29" t="str">
        <f t="shared" si="308"/>
        <v>5Chiều4</v>
      </c>
      <c r="B524" s="29" t="str">
        <f t="shared" si="309"/>
        <v>5Chiều4Chi</v>
      </c>
      <c r="C524" s="29" t="str">
        <f t="shared" si="310"/>
        <v/>
      </c>
      <c r="D524" s="29" t="str">
        <f t="shared" si="311"/>
        <v/>
      </c>
      <c r="E524" s="29" t="s">
        <v>88</v>
      </c>
      <c r="F524" s="29">
        <v>5</v>
      </c>
      <c r="G524" s="29" t="s">
        <v>4</v>
      </c>
      <c r="H524" s="29">
        <v>4</v>
      </c>
      <c r="I524" s="36" t="str">
        <f t="shared" si="312"/>
        <v>Chi</v>
      </c>
      <c r="J524" s="36" t="str">
        <f t="shared" si="313"/>
        <v>Toán -5C1</v>
      </c>
    </row>
    <row r="525" spans="1:10" x14ac:dyDescent="0.25">
      <c r="A525" s="29" t="str">
        <f t="shared" si="308"/>
        <v>5Chiều5</v>
      </c>
      <c r="B525" s="29" t="str">
        <f t="shared" si="309"/>
        <v>5Chiều5</v>
      </c>
      <c r="C525" s="29" t="str">
        <f t="shared" si="310"/>
        <v/>
      </c>
      <c r="D525" s="29" t="str">
        <f t="shared" si="311"/>
        <v/>
      </c>
      <c r="E525" s="29" t="s">
        <v>88</v>
      </c>
      <c r="F525" s="29">
        <v>5</v>
      </c>
      <c r="G525" s="29" t="s">
        <v>4</v>
      </c>
      <c r="H525" s="29">
        <v>5</v>
      </c>
      <c r="I525" s="36" t="str">
        <f t="shared" si="312"/>
        <v/>
      </c>
      <c r="J525" s="36" t="str">
        <f t="shared" si="313"/>
        <v/>
      </c>
    </row>
    <row r="526" spans="1:10" x14ac:dyDescent="0.25">
      <c r="A526" s="29" t="str">
        <f t="shared" si="308"/>
        <v>6Sáng1</v>
      </c>
      <c r="B526" s="29" t="str">
        <f t="shared" si="309"/>
        <v>6Sáng1Bích</v>
      </c>
      <c r="C526" s="29" t="str">
        <f t="shared" si="310"/>
        <v/>
      </c>
      <c r="D526" s="29" t="str">
        <f t="shared" si="311"/>
        <v/>
      </c>
      <c r="E526" s="29" t="s">
        <v>88</v>
      </c>
      <c r="F526" s="29">
        <v>6</v>
      </c>
      <c r="G526" s="29" t="s">
        <v>3</v>
      </c>
      <c r="H526" s="29">
        <v>1</v>
      </c>
      <c r="I526" s="36" t="str">
        <f t="shared" si="312"/>
        <v>Bích</v>
      </c>
      <c r="J526" s="36" t="str">
        <f t="shared" si="313"/>
        <v>GVVN -5C1</v>
      </c>
    </row>
    <row r="527" spans="1:10" x14ac:dyDescent="0.25">
      <c r="A527" s="29" t="str">
        <f t="shared" si="308"/>
        <v>6Sáng2</v>
      </c>
      <c r="B527" s="29" t="str">
        <f t="shared" si="309"/>
        <v>6Sáng2Chi</v>
      </c>
      <c r="C527" s="29" t="str">
        <f t="shared" si="310"/>
        <v/>
      </c>
      <c r="D527" s="29" t="str">
        <f t="shared" si="311"/>
        <v/>
      </c>
      <c r="E527" s="29" t="s">
        <v>88</v>
      </c>
      <c r="F527" s="29">
        <v>6</v>
      </c>
      <c r="G527" s="29" t="s">
        <v>3</v>
      </c>
      <c r="H527" s="29">
        <v>2</v>
      </c>
      <c r="I527" s="36" t="str">
        <f t="shared" si="312"/>
        <v>Chi</v>
      </c>
      <c r="J527" s="36" t="str">
        <f t="shared" si="313"/>
        <v>Toán -5C1</v>
      </c>
    </row>
    <row r="528" spans="1:10" x14ac:dyDescent="0.25">
      <c r="A528" s="29" t="str">
        <f t="shared" si="308"/>
        <v>6Sáng3</v>
      </c>
      <c r="B528" s="29" t="str">
        <f t="shared" si="309"/>
        <v>6Sáng3Ngọc</v>
      </c>
      <c r="C528" s="29" t="str">
        <f t="shared" si="310"/>
        <v/>
      </c>
      <c r="D528" s="29" t="str">
        <f t="shared" si="311"/>
        <v/>
      </c>
      <c r="E528" s="29" t="s">
        <v>88</v>
      </c>
      <c r="F528" s="29">
        <v>6</v>
      </c>
      <c r="G528" s="29" t="s">
        <v>3</v>
      </c>
      <c r="H528" s="29">
        <v>3</v>
      </c>
      <c r="I528" s="36" t="str">
        <f t="shared" si="312"/>
        <v>Ngọc</v>
      </c>
      <c r="J528" s="36" t="str">
        <f t="shared" si="313"/>
        <v>TViệt -5C1</v>
      </c>
    </row>
    <row r="529" spans="1:10" x14ac:dyDescent="0.25">
      <c r="A529" s="29" t="str">
        <f t="shared" si="308"/>
        <v>6Sáng4</v>
      </c>
      <c r="B529" s="29" t="str">
        <f t="shared" si="309"/>
        <v>6Sáng4Ngọc</v>
      </c>
      <c r="C529" s="29" t="str">
        <f t="shared" si="310"/>
        <v/>
      </c>
      <c r="D529" s="29" t="str">
        <f t="shared" si="311"/>
        <v/>
      </c>
      <c r="E529" s="29" t="s">
        <v>88</v>
      </c>
      <c r="F529" s="29">
        <v>6</v>
      </c>
      <c r="G529" s="29" t="s">
        <v>3</v>
      </c>
      <c r="H529" s="29">
        <v>4</v>
      </c>
      <c r="I529" s="36" t="str">
        <f t="shared" si="312"/>
        <v>Ngọc</v>
      </c>
      <c r="J529" s="36" t="str">
        <f t="shared" si="313"/>
        <v>TViệt -5C1</v>
      </c>
    </row>
    <row r="530" spans="1:10" x14ac:dyDescent="0.25">
      <c r="A530" s="29" t="str">
        <f t="shared" si="308"/>
        <v>6Sáng5</v>
      </c>
      <c r="B530" s="29" t="str">
        <f t="shared" si="309"/>
        <v>6Sáng5Ph.Anh</v>
      </c>
      <c r="C530" s="29" t="str">
        <f t="shared" si="310"/>
        <v/>
      </c>
      <c r="D530" s="29" t="str">
        <f t="shared" si="311"/>
        <v/>
      </c>
      <c r="E530" s="29" t="s">
        <v>88</v>
      </c>
      <c r="F530" s="29">
        <v>6</v>
      </c>
      <c r="G530" s="29" t="s">
        <v>3</v>
      </c>
      <c r="H530" s="29">
        <v>5</v>
      </c>
      <c r="I530" s="36" t="str">
        <f t="shared" si="312"/>
        <v>Ph.Anh</v>
      </c>
      <c r="J530" s="36" t="str">
        <f t="shared" si="313"/>
        <v>Toán -5C1</v>
      </c>
    </row>
    <row r="531" spans="1:10" x14ac:dyDescent="0.25">
      <c r="A531" s="29" t="str">
        <f t="shared" si="308"/>
        <v>6Chiều1</v>
      </c>
      <c r="B531" s="29" t="str">
        <f t="shared" si="309"/>
        <v>6Chiều1Bích</v>
      </c>
      <c r="C531" s="29" t="str">
        <f t="shared" si="310"/>
        <v/>
      </c>
      <c r="D531" s="29" t="str">
        <f t="shared" si="311"/>
        <v/>
      </c>
      <c r="E531" s="29" t="s">
        <v>88</v>
      </c>
      <c r="F531" s="29">
        <v>6</v>
      </c>
      <c r="G531" s="29" t="s">
        <v>4</v>
      </c>
      <c r="H531" s="29">
        <v>1</v>
      </c>
      <c r="I531" s="36" t="str">
        <f t="shared" si="312"/>
        <v>Bích</v>
      </c>
      <c r="J531" s="36" t="str">
        <f t="shared" si="313"/>
        <v>Science -5C1</v>
      </c>
    </row>
    <row r="532" spans="1:10" x14ac:dyDescent="0.25">
      <c r="A532" s="29" t="str">
        <f t="shared" si="308"/>
        <v>6Chiều2</v>
      </c>
      <c r="B532" s="29" t="str">
        <f t="shared" si="309"/>
        <v>6Chiều2Bích</v>
      </c>
      <c r="C532" s="29" t="str">
        <f t="shared" si="310"/>
        <v/>
      </c>
      <c r="D532" s="29" t="str">
        <f t="shared" si="311"/>
        <v/>
      </c>
      <c r="E532" s="29" t="s">
        <v>88</v>
      </c>
      <c r="F532" s="29">
        <v>6</v>
      </c>
      <c r="G532" s="29" t="s">
        <v>4</v>
      </c>
      <c r="H532" s="29">
        <v>2</v>
      </c>
      <c r="I532" s="36" t="str">
        <f t="shared" si="312"/>
        <v>Bích</v>
      </c>
      <c r="J532" s="36" t="str">
        <f t="shared" si="313"/>
        <v>GVVN -5C1</v>
      </c>
    </row>
    <row r="533" spans="1:10" x14ac:dyDescent="0.25">
      <c r="A533" s="29" t="str">
        <f t="shared" si="308"/>
        <v>6Chiều3</v>
      </c>
      <c r="B533" s="29" t="str">
        <f t="shared" si="309"/>
        <v>6Chiều3Ly</v>
      </c>
      <c r="C533" s="29" t="str">
        <f t="shared" si="310"/>
        <v/>
      </c>
      <c r="D533" s="29" t="str">
        <f t="shared" si="311"/>
        <v/>
      </c>
      <c r="E533" s="29" t="s">
        <v>88</v>
      </c>
      <c r="F533" s="29">
        <v>6</v>
      </c>
      <c r="G533" s="29" t="s">
        <v>4</v>
      </c>
      <c r="H533" s="29">
        <v>3</v>
      </c>
      <c r="I533" s="36" t="str">
        <f t="shared" si="312"/>
        <v>Ly</v>
      </c>
      <c r="J533" s="36" t="str">
        <f t="shared" si="313"/>
        <v>LS&amp;ĐL -5C1</v>
      </c>
    </row>
    <row r="534" spans="1:10" x14ac:dyDescent="0.25">
      <c r="A534" s="29" t="str">
        <f t="shared" si="308"/>
        <v>6Chiều4</v>
      </c>
      <c r="B534" s="29" t="str">
        <f t="shared" si="309"/>
        <v>6Chiều4Chi</v>
      </c>
      <c r="C534" s="29" t="str">
        <f t="shared" si="310"/>
        <v/>
      </c>
      <c r="D534" s="29" t="str">
        <f t="shared" si="311"/>
        <v/>
      </c>
      <c r="E534" s="29" t="s">
        <v>88</v>
      </c>
      <c r="F534" s="29">
        <v>6</v>
      </c>
      <c r="G534" s="29" t="s">
        <v>4</v>
      </c>
      <c r="H534" s="29">
        <v>4</v>
      </c>
      <c r="I534" s="36" t="str">
        <f t="shared" si="312"/>
        <v>Chi</v>
      </c>
      <c r="J534" s="36" t="str">
        <f t="shared" si="313"/>
        <v>Toán -5C1</v>
      </c>
    </row>
    <row r="535" spans="1:10" x14ac:dyDescent="0.25">
      <c r="A535" s="29" t="str">
        <f t="shared" si="308"/>
        <v>6Chiều5</v>
      </c>
      <c r="B535" s="29" t="str">
        <f t="shared" si="309"/>
        <v>6Chiều5</v>
      </c>
      <c r="C535" s="29" t="str">
        <f t="shared" si="310"/>
        <v/>
      </c>
      <c r="D535" s="29" t="str">
        <f t="shared" si="311"/>
        <v/>
      </c>
      <c r="E535" s="29" t="s">
        <v>88</v>
      </c>
      <c r="F535" s="29">
        <v>6</v>
      </c>
      <c r="G535" s="29" t="s">
        <v>4</v>
      </c>
      <c r="H535" s="29">
        <v>5</v>
      </c>
      <c r="I535" s="36" t="str">
        <f t="shared" si="312"/>
        <v/>
      </c>
      <c r="J535" s="36" t="str">
        <f t="shared" si="313"/>
        <v/>
      </c>
    </row>
    <row r="536" spans="1:10" x14ac:dyDescent="0.25">
      <c r="A536" s="29" t="str">
        <f t="shared" si="308"/>
        <v>7Sáng1</v>
      </c>
      <c r="B536" s="29" t="str">
        <f t="shared" si="309"/>
        <v>7Sáng1</v>
      </c>
      <c r="C536" s="29" t="str">
        <f t="shared" si="310"/>
        <v/>
      </c>
      <c r="D536" s="29" t="str">
        <f t="shared" si="311"/>
        <v/>
      </c>
      <c r="E536" s="29" t="s">
        <v>88</v>
      </c>
      <c r="F536" s="29">
        <v>7</v>
      </c>
      <c r="G536" s="29" t="s">
        <v>3</v>
      </c>
      <c r="H536" s="29">
        <v>1</v>
      </c>
      <c r="I536" s="36" t="str">
        <f t="shared" si="312"/>
        <v/>
      </c>
      <c r="J536" s="36" t="str">
        <f t="shared" si="313"/>
        <v/>
      </c>
    </row>
    <row r="537" spans="1:10" x14ac:dyDescent="0.25">
      <c r="A537" s="29" t="str">
        <f t="shared" si="308"/>
        <v>7Sáng2</v>
      </c>
      <c r="B537" s="29" t="str">
        <f t="shared" si="309"/>
        <v>7Sáng2</v>
      </c>
      <c r="C537" s="29" t="str">
        <f t="shared" si="310"/>
        <v/>
      </c>
      <c r="D537" s="29" t="str">
        <f t="shared" si="311"/>
        <v/>
      </c>
      <c r="E537" s="29" t="s">
        <v>88</v>
      </c>
      <c r="F537" s="29">
        <v>7</v>
      </c>
      <c r="G537" s="29" t="s">
        <v>3</v>
      </c>
      <c r="H537" s="29">
        <v>2</v>
      </c>
      <c r="I537" s="36" t="str">
        <f t="shared" si="312"/>
        <v/>
      </c>
      <c r="J537" s="36" t="str">
        <f t="shared" si="313"/>
        <v/>
      </c>
    </row>
    <row r="538" spans="1:10" x14ac:dyDescent="0.25">
      <c r="A538" s="29" t="str">
        <f t="shared" si="308"/>
        <v>7Sáng3</v>
      </c>
      <c r="B538" s="29" t="str">
        <f t="shared" si="309"/>
        <v>7Sáng3</v>
      </c>
      <c r="C538" s="29" t="str">
        <f t="shared" si="310"/>
        <v/>
      </c>
      <c r="D538" s="29" t="str">
        <f t="shared" si="311"/>
        <v/>
      </c>
      <c r="E538" s="29" t="s">
        <v>88</v>
      </c>
      <c r="F538" s="29">
        <v>7</v>
      </c>
      <c r="G538" s="29" t="s">
        <v>3</v>
      </c>
      <c r="H538" s="29">
        <v>3</v>
      </c>
      <c r="I538" s="36" t="str">
        <f t="shared" si="312"/>
        <v/>
      </c>
      <c r="J538" s="36" t="str">
        <f t="shared" si="313"/>
        <v/>
      </c>
    </row>
    <row r="539" spans="1:10" x14ac:dyDescent="0.25">
      <c r="A539" s="29" t="str">
        <f t="shared" si="308"/>
        <v>7Sáng4</v>
      </c>
      <c r="B539" s="29" t="str">
        <f t="shared" si="309"/>
        <v>7Sáng4</v>
      </c>
      <c r="C539" s="29" t="str">
        <f t="shared" si="310"/>
        <v/>
      </c>
      <c r="D539" s="29" t="str">
        <f t="shared" si="311"/>
        <v/>
      </c>
      <c r="E539" s="29" t="s">
        <v>88</v>
      </c>
      <c r="F539" s="29">
        <v>7</v>
      </c>
      <c r="G539" s="29" t="s">
        <v>3</v>
      </c>
      <c r="H539" s="29">
        <v>4</v>
      </c>
      <c r="I539" s="36" t="str">
        <f t="shared" si="312"/>
        <v/>
      </c>
      <c r="J539" s="36" t="str">
        <f t="shared" si="313"/>
        <v/>
      </c>
    </row>
    <row r="540" spans="1:10" x14ac:dyDescent="0.25">
      <c r="A540" s="29" t="str">
        <f t="shared" si="308"/>
        <v>7Sáng5</v>
      </c>
      <c r="B540" s="29" t="str">
        <f t="shared" si="309"/>
        <v>7Sáng5</v>
      </c>
      <c r="C540" s="29" t="str">
        <f t="shared" si="310"/>
        <v/>
      </c>
      <c r="D540" s="29" t="str">
        <f t="shared" si="311"/>
        <v/>
      </c>
      <c r="E540" s="29" t="s">
        <v>88</v>
      </c>
      <c r="F540" s="29">
        <v>7</v>
      </c>
      <c r="G540" s="29" t="s">
        <v>3</v>
      </c>
      <c r="H540" s="29">
        <v>5</v>
      </c>
      <c r="I540" s="36" t="str">
        <f t="shared" si="312"/>
        <v/>
      </c>
      <c r="J540" s="36" t="str">
        <f t="shared" si="313"/>
        <v/>
      </c>
    </row>
    <row r="541" spans="1:10" x14ac:dyDescent="0.25">
      <c r="A541" s="29" t="str">
        <f t="shared" si="308"/>
        <v>7Chiều1</v>
      </c>
      <c r="B541" s="29" t="str">
        <f t="shared" si="309"/>
        <v>7Chiều1</v>
      </c>
      <c r="C541" s="29" t="str">
        <f t="shared" si="310"/>
        <v/>
      </c>
      <c r="D541" s="29" t="str">
        <f t="shared" si="311"/>
        <v/>
      </c>
      <c r="E541" s="29" t="s">
        <v>88</v>
      </c>
      <c r="F541" s="29">
        <v>7</v>
      </c>
      <c r="G541" s="29" t="s">
        <v>4</v>
      </c>
      <c r="H541" s="29">
        <v>1</v>
      </c>
      <c r="I541" s="36" t="str">
        <f t="shared" si="312"/>
        <v/>
      </c>
      <c r="J541" s="36" t="str">
        <f t="shared" si="313"/>
        <v/>
      </c>
    </row>
    <row r="542" spans="1:10" x14ac:dyDescent="0.25">
      <c r="A542" s="29" t="str">
        <f t="shared" si="308"/>
        <v>7Chiều2</v>
      </c>
      <c r="B542" s="29" t="str">
        <f t="shared" si="309"/>
        <v>7Chiều2</v>
      </c>
      <c r="C542" s="29" t="str">
        <f t="shared" si="310"/>
        <v/>
      </c>
      <c r="D542" s="29" t="str">
        <f t="shared" si="311"/>
        <v/>
      </c>
      <c r="E542" s="29" t="s">
        <v>88</v>
      </c>
      <c r="F542" s="29">
        <v>7</v>
      </c>
      <c r="G542" s="29" t="s">
        <v>4</v>
      </c>
      <c r="H542" s="29">
        <v>2</v>
      </c>
      <c r="I542" s="36" t="str">
        <f t="shared" si="312"/>
        <v/>
      </c>
      <c r="J542" s="36" t="str">
        <f t="shared" si="313"/>
        <v/>
      </c>
    </row>
    <row r="543" spans="1:10" x14ac:dyDescent="0.25">
      <c r="A543" s="29" t="str">
        <f t="shared" si="308"/>
        <v>7Chiều3</v>
      </c>
      <c r="B543" s="29" t="str">
        <f t="shared" si="309"/>
        <v>7Chiều3</v>
      </c>
      <c r="C543" s="29" t="str">
        <f t="shared" si="310"/>
        <v/>
      </c>
      <c r="D543" s="29" t="str">
        <f t="shared" si="311"/>
        <v/>
      </c>
      <c r="E543" s="29" t="s">
        <v>88</v>
      </c>
      <c r="F543" s="29">
        <v>7</v>
      </c>
      <c r="G543" s="29" t="s">
        <v>4</v>
      </c>
      <c r="H543" s="29">
        <v>3</v>
      </c>
      <c r="I543" s="36" t="str">
        <f t="shared" si="312"/>
        <v/>
      </c>
      <c r="J543" s="36" t="str">
        <f t="shared" si="313"/>
        <v/>
      </c>
    </row>
    <row r="544" spans="1:10" x14ac:dyDescent="0.25">
      <c r="A544" s="29" t="str">
        <f t="shared" si="308"/>
        <v>7Chiều4</v>
      </c>
      <c r="B544" s="29" t="e">
        <f t="shared" si="309"/>
        <v>#VALUE!</v>
      </c>
      <c r="C544" s="29" t="str">
        <f t="shared" si="310"/>
        <v/>
      </c>
      <c r="D544" s="29" t="str">
        <f t="shared" si="311"/>
        <v/>
      </c>
      <c r="E544" s="29" t="s">
        <v>88</v>
      </c>
      <c r="F544" s="29">
        <v>7</v>
      </c>
      <c r="G544" s="29" t="s">
        <v>4</v>
      </c>
      <c r="H544" s="29">
        <v>4</v>
      </c>
      <c r="I544" s="36" t="e">
        <f t="shared" si="312"/>
        <v>#VALUE!</v>
      </c>
      <c r="J544" s="36" t="e">
        <f t="shared" si="313"/>
        <v>#VALUE!</v>
      </c>
    </row>
    <row r="545" spans="1:10" x14ac:dyDescent="0.25">
      <c r="A545" s="29" t="str">
        <f t="shared" si="308"/>
        <v>7Chiều5</v>
      </c>
      <c r="B545" s="29" t="e">
        <f t="shared" si="309"/>
        <v>#VALUE!</v>
      </c>
      <c r="C545" s="29" t="str">
        <f t="shared" si="310"/>
        <v/>
      </c>
      <c r="D545" s="29" t="str">
        <f t="shared" si="311"/>
        <v/>
      </c>
      <c r="E545" s="29" t="s">
        <v>88</v>
      </c>
      <c r="F545" s="29">
        <v>7</v>
      </c>
      <c r="G545" s="29" t="s">
        <v>4</v>
      </c>
      <c r="H545" s="29">
        <v>5</v>
      </c>
      <c r="I545" s="36" t="e">
        <f t="shared" si="312"/>
        <v>#VALUE!</v>
      </c>
      <c r="J545" s="36" t="e">
        <f t="shared" si="313"/>
        <v>#VALUE!</v>
      </c>
    </row>
    <row r="546" spans="1:10" x14ac:dyDescent="0.25">
      <c r="A546" s="29" t="str">
        <f t="shared" si="308"/>
        <v>2Sáng1</v>
      </c>
      <c r="B546" s="29" t="str">
        <f t="shared" si="309"/>
        <v>2Sáng1Ánh NV</v>
      </c>
      <c r="C546" s="29" t="str">
        <f t="shared" si="310"/>
        <v/>
      </c>
      <c r="D546" s="29" t="str">
        <f t="shared" si="311"/>
        <v/>
      </c>
      <c r="E546" s="29" t="s">
        <v>49</v>
      </c>
      <c r="F546" s="29">
        <v>2</v>
      </c>
      <c r="G546" s="29" t="s">
        <v>3</v>
      </c>
      <c r="H546" s="29">
        <v>1</v>
      </c>
      <c r="I546" s="36" t="str">
        <f t="shared" ref="I546:I577" si="314">AF66</f>
        <v>Ánh NV</v>
      </c>
      <c r="J546" s="36" t="str">
        <f t="shared" ref="J546:J577" si="315">AG66</f>
        <v>GDĐP -7A1</v>
      </c>
    </row>
    <row r="547" spans="1:10" x14ac:dyDescent="0.25">
      <c r="A547" s="29" t="str">
        <f t="shared" si="308"/>
        <v>2Sáng2</v>
      </c>
      <c r="B547" s="29" t="str">
        <f t="shared" si="309"/>
        <v>2Sáng2Trang ÂN</v>
      </c>
      <c r="C547" s="29" t="str">
        <f t="shared" si="310"/>
        <v/>
      </c>
      <c r="D547" s="29" t="str">
        <f t="shared" si="311"/>
        <v/>
      </c>
      <c r="E547" s="29" t="s">
        <v>49</v>
      </c>
      <c r="F547" s="29">
        <v>2</v>
      </c>
      <c r="G547" s="29" t="s">
        <v>3</v>
      </c>
      <c r="H547" s="29">
        <v>2</v>
      </c>
      <c r="I547" s="36" t="str">
        <f t="shared" si="314"/>
        <v>Trang ÂN</v>
      </c>
      <c r="J547" s="36" t="str">
        <f t="shared" si="315"/>
        <v>Nhạc -7A1</v>
      </c>
    </row>
    <row r="548" spans="1:10" x14ac:dyDescent="0.25">
      <c r="A548" s="29" t="str">
        <f t="shared" si="308"/>
        <v>2Sáng3</v>
      </c>
      <c r="B548" s="29" t="str">
        <f t="shared" si="309"/>
        <v>2Sáng3Tân</v>
      </c>
      <c r="C548" s="29" t="str">
        <f t="shared" si="310"/>
        <v/>
      </c>
      <c r="D548" s="29" t="str">
        <f t="shared" si="311"/>
        <v/>
      </c>
      <c r="E548" s="29" t="s">
        <v>49</v>
      </c>
      <c r="F548" s="29">
        <v>2</v>
      </c>
      <c r="G548" s="29" t="s">
        <v>3</v>
      </c>
      <c r="H548" s="29">
        <v>3</v>
      </c>
      <c r="I548" s="36" t="str">
        <f t="shared" si="314"/>
        <v>Tân</v>
      </c>
      <c r="J548" s="36" t="str">
        <f t="shared" si="315"/>
        <v>Toán -7A1</v>
      </c>
    </row>
    <row r="549" spans="1:10" x14ac:dyDescent="0.25">
      <c r="A549" s="29" t="str">
        <f t="shared" si="308"/>
        <v>2Sáng4</v>
      </c>
      <c r="B549" s="29" t="str">
        <f t="shared" si="309"/>
        <v>2Sáng4Chánh</v>
      </c>
      <c r="C549" s="29" t="str">
        <f t="shared" si="310"/>
        <v/>
      </c>
      <c r="D549" s="29" t="str">
        <f t="shared" si="311"/>
        <v/>
      </c>
      <c r="E549" s="29" t="s">
        <v>49</v>
      </c>
      <c r="F549" s="29">
        <v>2</v>
      </c>
      <c r="G549" s="29" t="s">
        <v>3</v>
      </c>
      <c r="H549" s="29">
        <v>4</v>
      </c>
      <c r="I549" s="36" t="str">
        <f t="shared" si="314"/>
        <v>Chánh</v>
      </c>
      <c r="J549" s="36" t="str">
        <f t="shared" si="315"/>
        <v>GVVN -7A1</v>
      </c>
    </row>
    <row r="550" spans="1:10" x14ac:dyDescent="0.25">
      <c r="A550" s="29" t="str">
        <f t="shared" si="308"/>
        <v>2Sáng5</v>
      </c>
      <c r="B550" s="29" t="str">
        <f t="shared" si="309"/>
        <v>2Sáng5Chánh</v>
      </c>
      <c r="C550" s="29" t="str">
        <f t="shared" si="310"/>
        <v/>
      </c>
      <c r="D550" s="29" t="str">
        <f t="shared" si="311"/>
        <v/>
      </c>
      <c r="E550" s="29" t="s">
        <v>49</v>
      </c>
      <c r="F550" s="29">
        <v>2</v>
      </c>
      <c r="G550" s="29" t="s">
        <v>3</v>
      </c>
      <c r="H550" s="29">
        <v>5</v>
      </c>
      <c r="I550" s="36" t="str">
        <f t="shared" si="314"/>
        <v>Chánh</v>
      </c>
      <c r="J550" s="36" t="str">
        <f t="shared" si="315"/>
        <v>GVVN -7A1</v>
      </c>
    </row>
    <row r="551" spans="1:10" x14ac:dyDescent="0.25">
      <c r="A551" s="29" t="str">
        <f t="shared" si="308"/>
        <v>2Chiều1</v>
      </c>
      <c r="B551" s="29" t="str">
        <f t="shared" si="309"/>
        <v>2Chiều1Nguyên</v>
      </c>
      <c r="C551" s="29" t="str">
        <f t="shared" si="310"/>
        <v/>
      </c>
      <c r="D551" s="29" t="str">
        <f t="shared" si="311"/>
        <v/>
      </c>
      <c r="E551" s="29" t="s">
        <v>49</v>
      </c>
      <c r="F551" s="29">
        <v>2</v>
      </c>
      <c r="G551" s="29" t="s">
        <v>4</v>
      </c>
      <c r="H551" s="29">
        <v>1</v>
      </c>
      <c r="I551" s="36" t="str">
        <f t="shared" si="314"/>
        <v>Nguyên</v>
      </c>
      <c r="J551" s="36" t="str">
        <f t="shared" si="315"/>
        <v>Tin -7A1</v>
      </c>
    </row>
    <row r="552" spans="1:10" x14ac:dyDescent="0.25">
      <c r="A552" s="29" t="str">
        <f t="shared" si="308"/>
        <v>2Chiều2</v>
      </c>
      <c r="B552" s="29" t="str">
        <f t="shared" si="309"/>
        <v>2Chiều2Ánh NV</v>
      </c>
      <c r="C552" s="29" t="str">
        <f t="shared" si="310"/>
        <v/>
      </c>
      <c r="D552" s="29" t="str">
        <f t="shared" si="311"/>
        <v/>
      </c>
      <c r="E552" s="29" t="s">
        <v>49</v>
      </c>
      <c r="F552" s="29">
        <v>2</v>
      </c>
      <c r="G552" s="29" t="s">
        <v>4</v>
      </c>
      <c r="H552" s="29">
        <v>2</v>
      </c>
      <c r="I552" s="36" t="str">
        <f t="shared" si="314"/>
        <v>Ánh NV</v>
      </c>
      <c r="J552" s="36" t="str">
        <f t="shared" si="315"/>
        <v>Văn -7A1</v>
      </c>
    </row>
    <row r="553" spans="1:10" x14ac:dyDescent="0.25">
      <c r="A553" s="29" t="str">
        <f t="shared" si="308"/>
        <v>2Chiều3</v>
      </c>
      <c r="B553" s="29" t="str">
        <f t="shared" si="309"/>
        <v>2Chiều3Châu</v>
      </c>
      <c r="C553" s="29" t="str">
        <f t="shared" si="310"/>
        <v/>
      </c>
      <c r="D553" s="29" t="str">
        <f t="shared" si="311"/>
        <v/>
      </c>
      <c r="E553" s="29" t="s">
        <v>49</v>
      </c>
      <c r="F553" s="29">
        <v>2</v>
      </c>
      <c r="G553" s="29" t="s">
        <v>4</v>
      </c>
      <c r="H553" s="29">
        <v>3</v>
      </c>
      <c r="I553" s="36" t="str">
        <f t="shared" si="314"/>
        <v>Châu</v>
      </c>
      <c r="J553" s="36" t="str">
        <f t="shared" si="315"/>
        <v>Tiếng Trung -7A1</v>
      </c>
    </row>
    <row r="554" spans="1:10" x14ac:dyDescent="0.25">
      <c r="A554" s="29" t="str">
        <f t="shared" si="308"/>
        <v>2Chiều4</v>
      </c>
      <c r="B554" s="29" t="str">
        <f t="shared" si="309"/>
        <v>2Chiều4Hà</v>
      </c>
      <c r="C554" s="29" t="str">
        <f t="shared" si="310"/>
        <v/>
      </c>
      <c r="D554" s="29" t="str">
        <f t="shared" si="311"/>
        <v/>
      </c>
      <c r="E554" s="29" t="s">
        <v>49</v>
      </c>
      <c r="F554" s="29">
        <v>2</v>
      </c>
      <c r="G554" s="29" t="s">
        <v>4</v>
      </c>
      <c r="H554" s="29">
        <v>4</v>
      </c>
      <c r="I554" s="36" t="str">
        <f t="shared" si="314"/>
        <v>Hà</v>
      </c>
      <c r="J554" s="36" t="str">
        <f t="shared" si="315"/>
        <v>LS&amp;ĐL -7A1</v>
      </c>
    </row>
    <row r="555" spans="1:10" x14ac:dyDescent="0.25">
      <c r="A555" s="29" t="str">
        <f t="shared" si="308"/>
        <v>2Chiều5</v>
      </c>
      <c r="B555" s="29" t="str">
        <f t="shared" si="309"/>
        <v>2Chiều5</v>
      </c>
      <c r="C555" s="29" t="str">
        <f t="shared" si="310"/>
        <v/>
      </c>
      <c r="D555" s="29" t="str">
        <f t="shared" si="311"/>
        <v/>
      </c>
      <c r="E555" s="29" t="s">
        <v>49</v>
      </c>
      <c r="F555" s="29">
        <v>2</v>
      </c>
      <c r="G555" s="29" t="s">
        <v>4</v>
      </c>
      <c r="H555" s="29">
        <v>5</v>
      </c>
      <c r="I555" s="36" t="str">
        <f t="shared" si="314"/>
        <v/>
      </c>
      <c r="J555" s="36" t="str">
        <f t="shared" si="315"/>
        <v/>
      </c>
    </row>
    <row r="556" spans="1:10" x14ac:dyDescent="0.25">
      <c r="A556" s="29" t="str">
        <f t="shared" si="308"/>
        <v>3Sáng1Tay</v>
      </c>
      <c r="B556" s="29" t="str">
        <f t="shared" si="309"/>
        <v>3Sáng1Chánh</v>
      </c>
      <c r="C556" s="29" t="str">
        <f t="shared" si="310"/>
        <v>Tay</v>
      </c>
      <c r="D556" s="29" t="str">
        <f t="shared" si="311"/>
        <v>Chánh</v>
      </c>
      <c r="E556" s="29" t="s">
        <v>49</v>
      </c>
      <c r="F556" s="29">
        <v>3</v>
      </c>
      <c r="G556" s="29" t="s">
        <v>3</v>
      </c>
      <c r="H556" s="29">
        <v>1</v>
      </c>
      <c r="I556" s="36" t="str">
        <f t="shared" si="314"/>
        <v>Tay, Chánh</v>
      </c>
      <c r="J556" s="36" t="str">
        <f t="shared" si="315"/>
        <v>GVNN -7A1</v>
      </c>
    </row>
    <row r="557" spans="1:10" x14ac:dyDescent="0.25">
      <c r="A557" s="29" t="str">
        <f t="shared" si="308"/>
        <v>3Sáng2</v>
      </c>
      <c r="B557" s="29" t="str">
        <f t="shared" si="309"/>
        <v>3Sáng2Tân</v>
      </c>
      <c r="C557" s="29" t="str">
        <f t="shared" si="310"/>
        <v/>
      </c>
      <c r="D557" s="29" t="str">
        <f t="shared" si="311"/>
        <v/>
      </c>
      <c r="E557" s="29" t="s">
        <v>49</v>
      </c>
      <c r="F557" s="29">
        <v>3</v>
      </c>
      <c r="G557" s="29" t="s">
        <v>3</v>
      </c>
      <c r="H557" s="29">
        <v>2</v>
      </c>
      <c r="I557" s="36" t="str">
        <f t="shared" si="314"/>
        <v>Tân</v>
      </c>
      <c r="J557" s="36" t="str">
        <f t="shared" si="315"/>
        <v>Toán -7A1</v>
      </c>
    </row>
    <row r="558" spans="1:10" x14ac:dyDescent="0.25">
      <c r="A558" s="29" t="str">
        <f t="shared" si="308"/>
        <v>3Sáng3</v>
      </c>
      <c r="B558" s="29" t="str">
        <f t="shared" si="309"/>
        <v>3Sáng3Nhung</v>
      </c>
      <c r="C558" s="29" t="str">
        <f t="shared" si="310"/>
        <v/>
      </c>
      <c r="D558" s="29" t="str">
        <f t="shared" si="311"/>
        <v/>
      </c>
      <c r="E558" s="29" t="s">
        <v>49</v>
      </c>
      <c r="F558" s="29">
        <v>3</v>
      </c>
      <c r="G558" s="29" t="s">
        <v>3</v>
      </c>
      <c r="H558" s="29">
        <v>3</v>
      </c>
      <c r="I558" s="36" t="str">
        <f t="shared" si="314"/>
        <v>Nhung</v>
      </c>
      <c r="J558" s="36" t="str">
        <f t="shared" si="315"/>
        <v>KHTN -7A1</v>
      </c>
    </row>
    <row r="559" spans="1:10" x14ac:dyDescent="0.25">
      <c r="A559" s="29" t="str">
        <f t="shared" si="308"/>
        <v>3Sáng4</v>
      </c>
      <c r="B559" s="29" t="str">
        <f t="shared" si="309"/>
        <v>3Sáng4Nhung</v>
      </c>
      <c r="C559" s="29" t="str">
        <f t="shared" si="310"/>
        <v/>
      </c>
      <c r="D559" s="29" t="str">
        <f t="shared" si="311"/>
        <v/>
      </c>
      <c r="E559" s="29" t="s">
        <v>49</v>
      </c>
      <c r="F559" s="29">
        <v>3</v>
      </c>
      <c r="G559" s="29" t="s">
        <v>3</v>
      </c>
      <c r="H559" s="29">
        <v>4</v>
      </c>
      <c r="I559" s="36" t="str">
        <f t="shared" si="314"/>
        <v>Nhung</v>
      </c>
      <c r="J559" s="36" t="str">
        <f t="shared" si="315"/>
        <v>KHTN -7A1</v>
      </c>
    </row>
    <row r="560" spans="1:10" x14ac:dyDescent="0.25">
      <c r="A560" s="29" t="str">
        <f t="shared" si="308"/>
        <v>3Sáng5</v>
      </c>
      <c r="B560" s="29" t="str">
        <f t="shared" si="309"/>
        <v>3Sáng5Ánh NV</v>
      </c>
      <c r="C560" s="29" t="str">
        <f t="shared" si="310"/>
        <v/>
      </c>
      <c r="D560" s="29" t="str">
        <f t="shared" si="311"/>
        <v/>
      </c>
      <c r="E560" s="29" t="s">
        <v>49</v>
      </c>
      <c r="F560" s="29">
        <v>3</v>
      </c>
      <c r="G560" s="29" t="s">
        <v>3</v>
      </c>
      <c r="H560" s="29">
        <v>5</v>
      </c>
      <c r="I560" s="36" t="str">
        <f t="shared" si="314"/>
        <v>Ánh NV</v>
      </c>
      <c r="J560" s="36" t="str">
        <f t="shared" si="315"/>
        <v>Văn -7A1</v>
      </c>
    </row>
    <row r="561" spans="1:10" x14ac:dyDescent="0.25">
      <c r="A561" s="29" t="str">
        <f t="shared" si="308"/>
        <v>3Chiều1Tay</v>
      </c>
      <c r="B561" s="29" t="str">
        <f t="shared" si="309"/>
        <v>3Chiều1Chánh</v>
      </c>
      <c r="C561" s="29" t="str">
        <f t="shared" si="310"/>
        <v>Tay</v>
      </c>
      <c r="D561" s="29" t="str">
        <f t="shared" si="311"/>
        <v>Chánh</v>
      </c>
      <c r="E561" s="29" t="s">
        <v>49</v>
      </c>
      <c r="F561" s="29">
        <v>3</v>
      </c>
      <c r="G561" s="29" t="s">
        <v>4</v>
      </c>
      <c r="H561" s="29">
        <v>1</v>
      </c>
      <c r="I561" s="36" t="str">
        <f t="shared" si="314"/>
        <v>Tay, Chánh</v>
      </c>
      <c r="J561" s="36" t="str">
        <f t="shared" si="315"/>
        <v>GVNN -7A1</v>
      </c>
    </row>
    <row r="562" spans="1:10" x14ac:dyDescent="0.25">
      <c r="A562" s="29" t="str">
        <f t="shared" si="308"/>
        <v>3Chiều2</v>
      </c>
      <c r="B562" s="29" t="str">
        <f t="shared" si="309"/>
        <v>3Chiều2Tân</v>
      </c>
      <c r="C562" s="29" t="str">
        <f t="shared" si="310"/>
        <v/>
      </c>
      <c r="D562" s="29" t="str">
        <f t="shared" si="311"/>
        <v/>
      </c>
      <c r="E562" s="29" t="s">
        <v>49</v>
      </c>
      <c r="F562" s="29">
        <v>3</v>
      </c>
      <c r="G562" s="29" t="s">
        <v>4</v>
      </c>
      <c r="H562" s="29">
        <v>2</v>
      </c>
      <c r="I562" s="36" t="str">
        <f t="shared" si="314"/>
        <v>Tân</v>
      </c>
      <c r="J562" s="36" t="str">
        <f t="shared" si="315"/>
        <v>Toán -7A1</v>
      </c>
    </row>
    <row r="563" spans="1:10" x14ac:dyDescent="0.25">
      <c r="A563" s="29" t="str">
        <f t="shared" si="308"/>
        <v>3Chiều3</v>
      </c>
      <c r="B563" s="29" t="str">
        <f t="shared" si="309"/>
        <v>3Chiều3Nguyên</v>
      </c>
      <c r="C563" s="29" t="str">
        <f t="shared" si="310"/>
        <v/>
      </c>
      <c r="D563" s="29" t="str">
        <f t="shared" si="311"/>
        <v/>
      </c>
      <c r="E563" s="29" t="s">
        <v>49</v>
      </c>
      <c r="F563" s="29">
        <v>3</v>
      </c>
      <c r="G563" s="29" t="s">
        <v>4</v>
      </c>
      <c r="H563" s="29">
        <v>3</v>
      </c>
      <c r="I563" s="36" t="str">
        <f t="shared" si="314"/>
        <v>Nguyên</v>
      </c>
      <c r="J563" s="36" t="str">
        <f t="shared" si="315"/>
        <v>Tin -7A1</v>
      </c>
    </row>
    <row r="564" spans="1:10" x14ac:dyDescent="0.25">
      <c r="A564" s="29" t="str">
        <f t="shared" si="308"/>
        <v>3Chiều4</v>
      </c>
      <c r="B564" s="29" t="str">
        <f t="shared" si="309"/>
        <v>3Chiều4Nguyên</v>
      </c>
      <c r="C564" s="29" t="str">
        <f t="shared" si="310"/>
        <v/>
      </c>
      <c r="D564" s="29" t="str">
        <f t="shared" si="311"/>
        <v/>
      </c>
      <c r="E564" s="29" t="s">
        <v>49</v>
      </c>
      <c r="F564" s="29">
        <v>3</v>
      </c>
      <c r="G564" s="29" t="s">
        <v>4</v>
      </c>
      <c r="H564" s="29">
        <v>4</v>
      </c>
      <c r="I564" s="36" t="str">
        <f t="shared" si="314"/>
        <v>Nguyên</v>
      </c>
      <c r="J564" s="36" t="str">
        <f t="shared" si="315"/>
        <v>Robotics -7A1</v>
      </c>
    </row>
    <row r="565" spans="1:10" x14ac:dyDescent="0.25">
      <c r="A565" s="29" t="str">
        <f t="shared" si="308"/>
        <v>3Chiều5</v>
      </c>
      <c r="B565" s="29" t="str">
        <f t="shared" si="309"/>
        <v>3Chiều5</v>
      </c>
      <c r="C565" s="29" t="str">
        <f t="shared" si="310"/>
        <v/>
      </c>
      <c r="D565" s="29" t="str">
        <f t="shared" si="311"/>
        <v/>
      </c>
      <c r="E565" s="29" t="s">
        <v>49</v>
      </c>
      <c r="F565" s="29">
        <v>3</v>
      </c>
      <c r="G565" s="29" t="s">
        <v>4</v>
      </c>
      <c r="H565" s="29">
        <v>5</v>
      </c>
      <c r="I565" s="36" t="str">
        <f t="shared" si="314"/>
        <v/>
      </c>
      <c r="J565" s="36" t="str">
        <f t="shared" si="315"/>
        <v/>
      </c>
    </row>
    <row r="566" spans="1:10" x14ac:dyDescent="0.25">
      <c r="A566" s="29" t="str">
        <f t="shared" si="308"/>
        <v>4Sáng1</v>
      </c>
      <c r="B566" s="29" t="str">
        <f t="shared" si="309"/>
        <v>4Sáng1Ánh NV</v>
      </c>
      <c r="C566" s="29" t="str">
        <f t="shared" si="310"/>
        <v/>
      </c>
      <c r="D566" s="29" t="str">
        <f t="shared" si="311"/>
        <v/>
      </c>
      <c r="E566" s="29" t="s">
        <v>49</v>
      </c>
      <c r="F566" s="29">
        <v>4</v>
      </c>
      <c r="G566" s="29" t="s">
        <v>3</v>
      </c>
      <c r="H566" s="29">
        <v>1</v>
      </c>
      <c r="I566" s="36" t="str">
        <f t="shared" si="314"/>
        <v>Ánh NV</v>
      </c>
      <c r="J566" s="36" t="str">
        <f t="shared" si="315"/>
        <v>Văn -7A1</v>
      </c>
    </row>
    <row r="567" spans="1:10" x14ac:dyDescent="0.25">
      <c r="A567" s="29" t="str">
        <f t="shared" si="308"/>
        <v>4Sáng2</v>
      </c>
      <c r="B567" s="29" t="str">
        <f t="shared" si="309"/>
        <v>4Sáng2Châu</v>
      </c>
      <c r="C567" s="29" t="str">
        <f t="shared" si="310"/>
        <v/>
      </c>
      <c r="D567" s="29" t="str">
        <f t="shared" si="311"/>
        <v/>
      </c>
      <c r="E567" s="29" t="s">
        <v>49</v>
      </c>
      <c r="F567" s="29">
        <v>4</v>
      </c>
      <c r="G567" s="29" t="s">
        <v>3</v>
      </c>
      <c r="H567" s="29">
        <v>2</v>
      </c>
      <c r="I567" s="36" t="str">
        <f t="shared" si="314"/>
        <v>Châu</v>
      </c>
      <c r="J567" s="36" t="str">
        <f t="shared" si="315"/>
        <v>Tiếng Trung -7A1</v>
      </c>
    </row>
    <row r="568" spans="1:10" x14ac:dyDescent="0.25">
      <c r="A568" s="29" t="str">
        <f t="shared" si="308"/>
        <v>4Sáng3</v>
      </c>
      <c r="B568" s="29" t="str">
        <f t="shared" si="309"/>
        <v>4Sáng3Chánh</v>
      </c>
      <c r="C568" s="29" t="str">
        <f t="shared" si="310"/>
        <v/>
      </c>
      <c r="D568" s="29" t="str">
        <f t="shared" si="311"/>
        <v/>
      </c>
      <c r="E568" s="29" t="s">
        <v>49</v>
      </c>
      <c r="F568" s="29">
        <v>4</v>
      </c>
      <c r="G568" s="29" t="s">
        <v>3</v>
      </c>
      <c r="H568" s="29">
        <v>3</v>
      </c>
      <c r="I568" s="36" t="str">
        <f t="shared" si="314"/>
        <v>Chánh</v>
      </c>
      <c r="J568" s="36" t="str">
        <f t="shared" si="315"/>
        <v>GVVN -7A1</v>
      </c>
    </row>
    <row r="569" spans="1:10" x14ac:dyDescent="0.25">
      <c r="A569" s="29" t="str">
        <f t="shared" si="308"/>
        <v>4Sáng4</v>
      </c>
      <c r="B569" s="29" t="str">
        <f t="shared" si="309"/>
        <v>4Sáng4Ánh NV</v>
      </c>
      <c r="C569" s="29" t="str">
        <f t="shared" si="310"/>
        <v/>
      </c>
      <c r="D569" s="29" t="str">
        <f t="shared" si="311"/>
        <v/>
      </c>
      <c r="E569" s="29" t="s">
        <v>49</v>
      </c>
      <c r="F569" s="29">
        <v>4</v>
      </c>
      <c r="G569" s="29" t="s">
        <v>3</v>
      </c>
      <c r="H569" s="29">
        <v>4</v>
      </c>
      <c r="I569" s="36" t="str">
        <f t="shared" si="314"/>
        <v>Ánh NV</v>
      </c>
      <c r="J569" s="36" t="str">
        <f t="shared" si="315"/>
        <v>Văn -7A1</v>
      </c>
    </row>
    <row r="570" spans="1:10" x14ac:dyDescent="0.25">
      <c r="A570" s="29" t="str">
        <f t="shared" si="308"/>
        <v>4Sáng5Tay</v>
      </c>
      <c r="B570" s="29" t="str">
        <f t="shared" si="309"/>
        <v>4Sáng5Chánh</v>
      </c>
      <c r="C570" s="29" t="str">
        <f t="shared" si="310"/>
        <v>Tay</v>
      </c>
      <c r="D570" s="29" t="str">
        <f t="shared" si="311"/>
        <v>Chánh</v>
      </c>
      <c r="E570" s="29" t="s">
        <v>49</v>
      </c>
      <c r="F570" s="29">
        <v>4</v>
      </c>
      <c r="G570" s="29" t="s">
        <v>3</v>
      </c>
      <c r="H570" s="29">
        <v>5</v>
      </c>
      <c r="I570" s="36" t="str">
        <f t="shared" si="314"/>
        <v>Tay, Chánh</v>
      </c>
      <c r="J570" s="36" t="str">
        <f t="shared" si="315"/>
        <v>GVNN -7A1</v>
      </c>
    </row>
    <row r="571" spans="1:10" x14ac:dyDescent="0.25">
      <c r="A571" s="29" t="str">
        <f t="shared" si="308"/>
        <v>4Chiều1</v>
      </c>
      <c r="B571" s="29" t="str">
        <f t="shared" si="309"/>
        <v>4Chiều1Tân</v>
      </c>
      <c r="C571" s="29" t="str">
        <f t="shared" si="310"/>
        <v/>
      </c>
      <c r="D571" s="29" t="str">
        <f t="shared" si="311"/>
        <v/>
      </c>
      <c r="E571" s="29" t="s">
        <v>49</v>
      </c>
      <c r="F571" s="29">
        <v>4</v>
      </c>
      <c r="G571" s="29" t="s">
        <v>4</v>
      </c>
      <c r="H571" s="29">
        <v>1</v>
      </c>
      <c r="I571" s="36" t="str">
        <f t="shared" si="314"/>
        <v>Tân</v>
      </c>
      <c r="J571" s="36" t="str">
        <f t="shared" si="315"/>
        <v>Toán -7A1</v>
      </c>
    </row>
    <row r="572" spans="1:10" x14ac:dyDescent="0.25">
      <c r="A572" s="29" t="str">
        <f t="shared" si="308"/>
        <v>4Chiều2</v>
      </c>
      <c r="B572" s="29" t="str">
        <f t="shared" si="309"/>
        <v>4Chiều2Hà</v>
      </c>
      <c r="C572" s="29" t="str">
        <f t="shared" si="310"/>
        <v/>
      </c>
      <c r="D572" s="29" t="str">
        <f t="shared" si="311"/>
        <v/>
      </c>
      <c r="E572" s="29" t="s">
        <v>49</v>
      </c>
      <c r="F572" s="29">
        <v>4</v>
      </c>
      <c r="G572" s="29" t="s">
        <v>4</v>
      </c>
      <c r="H572" s="29">
        <v>2</v>
      </c>
      <c r="I572" s="36" t="str">
        <f t="shared" si="314"/>
        <v>Hà</v>
      </c>
      <c r="J572" s="36" t="str">
        <f t="shared" si="315"/>
        <v>LS&amp;ĐL -7A1</v>
      </c>
    </row>
    <row r="573" spans="1:10" x14ac:dyDescent="0.25">
      <c r="A573" s="29" t="str">
        <f t="shared" si="308"/>
        <v>4Chiều3Tay</v>
      </c>
      <c r="B573" s="29" t="str">
        <f t="shared" si="309"/>
        <v>4Chiều3Chánh</v>
      </c>
      <c r="C573" s="29" t="str">
        <f t="shared" si="310"/>
        <v>Tay</v>
      </c>
      <c r="D573" s="29" t="str">
        <f t="shared" si="311"/>
        <v>Chánh</v>
      </c>
      <c r="E573" s="29" t="s">
        <v>49</v>
      </c>
      <c r="F573" s="29">
        <v>4</v>
      </c>
      <c r="G573" s="29" t="s">
        <v>4</v>
      </c>
      <c r="H573" s="29">
        <v>3</v>
      </c>
      <c r="I573" s="36" t="str">
        <f t="shared" si="314"/>
        <v>Tay, Chánh</v>
      </c>
      <c r="J573" s="36" t="str">
        <f t="shared" si="315"/>
        <v>GVNN -7A1</v>
      </c>
    </row>
    <row r="574" spans="1:10" x14ac:dyDescent="0.25">
      <c r="A574" s="29" t="str">
        <f t="shared" si="308"/>
        <v>4Chiều4</v>
      </c>
      <c r="B574" s="29" t="str">
        <f t="shared" si="309"/>
        <v>4Chiều4Ánh NV</v>
      </c>
      <c r="C574" s="29" t="str">
        <f t="shared" si="310"/>
        <v/>
      </c>
      <c r="D574" s="29" t="str">
        <f t="shared" si="311"/>
        <v/>
      </c>
      <c r="E574" s="29" t="s">
        <v>49</v>
      </c>
      <c r="F574" s="29">
        <v>4</v>
      </c>
      <c r="G574" s="29" t="s">
        <v>4</v>
      </c>
      <c r="H574" s="29">
        <v>4</v>
      </c>
      <c r="I574" s="36" t="str">
        <f t="shared" si="314"/>
        <v>Ánh NV</v>
      </c>
      <c r="J574" s="36" t="str">
        <f t="shared" si="315"/>
        <v>Đọc sách -7A1</v>
      </c>
    </row>
    <row r="575" spans="1:10" x14ac:dyDescent="0.25">
      <c r="A575" s="29" t="str">
        <f t="shared" ref="A575:A638" si="316">F575&amp;G575&amp;H575&amp;C575</f>
        <v>4Chiều5</v>
      </c>
      <c r="B575" s="29" t="str">
        <f t="shared" ref="B575:B638" si="317">IF(D575="",F575&amp;G575&amp;H575&amp;I575,F575&amp;G575&amp;H575&amp;D575)</f>
        <v>4Chiều5</v>
      </c>
      <c r="C575" s="29" t="str">
        <f t="shared" ref="C575:C638" si="318">IFERROR(LEFT(I575,FIND(",",I575)-1),"")</f>
        <v/>
      </c>
      <c r="D575" s="29" t="str">
        <f t="shared" ref="D575:D638" si="319">IF(C575="","",RIGHT(I575,LEN(I575)-FIND(",",I575)-1))</f>
        <v/>
      </c>
      <c r="E575" s="29" t="s">
        <v>49</v>
      </c>
      <c r="F575" s="29">
        <v>4</v>
      </c>
      <c r="G575" s="29" t="s">
        <v>4</v>
      </c>
      <c r="H575" s="29">
        <v>5</v>
      </c>
      <c r="I575" s="36" t="str">
        <f t="shared" si="314"/>
        <v/>
      </c>
      <c r="J575" s="36" t="str">
        <f t="shared" si="315"/>
        <v/>
      </c>
    </row>
    <row r="576" spans="1:10" x14ac:dyDescent="0.25">
      <c r="A576" s="29" t="str">
        <f t="shared" si="316"/>
        <v>5Sáng1Tay</v>
      </c>
      <c r="B576" s="29" t="str">
        <f t="shared" si="317"/>
        <v>5Sáng1Chánh</v>
      </c>
      <c r="C576" s="29" t="str">
        <f t="shared" si="318"/>
        <v>Tay</v>
      </c>
      <c r="D576" s="29" t="str">
        <f t="shared" si="319"/>
        <v>Chánh</v>
      </c>
      <c r="E576" s="29" t="s">
        <v>49</v>
      </c>
      <c r="F576" s="29">
        <v>5</v>
      </c>
      <c r="G576" s="29" t="s">
        <v>3</v>
      </c>
      <c r="H576" s="29">
        <v>1</v>
      </c>
      <c r="I576" s="36" t="str">
        <f t="shared" si="314"/>
        <v>Tay, Chánh</v>
      </c>
      <c r="J576" s="36" t="str">
        <f t="shared" si="315"/>
        <v>GVNN -7A1</v>
      </c>
    </row>
    <row r="577" spans="1:10" x14ac:dyDescent="0.25">
      <c r="A577" s="29" t="str">
        <f t="shared" si="316"/>
        <v>5Sáng2</v>
      </c>
      <c r="B577" s="29" t="str">
        <f t="shared" si="317"/>
        <v>5Sáng2Tân</v>
      </c>
      <c r="C577" s="29" t="str">
        <f t="shared" si="318"/>
        <v/>
      </c>
      <c r="D577" s="29" t="str">
        <f t="shared" si="319"/>
        <v/>
      </c>
      <c r="E577" s="29" t="s">
        <v>49</v>
      </c>
      <c r="F577" s="29">
        <v>5</v>
      </c>
      <c r="G577" s="29" t="s">
        <v>3</v>
      </c>
      <c r="H577" s="29">
        <v>2</v>
      </c>
      <c r="I577" s="36" t="str">
        <f t="shared" si="314"/>
        <v>Tân</v>
      </c>
      <c r="J577" s="36" t="str">
        <f t="shared" si="315"/>
        <v>Toán -7A1</v>
      </c>
    </row>
    <row r="578" spans="1:10" x14ac:dyDescent="0.25">
      <c r="A578" s="29" t="str">
        <f t="shared" si="316"/>
        <v>5Sáng3</v>
      </c>
      <c r="B578" s="29" t="str">
        <f t="shared" si="317"/>
        <v>5Sáng3Nhung</v>
      </c>
      <c r="C578" s="29" t="str">
        <f t="shared" si="318"/>
        <v/>
      </c>
      <c r="D578" s="29" t="str">
        <f t="shared" si="319"/>
        <v/>
      </c>
      <c r="E578" s="29" t="s">
        <v>49</v>
      </c>
      <c r="F578" s="29">
        <v>5</v>
      </c>
      <c r="G578" s="29" t="s">
        <v>3</v>
      </c>
      <c r="H578" s="29">
        <v>3</v>
      </c>
      <c r="I578" s="36" t="str">
        <f t="shared" ref="I578:I605" si="320">AF98</f>
        <v>Nhung</v>
      </c>
      <c r="J578" s="36" t="str">
        <f t="shared" ref="J578:J605" si="321">AG98</f>
        <v>KHTN -7A1</v>
      </c>
    </row>
    <row r="579" spans="1:10" x14ac:dyDescent="0.25">
      <c r="A579" s="29" t="str">
        <f t="shared" si="316"/>
        <v>5Sáng4</v>
      </c>
      <c r="B579" s="29" t="str">
        <f t="shared" si="317"/>
        <v>5Sáng4Nhung</v>
      </c>
      <c r="C579" s="29" t="str">
        <f t="shared" si="318"/>
        <v/>
      </c>
      <c r="D579" s="29" t="str">
        <f t="shared" si="319"/>
        <v/>
      </c>
      <c r="E579" s="29" t="s">
        <v>49</v>
      </c>
      <c r="F579" s="29">
        <v>5</v>
      </c>
      <c r="G579" s="29" t="s">
        <v>3</v>
      </c>
      <c r="H579" s="29">
        <v>4</v>
      </c>
      <c r="I579" s="36" t="str">
        <f t="shared" si="320"/>
        <v>Nhung</v>
      </c>
      <c r="J579" s="36" t="str">
        <f t="shared" si="321"/>
        <v>KHTN -7A1</v>
      </c>
    </row>
    <row r="580" spans="1:10" x14ac:dyDescent="0.25">
      <c r="A580" s="29" t="str">
        <f t="shared" si="316"/>
        <v>5Sáng5Tay</v>
      </c>
      <c r="B580" s="29" t="str">
        <f t="shared" si="317"/>
        <v>5Sáng5Chánh</v>
      </c>
      <c r="C580" s="29" t="str">
        <f t="shared" si="318"/>
        <v>Tay</v>
      </c>
      <c r="D580" s="29" t="str">
        <f t="shared" si="319"/>
        <v>Chánh</v>
      </c>
      <c r="E580" s="29" t="s">
        <v>49</v>
      </c>
      <c r="F580" s="29">
        <v>5</v>
      </c>
      <c r="G580" s="29" t="s">
        <v>3</v>
      </c>
      <c r="H580" s="29">
        <v>5</v>
      </c>
      <c r="I580" s="36" t="str">
        <f t="shared" si="320"/>
        <v>Tay, Chánh</v>
      </c>
      <c r="J580" s="36" t="str">
        <f t="shared" si="321"/>
        <v>GVNN -7A1</v>
      </c>
    </row>
    <row r="581" spans="1:10" x14ac:dyDescent="0.25">
      <c r="A581" s="29" t="str">
        <f t="shared" si="316"/>
        <v>5Chiều1</v>
      </c>
      <c r="B581" s="29" t="str">
        <f t="shared" si="317"/>
        <v>5Chiều1Chánh</v>
      </c>
      <c r="C581" s="29" t="str">
        <f t="shared" si="318"/>
        <v/>
      </c>
      <c r="D581" s="29" t="str">
        <f t="shared" si="319"/>
        <v/>
      </c>
      <c r="E581" s="29" t="s">
        <v>49</v>
      </c>
      <c r="F581" s="29">
        <v>5</v>
      </c>
      <c r="G581" s="29" t="s">
        <v>4</v>
      </c>
      <c r="H581" s="29">
        <v>1</v>
      </c>
      <c r="I581" s="36" t="str">
        <f t="shared" si="320"/>
        <v>Chánh</v>
      </c>
      <c r="J581" s="36" t="str">
        <f t="shared" si="321"/>
        <v>GVVN -7A1</v>
      </c>
    </row>
    <row r="582" spans="1:10" x14ac:dyDescent="0.25">
      <c r="A582" s="29" t="str">
        <f t="shared" si="316"/>
        <v>5Chiều2</v>
      </c>
      <c r="B582" s="29" t="str">
        <f t="shared" si="317"/>
        <v>5Chiều2Tân</v>
      </c>
      <c r="C582" s="29" t="str">
        <f t="shared" si="318"/>
        <v/>
      </c>
      <c r="D582" s="29" t="str">
        <f t="shared" si="319"/>
        <v/>
      </c>
      <c r="E582" s="29" t="s">
        <v>49</v>
      </c>
      <c r="F582" s="29">
        <v>5</v>
      </c>
      <c r="G582" s="29" t="s">
        <v>4</v>
      </c>
      <c r="H582" s="29">
        <v>2</v>
      </c>
      <c r="I582" s="36" t="str">
        <f t="shared" si="320"/>
        <v>Tân</v>
      </c>
      <c r="J582" s="36" t="str">
        <f t="shared" si="321"/>
        <v>Toán -7A1</v>
      </c>
    </row>
    <row r="583" spans="1:10" x14ac:dyDescent="0.25">
      <c r="A583" s="29" t="str">
        <f t="shared" si="316"/>
        <v>5Chiều3</v>
      </c>
      <c r="B583" s="29" t="str">
        <f t="shared" si="317"/>
        <v>5Chiều3Ánh NV</v>
      </c>
      <c r="C583" s="29" t="str">
        <f t="shared" si="318"/>
        <v/>
      </c>
      <c r="D583" s="29" t="str">
        <f t="shared" si="319"/>
        <v/>
      </c>
      <c r="E583" s="29" t="s">
        <v>49</v>
      </c>
      <c r="F583" s="29">
        <v>5</v>
      </c>
      <c r="G583" s="29" t="s">
        <v>4</v>
      </c>
      <c r="H583" s="29">
        <v>3</v>
      </c>
      <c r="I583" s="36" t="str">
        <f t="shared" si="320"/>
        <v>Ánh NV</v>
      </c>
      <c r="J583" s="36" t="str">
        <f t="shared" si="321"/>
        <v>Văn -7A1</v>
      </c>
    </row>
    <row r="584" spans="1:10" x14ac:dyDescent="0.25">
      <c r="A584" s="29" t="str">
        <f t="shared" si="316"/>
        <v>5Chiều4</v>
      </c>
      <c r="B584" s="29" t="str">
        <f t="shared" si="317"/>
        <v>5Chiều4Ánh NV</v>
      </c>
      <c r="C584" s="29" t="str">
        <f t="shared" si="318"/>
        <v/>
      </c>
      <c r="D584" s="29" t="str">
        <f t="shared" si="319"/>
        <v/>
      </c>
      <c r="E584" s="29" t="s">
        <v>49</v>
      </c>
      <c r="F584" s="29">
        <v>5</v>
      </c>
      <c r="G584" s="29" t="s">
        <v>4</v>
      </c>
      <c r="H584" s="29">
        <v>4</v>
      </c>
      <c r="I584" s="36" t="str">
        <f t="shared" si="320"/>
        <v>Ánh NV</v>
      </c>
      <c r="J584" s="36" t="str">
        <f t="shared" si="321"/>
        <v>Văn -7A1</v>
      </c>
    </row>
    <row r="585" spans="1:10" x14ac:dyDescent="0.25">
      <c r="A585" s="29" t="str">
        <f t="shared" si="316"/>
        <v>5Chiều5</v>
      </c>
      <c r="B585" s="29" t="str">
        <f t="shared" si="317"/>
        <v>5Chiều5</v>
      </c>
      <c r="C585" s="29" t="str">
        <f t="shared" si="318"/>
        <v/>
      </c>
      <c r="D585" s="29" t="str">
        <f t="shared" si="319"/>
        <v/>
      </c>
      <c r="E585" s="29" t="s">
        <v>49</v>
      </c>
      <c r="F585" s="29">
        <v>5</v>
      </c>
      <c r="G585" s="29" t="s">
        <v>4</v>
      </c>
      <c r="H585" s="29">
        <v>5</v>
      </c>
      <c r="I585" s="36" t="str">
        <f t="shared" si="320"/>
        <v/>
      </c>
      <c r="J585" s="36" t="str">
        <f t="shared" si="321"/>
        <v/>
      </c>
    </row>
    <row r="586" spans="1:10" x14ac:dyDescent="0.25">
      <c r="A586" s="29" t="str">
        <f t="shared" si="316"/>
        <v>6Sáng1</v>
      </c>
      <c r="B586" s="29" t="str">
        <f t="shared" si="317"/>
        <v>6Sáng1Phương</v>
      </c>
      <c r="C586" s="29" t="str">
        <f t="shared" si="318"/>
        <v/>
      </c>
      <c r="D586" s="29" t="str">
        <f t="shared" si="319"/>
        <v/>
      </c>
      <c r="E586" s="29" t="s">
        <v>49</v>
      </c>
      <c r="F586" s="29">
        <v>6</v>
      </c>
      <c r="G586" s="29" t="s">
        <v>3</v>
      </c>
      <c r="H586" s="29">
        <v>1</v>
      </c>
      <c r="I586" s="36" t="str">
        <f t="shared" si="320"/>
        <v>Phương</v>
      </c>
      <c r="J586" s="36" t="str">
        <f t="shared" si="321"/>
        <v>Mĩ thuật -7A1</v>
      </c>
    </row>
    <row r="587" spans="1:10" x14ac:dyDescent="0.25">
      <c r="A587" s="29" t="str">
        <f t="shared" si="316"/>
        <v>6Sáng2</v>
      </c>
      <c r="B587" s="29" t="str">
        <f t="shared" si="317"/>
        <v>6Sáng2Hà</v>
      </c>
      <c r="C587" s="29" t="str">
        <f t="shared" si="318"/>
        <v/>
      </c>
      <c r="D587" s="29" t="str">
        <f t="shared" si="319"/>
        <v/>
      </c>
      <c r="E587" s="29" t="s">
        <v>49</v>
      </c>
      <c r="F587" s="29">
        <v>6</v>
      </c>
      <c r="G587" s="29" t="s">
        <v>3</v>
      </c>
      <c r="H587" s="29">
        <v>2</v>
      </c>
      <c r="I587" s="36" t="str">
        <f t="shared" si="320"/>
        <v>Hà</v>
      </c>
      <c r="J587" s="36" t="str">
        <f t="shared" si="321"/>
        <v>GDCD -7A1</v>
      </c>
    </row>
    <row r="588" spans="1:10" x14ac:dyDescent="0.25">
      <c r="A588" s="29" t="str">
        <f t="shared" si="316"/>
        <v>6Sáng3</v>
      </c>
      <c r="B588" s="29" t="str">
        <f t="shared" si="317"/>
        <v>6Sáng3Hà</v>
      </c>
      <c r="C588" s="29" t="str">
        <f t="shared" si="318"/>
        <v/>
      </c>
      <c r="D588" s="29" t="str">
        <f t="shared" si="319"/>
        <v/>
      </c>
      <c r="E588" s="29" t="s">
        <v>49</v>
      </c>
      <c r="F588" s="29">
        <v>6</v>
      </c>
      <c r="G588" s="29" t="s">
        <v>3</v>
      </c>
      <c r="H588" s="29">
        <v>3</v>
      </c>
      <c r="I588" s="36" t="str">
        <f t="shared" si="320"/>
        <v>Hà</v>
      </c>
      <c r="J588" s="36" t="str">
        <f t="shared" si="321"/>
        <v>LS&amp;ĐL -7A1</v>
      </c>
    </row>
    <row r="589" spans="1:10" x14ac:dyDescent="0.25">
      <c r="A589" s="29" t="str">
        <f t="shared" si="316"/>
        <v>6Sáng4</v>
      </c>
      <c r="B589" s="29" t="str">
        <f t="shared" si="317"/>
        <v>6Sáng4Hồng</v>
      </c>
      <c r="C589" s="29" t="str">
        <f t="shared" si="318"/>
        <v/>
      </c>
      <c r="D589" s="29" t="str">
        <f t="shared" si="319"/>
        <v/>
      </c>
      <c r="E589" s="29" t="s">
        <v>49</v>
      </c>
      <c r="F589" s="29">
        <v>6</v>
      </c>
      <c r="G589" s="29" t="s">
        <v>3</v>
      </c>
      <c r="H589" s="29">
        <v>4</v>
      </c>
      <c r="I589" s="36" t="str">
        <f t="shared" si="320"/>
        <v>Hồng</v>
      </c>
      <c r="J589" s="36" t="str">
        <f t="shared" si="321"/>
        <v>GDTC -7A1</v>
      </c>
    </row>
    <row r="590" spans="1:10" x14ac:dyDescent="0.25">
      <c r="A590" s="29" t="str">
        <f t="shared" si="316"/>
        <v>6Sáng5</v>
      </c>
      <c r="B590" s="29" t="str">
        <f t="shared" si="317"/>
        <v>6Sáng5</v>
      </c>
      <c r="C590" s="29" t="str">
        <f t="shared" si="318"/>
        <v/>
      </c>
      <c r="D590" s="29" t="str">
        <f t="shared" si="319"/>
        <v/>
      </c>
      <c r="E590" s="29" t="s">
        <v>49</v>
      </c>
      <c r="F590" s="29">
        <v>6</v>
      </c>
      <c r="G590" s="29" t="s">
        <v>3</v>
      </c>
      <c r="H590" s="29">
        <v>5</v>
      </c>
      <c r="I590" s="36" t="str">
        <f t="shared" si="320"/>
        <v/>
      </c>
      <c r="J590" s="36" t="str">
        <f t="shared" si="321"/>
        <v/>
      </c>
    </row>
    <row r="591" spans="1:10" x14ac:dyDescent="0.25">
      <c r="A591" s="29" t="str">
        <f t="shared" si="316"/>
        <v>6Chiều1</v>
      </c>
      <c r="B591" s="29" t="str">
        <f t="shared" si="317"/>
        <v>6Chiều1Tân</v>
      </c>
      <c r="C591" s="29" t="str">
        <f t="shared" si="318"/>
        <v/>
      </c>
      <c r="D591" s="29" t="str">
        <f t="shared" si="319"/>
        <v/>
      </c>
      <c r="E591" s="29" t="s">
        <v>49</v>
      </c>
      <c r="F591" s="29">
        <v>6</v>
      </c>
      <c r="G591" s="29" t="s">
        <v>4</v>
      </c>
      <c r="H591" s="29">
        <v>1</v>
      </c>
      <c r="I591" s="36" t="str">
        <f t="shared" si="320"/>
        <v>Tân</v>
      </c>
      <c r="J591" s="36" t="str">
        <f t="shared" si="321"/>
        <v>Toán -7A1</v>
      </c>
    </row>
    <row r="592" spans="1:10" x14ac:dyDescent="0.25">
      <c r="A592" s="29" t="str">
        <f t="shared" si="316"/>
        <v>6Chiều2</v>
      </c>
      <c r="B592" s="29" t="str">
        <f t="shared" si="317"/>
        <v>6Chiều2Tân</v>
      </c>
      <c r="C592" s="29" t="str">
        <f t="shared" si="318"/>
        <v/>
      </c>
      <c r="D592" s="29" t="str">
        <f t="shared" si="319"/>
        <v/>
      </c>
      <c r="E592" s="29" t="s">
        <v>49</v>
      </c>
      <c r="F592" s="29">
        <v>6</v>
      </c>
      <c r="G592" s="29" t="s">
        <v>4</v>
      </c>
      <c r="H592" s="29">
        <v>2</v>
      </c>
      <c r="I592" s="36" t="str">
        <f t="shared" si="320"/>
        <v>Tân</v>
      </c>
      <c r="J592" s="36" t="str">
        <f t="shared" si="321"/>
        <v>Toán -7A1</v>
      </c>
    </row>
    <row r="593" spans="1:10" x14ac:dyDescent="0.25">
      <c r="A593" s="29" t="str">
        <f t="shared" si="316"/>
        <v>6Chiều3</v>
      </c>
      <c r="B593" s="29" t="str">
        <f t="shared" si="317"/>
        <v>6Chiều3Ánh NV</v>
      </c>
      <c r="C593" s="29" t="str">
        <f t="shared" si="318"/>
        <v/>
      </c>
      <c r="D593" s="29" t="str">
        <f t="shared" si="319"/>
        <v/>
      </c>
      <c r="E593" s="29" t="s">
        <v>49</v>
      </c>
      <c r="F593" s="29">
        <v>6</v>
      </c>
      <c r="G593" s="29" t="s">
        <v>4</v>
      </c>
      <c r="H593" s="29">
        <v>3</v>
      </c>
      <c r="I593" s="36" t="str">
        <f t="shared" si="320"/>
        <v>Ánh NV</v>
      </c>
      <c r="J593" s="36" t="str">
        <f t="shared" si="321"/>
        <v>Văn -7A1</v>
      </c>
    </row>
    <row r="594" spans="1:10" x14ac:dyDescent="0.25">
      <c r="A594" s="29" t="str">
        <f t="shared" si="316"/>
        <v>6Chiều4</v>
      </c>
      <c r="B594" s="29" t="str">
        <f t="shared" si="317"/>
        <v>6Chiều4Ánh NV</v>
      </c>
      <c r="C594" s="29" t="str">
        <f t="shared" si="318"/>
        <v/>
      </c>
      <c r="D594" s="29" t="str">
        <f t="shared" si="319"/>
        <v/>
      </c>
      <c r="E594" s="29" t="s">
        <v>49</v>
      </c>
      <c r="F594" s="29">
        <v>6</v>
      </c>
      <c r="G594" s="29" t="s">
        <v>4</v>
      </c>
      <c r="H594" s="29">
        <v>4</v>
      </c>
      <c r="I594" s="36" t="str">
        <f t="shared" si="320"/>
        <v>Ánh NV</v>
      </c>
      <c r="J594" s="36" t="str">
        <f t="shared" si="321"/>
        <v>Văn -7A1</v>
      </c>
    </row>
    <row r="595" spans="1:10" x14ac:dyDescent="0.25">
      <c r="A595" s="29" t="str">
        <f t="shared" si="316"/>
        <v>6Chiều5</v>
      </c>
      <c r="B595" s="29" t="str">
        <f t="shared" si="317"/>
        <v>6Chiều5</v>
      </c>
      <c r="C595" s="29" t="str">
        <f t="shared" si="318"/>
        <v/>
      </c>
      <c r="D595" s="29" t="str">
        <f t="shared" si="319"/>
        <v/>
      </c>
      <c r="E595" s="29" t="s">
        <v>49</v>
      </c>
      <c r="F595" s="29">
        <v>6</v>
      </c>
      <c r="G595" s="29" t="s">
        <v>4</v>
      </c>
      <c r="H595" s="29">
        <v>5</v>
      </c>
      <c r="I595" s="36" t="str">
        <f t="shared" si="320"/>
        <v/>
      </c>
      <c r="J595" s="36" t="str">
        <f t="shared" si="321"/>
        <v/>
      </c>
    </row>
    <row r="596" spans="1:10" x14ac:dyDescent="0.25">
      <c r="A596" s="29" t="str">
        <f t="shared" si="316"/>
        <v>7Sáng1</v>
      </c>
      <c r="B596" s="29" t="str">
        <f t="shared" si="317"/>
        <v>7Sáng1</v>
      </c>
      <c r="C596" s="29" t="str">
        <f t="shared" si="318"/>
        <v/>
      </c>
      <c r="D596" s="29" t="str">
        <f t="shared" si="319"/>
        <v/>
      </c>
      <c r="E596" s="29" t="s">
        <v>49</v>
      </c>
      <c r="F596" s="29">
        <v>7</v>
      </c>
      <c r="G596" s="29" t="s">
        <v>3</v>
      </c>
      <c r="H596" s="29">
        <v>1</v>
      </c>
      <c r="I596" s="36" t="str">
        <f t="shared" si="320"/>
        <v/>
      </c>
      <c r="J596" s="36" t="str">
        <f t="shared" si="321"/>
        <v/>
      </c>
    </row>
    <row r="597" spans="1:10" x14ac:dyDescent="0.25">
      <c r="A597" s="29" t="str">
        <f t="shared" si="316"/>
        <v>7Sáng2</v>
      </c>
      <c r="B597" s="29" t="str">
        <f t="shared" si="317"/>
        <v>7Sáng2</v>
      </c>
      <c r="C597" s="29" t="str">
        <f t="shared" si="318"/>
        <v/>
      </c>
      <c r="D597" s="29" t="str">
        <f t="shared" si="319"/>
        <v/>
      </c>
      <c r="E597" s="29" t="s">
        <v>49</v>
      </c>
      <c r="F597" s="29">
        <v>7</v>
      </c>
      <c r="G597" s="29" t="s">
        <v>3</v>
      </c>
      <c r="H597" s="29">
        <v>2</v>
      </c>
      <c r="I597" s="36" t="str">
        <f t="shared" si="320"/>
        <v/>
      </c>
      <c r="J597" s="36" t="str">
        <f t="shared" si="321"/>
        <v/>
      </c>
    </row>
    <row r="598" spans="1:10" x14ac:dyDescent="0.25">
      <c r="A598" s="29" t="str">
        <f t="shared" si="316"/>
        <v>7Sáng3</v>
      </c>
      <c r="B598" s="29" t="str">
        <f t="shared" si="317"/>
        <v>7Sáng3</v>
      </c>
      <c r="C598" s="29" t="str">
        <f t="shared" si="318"/>
        <v/>
      </c>
      <c r="D598" s="29" t="str">
        <f t="shared" si="319"/>
        <v/>
      </c>
      <c r="E598" s="29" t="s">
        <v>49</v>
      </c>
      <c r="F598" s="29">
        <v>7</v>
      </c>
      <c r="G598" s="29" t="s">
        <v>3</v>
      </c>
      <c r="H598" s="29">
        <v>3</v>
      </c>
      <c r="I598" s="36" t="str">
        <f t="shared" si="320"/>
        <v/>
      </c>
      <c r="J598" s="36" t="str">
        <f t="shared" si="321"/>
        <v/>
      </c>
    </row>
    <row r="599" spans="1:10" x14ac:dyDescent="0.25">
      <c r="A599" s="29" t="str">
        <f t="shared" si="316"/>
        <v>7Sáng4</v>
      </c>
      <c r="B599" s="29" t="str">
        <f t="shared" si="317"/>
        <v>7Sáng4</v>
      </c>
      <c r="C599" s="29" t="str">
        <f t="shared" si="318"/>
        <v/>
      </c>
      <c r="D599" s="29" t="str">
        <f t="shared" si="319"/>
        <v/>
      </c>
      <c r="E599" s="29" t="s">
        <v>49</v>
      </c>
      <c r="F599" s="29">
        <v>7</v>
      </c>
      <c r="G599" s="29" t="s">
        <v>3</v>
      </c>
      <c r="H599" s="29">
        <v>4</v>
      </c>
      <c r="I599" s="36" t="str">
        <f t="shared" si="320"/>
        <v/>
      </c>
      <c r="J599" s="36" t="str">
        <f t="shared" si="321"/>
        <v/>
      </c>
    </row>
    <row r="600" spans="1:10" x14ac:dyDescent="0.25">
      <c r="A600" s="29" t="str">
        <f t="shared" si="316"/>
        <v>7Sáng5</v>
      </c>
      <c r="B600" s="29" t="str">
        <f t="shared" si="317"/>
        <v>7Sáng5</v>
      </c>
      <c r="C600" s="29" t="str">
        <f t="shared" si="318"/>
        <v/>
      </c>
      <c r="D600" s="29" t="str">
        <f t="shared" si="319"/>
        <v/>
      </c>
      <c r="E600" s="29" t="s">
        <v>49</v>
      </c>
      <c r="F600" s="29">
        <v>7</v>
      </c>
      <c r="G600" s="29" t="s">
        <v>3</v>
      </c>
      <c r="H600" s="29">
        <v>5</v>
      </c>
      <c r="I600" s="36" t="str">
        <f t="shared" si="320"/>
        <v/>
      </c>
      <c r="J600" s="36" t="str">
        <f t="shared" si="321"/>
        <v/>
      </c>
    </row>
    <row r="601" spans="1:10" x14ac:dyDescent="0.25">
      <c r="A601" s="29" t="str">
        <f t="shared" si="316"/>
        <v>7Chiều1</v>
      </c>
      <c r="B601" s="29" t="str">
        <f t="shared" si="317"/>
        <v>7Chiều1</v>
      </c>
      <c r="C601" s="29" t="str">
        <f t="shared" si="318"/>
        <v/>
      </c>
      <c r="D601" s="29" t="str">
        <f t="shared" si="319"/>
        <v/>
      </c>
      <c r="E601" s="29" t="s">
        <v>49</v>
      </c>
      <c r="F601" s="29">
        <v>7</v>
      </c>
      <c r="G601" s="29" t="s">
        <v>4</v>
      </c>
      <c r="H601" s="29">
        <v>1</v>
      </c>
      <c r="I601" s="36" t="str">
        <f t="shared" si="320"/>
        <v/>
      </c>
      <c r="J601" s="36" t="str">
        <f t="shared" si="321"/>
        <v/>
      </c>
    </row>
    <row r="602" spans="1:10" x14ac:dyDescent="0.25">
      <c r="A602" s="29" t="str">
        <f t="shared" si="316"/>
        <v>7Chiều2</v>
      </c>
      <c r="B602" s="29" t="str">
        <f t="shared" si="317"/>
        <v>7Chiều2</v>
      </c>
      <c r="C602" s="29" t="str">
        <f t="shared" si="318"/>
        <v/>
      </c>
      <c r="D602" s="29" t="str">
        <f t="shared" si="319"/>
        <v/>
      </c>
      <c r="E602" s="29" t="s">
        <v>49</v>
      </c>
      <c r="F602" s="29">
        <v>7</v>
      </c>
      <c r="G602" s="29" t="s">
        <v>4</v>
      </c>
      <c r="H602" s="29">
        <v>2</v>
      </c>
      <c r="I602" s="36" t="str">
        <f t="shared" si="320"/>
        <v/>
      </c>
      <c r="J602" s="36" t="str">
        <f t="shared" si="321"/>
        <v/>
      </c>
    </row>
    <row r="603" spans="1:10" x14ac:dyDescent="0.25">
      <c r="A603" s="29" t="str">
        <f t="shared" si="316"/>
        <v>7Chiều3</v>
      </c>
      <c r="B603" s="29" t="str">
        <f t="shared" si="317"/>
        <v>7Chiều3</v>
      </c>
      <c r="C603" s="29" t="str">
        <f t="shared" si="318"/>
        <v/>
      </c>
      <c r="D603" s="29" t="str">
        <f t="shared" si="319"/>
        <v/>
      </c>
      <c r="E603" s="29" t="s">
        <v>49</v>
      </c>
      <c r="F603" s="29">
        <v>7</v>
      </c>
      <c r="G603" s="29" t="s">
        <v>4</v>
      </c>
      <c r="H603" s="29">
        <v>3</v>
      </c>
      <c r="I603" s="36" t="str">
        <f t="shared" si="320"/>
        <v/>
      </c>
      <c r="J603" s="36" t="str">
        <f t="shared" si="321"/>
        <v/>
      </c>
    </row>
    <row r="604" spans="1:10" x14ac:dyDescent="0.25">
      <c r="A604" s="29" t="str">
        <f t="shared" si="316"/>
        <v>7Chiều4</v>
      </c>
      <c r="B604" s="29" t="str">
        <f t="shared" si="317"/>
        <v>7Chiều4</v>
      </c>
      <c r="C604" s="29" t="str">
        <f t="shared" si="318"/>
        <v/>
      </c>
      <c r="D604" s="29" t="str">
        <f t="shared" si="319"/>
        <v/>
      </c>
      <c r="E604" s="29" t="s">
        <v>49</v>
      </c>
      <c r="F604" s="29">
        <v>7</v>
      </c>
      <c r="G604" s="29" t="s">
        <v>4</v>
      </c>
      <c r="H604" s="29">
        <v>4</v>
      </c>
      <c r="I604" s="36" t="str">
        <f t="shared" si="320"/>
        <v/>
      </c>
      <c r="J604" s="36" t="str">
        <f t="shared" si="321"/>
        <v/>
      </c>
    </row>
    <row r="605" spans="1:10" x14ac:dyDescent="0.25">
      <c r="A605" s="29" t="str">
        <f t="shared" si="316"/>
        <v>7Chiều5</v>
      </c>
      <c r="B605" s="29" t="str">
        <f t="shared" si="317"/>
        <v>7Chiều5</v>
      </c>
      <c r="C605" s="29" t="str">
        <f t="shared" si="318"/>
        <v/>
      </c>
      <c r="D605" s="29" t="str">
        <f t="shared" si="319"/>
        <v/>
      </c>
      <c r="E605" s="29" t="s">
        <v>49</v>
      </c>
      <c r="F605" s="29">
        <v>7</v>
      </c>
      <c r="G605" s="29" t="s">
        <v>4</v>
      </c>
      <c r="H605" s="29">
        <v>5</v>
      </c>
      <c r="I605" s="36" t="str">
        <f t="shared" si="320"/>
        <v/>
      </c>
      <c r="J605" s="36" t="str">
        <f t="shared" si="321"/>
        <v/>
      </c>
    </row>
    <row r="606" spans="1:10" x14ac:dyDescent="0.25">
      <c r="A606" s="29" t="str">
        <f t="shared" si="316"/>
        <v>2Sáng1</v>
      </c>
      <c r="B606" s="29" t="str">
        <f t="shared" si="317"/>
        <v>2Sáng1Tân</v>
      </c>
      <c r="C606" s="29" t="str">
        <f t="shared" si="318"/>
        <v/>
      </c>
      <c r="D606" s="29" t="str">
        <f t="shared" si="319"/>
        <v/>
      </c>
      <c r="E606" s="29" t="s">
        <v>89</v>
      </c>
      <c r="F606" s="29">
        <v>2</v>
      </c>
      <c r="G606" s="29" t="s">
        <v>3</v>
      </c>
      <c r="H606" s="29">
        <v>1</v>
      </c>
      <c r="I606" s="36" t="str">
        <f t="shared" ref="I606:I637" si="322">AH66</f>
        <v>Tân</v>
      </c>
      <c r="J606" s="36" t="str">
        <f t="shared" ref="J606:J637" si="323">AI66</f>
        <v>Toán -8A1</v>
      </c>
    </row>
    <row r="607" spans="1:10" x14ac:dyDescent="0.25">
      <c r="A607" s="29" t="str">
        <f t="shared" si="316"/>
        <v>2Sáng2</v>
      </c>
      <c r="B607" s="29" t="str">
        <f t="shared" si="317"/>
        <v>2Sáng2Quỳnh</v>
      </c>
      <c r="C607" s="29" t="str">
        <f t="shared" si="318"/>
        <v/>
      </c>
      <c r="D607" s="29" t="str">
        <f t="shared" si="319"/>
        <v/>
      </c>
      <c r="E607" s="29" t="s">
        <v>89</v>
      </c>
      <c r="F607" s="29">
        <v>2</v>
      </c>
      <c r="G607" s="29" t="s">
        <v>3</v>
      </c>
      <c r="H607" s="29">
        <v>2</v>
      </c>
      <c r="I607" s="36" t="str">
        <f t="shared" si="322"/>
        <v>Quỳnh</v>
      </c>
      <c r="J607" s="36" t="str">
        <f t="shared" si="323"/>
        <v>GVVN -8A1</v>
      </c>
    </row>
    <row r="608" spans="1:10" x14ac:dyDescent="0.25">
      <c r="A608" s="29" t="str">
        <f t="shared" si="316"/>
        <v>2Sáng3</v>
      </c>
      <c r="B608" s="29" t="str">
        <f t="shared" si="317"/>
        <v>2Sáng3Hà</v>
      </c>
      <c r="C608" s="29" t="str">
        <f t="shared" si="318"/>
        <v/>
      </c>
      <c r="D608" s="29" t="str">
        <f t="shared" si="319"/>
        <v/>
      </c>
      <c r="E608" s="29" t="s">
        <v>89</v>
      </c>
      <c r="F608" s="29">
        <v>2</v>
      </c>
      <c r="G608" s="29" t="s">
        <v>3</v>
      </c>
      <c r="H608" s="29">
        <v>3</v>
      </c>
      <c r="I608" s="36" t="str">
        <f t="shared" si="322"/>
        <v>Hà</v>
      </c>
      <c r="J608" s="36" t="str">
        <f t="shared" si="323"/>
        <v>LS&amp;ĐL -8A1</v>
      </c>
    </row>
    <row r="609" spans="1:10" x14ac:dyDescent="0.25">
      <c r="A609" s="29" t="str">
        <f t="shared" si="316"/>
        <v>2Sáng4</v>
      </c>
      <c r="B609" s="29" t="str">
        <f t="shared" si="317"/>
        <v>2Sáng4Ánh NV</v>
      </c>
      <c r="C609" s="29" t="str">
        <f t="shared" si="318"/>
        <v/>
      </c>
      <c r="D609" s="29" t="str">
        <f t="shared" si="319"/>
        <v/>
      </c>
      <c r="E609" s="29" t="s">
        <v>89</v>
      </c>
      <c r="F609" s="29">
        <v>2</v>
      </c>
      <c r="G609" s="29" t="s">
        <v>3</v>
      </c>
      <c r="H609" s="29">
        <v>4</v>
      </c>
      <c r="I609" s="36" t="str">
        <f t="shared" si="322"/>
        <v>Ánh NV</v>
      </c>
      <c r="J609" s="36" t="str">
        <f t="shared" si="323"/>
        <v>Văn -8A1</v>
      </c>
    </row>
    <row r="610" spans="1:10" x14ac:dyDescent="0.25">
      <c r="A610" s="29" t="str">
        <f t="shared" si="316"/>
        <v>2Sáng5</v>
      </c>
      <c r="B610" s="29" t="str">
        <f t="shared" si="317"/>
        <v>2Sáng5Ánh NV</v>
      </c>
      <c r="C610" s="29" t="str">
        <f t="shared" si="318"/>
        <v/>
      </c>
      <c r="D610" s="29" t="str">
        <f t="shared" si="319"/>
        <v/>
      </c>
      <c r="E610" s="29" t="s">
        <v>89</v>
      </c>
      <c r="F610" s="29">
        <v>2</v>
      </c>
      <c r="G610" s="29" t="s">
        <v>3</v>
      </c>
      <c r="H610" s="29">
        <v>5</v>
      </c>
      <c r="I610" s="36" t="str">
        <f t="shared" si="322"/>
        <v>Ánh NV</v>
      </c>
      <c r="J610" s="36" t="str">
        <f t="shared" si="323"/>
        <v>Văn -8A1</v>
      </c>
    </row>
    <row r="611" spans="1:10" x14ac:dyDescent="0.25">
      <c r="A611" s="29" t="str">
        <f t="shared" si="316"/>
        <v>2Chiều1</v>
      </c>
      <c r="B611" s="29" t="str">
        <f t="shared" si="317"/>
        <v>2Chiều1Tân</v>
      </c>
      <c r="C611" s="29" t="str">
        <f t="shared" si="318"/>
        <v/>
      </c>
      <c r="D611" s="29" t="str">
        <f t="shared" si="319"/>
        <v/>
      </c>
      <c r="E611" s="29" t="s">
        <v>89</v>
      </c>
      <c r="F611" s="29">
        <v>2</v>
      </c>
      <c r="G611" s="29" t="s">
        <v>4</v>
      </c>
      <c r="H611" s="29">
        <v>1</v>
      </c>
      <c r="I611" s="36" t="str">
        <f t="shared" si="322"/>
        <v>Tân</v>
      </c>
      <c r="J611" s="36" t="str">
        <f t="shared" si="323"/>
        <v>Toán -8A1</v>
      </c>
    </row>
    <row r="612" spans="1:10" x14ac:dyDescent="0.25">
      <c r="A612" s="29" t="str">
        <f t="shared" si="316"/>
        <v>2Chiều2</v>
      </c>
      <c r="B612" s="29" t="str">
        <f t="shared" si="317"/>
        <v>2Chiều2Châu</v>
      </c>
      <c r="C612" s="29" t="str">
        <f t="shared" si="318"/>
        <v/>
      </c>
      <c r="D612" s="29" t="str">
        <f t="shared" si="319"/>
        <v/>
      </c>
      <c r="E612" s="29" t="s">
        <v>89</v>
      </c>
      <c r="F612" s="29">
        <v>2</v>
      </c>
      <c r="G612" s="29" t="s">
        <v>4</v>
      </c>
      <c r="H612" s="29">
        <v>2</v>
      </c>
      <c r="I612" s="36" t="str">
        <f t="shared" si="322"/>
        <v>Châu</v>
      </c>
      <c r="J612" s="36" t="str">
        <f t="shared" si="323"/>
        <v>Tiếng Trung -8A1</v>
      </c>
    </row>
    <row r="613" spans="1:10" x14ac:dyDescent="0.25">
      <c r="A613" s="29" t="str">
        <f t="shared" si="316"/>
        <v>2Chiều3Tay</v>
      </c>
      <c r="B613" s="29" t="str">
        <f t="shared" si="317"/>
        <v>2Chiều3Quỳnh</v>
      </c>
      <c r="C613" s="29" t="str">
        <f t="shared" si="318"/>
        <v>Tay</v>
      </c>
      <c r="D613" s="29" t="str">
        <f t="shared" si="319"/>
        <v>Quỳnh</v>
      </c>
      <c r="E613" s="29" t="s">
        <v>89</v>
      </c>
      <c r="F613" s="29">
        <v>2</v>
      </c>
      <c r="G613" s="29" t="s">
        <v>4</v>
      </c>
      <c r="H613" s="29">
        <v>3</v>
      </c>
      <c r="I613" s="36" t="str">
        <f t="shared" si="322"/>
        <v>Tay, Quỳnh</v>
      </c>
      <c r="J613" s="36" t="str">
        <f t="shared" si="323"/>
        <v>GVNN -8A1</v>
      </c>
    </row>
    <row r="614" spans="1:10" x14ac:dyDescent="0.25">
      <c r="A614" s="29" t="str">
        <f t="shared" si="316"/>
        <v>2Chiều4</v>
      </c>
      <c r="B614" s="29" t="str">
        <f t="shared" si="317"/>
        <v>2Chiều4Phương Anh</v>
      </c>
      <c r="C614" s="29" t="str">
        <f t="shared" si="318"/>
        <v/>
      </c>
      <c r="D614" s="29" t="str">
        <f t="shared" si="319"/>
        <v/>
      </c>
      <c r="E614" s="29" t="s">
        <v>89</v>
      </c>
      <c r="F614" s="29">
        <v>2</v>
      </c>
      <c r="G614" s="29" t="s">
        <v>4</v>
      </c>
      <c r="H614" s="29">
        <v>4</v>
      </c>
      <c r="I614" s="36" t="str">
        <f t="shared" si="322"/>
        <v>Phương Anh</v>
      </c>
      <c r="J614" s="36" t="str">
        <f t="shared" si="323"/>
        <v>HĐTN -8A1</v>
      </c>
    </row>
    <row r="615" spans="1:10" x14ac:dyDescent="0.25">
      <c r="A615" s="29" t="str">
        <f t="shared" si="316"/>
        <v>2Chiều5</v>
      </c>
      <c r="B615" s="29" t="str">
        <f t="shared" si="317"/>
        <v>2Chiều5</v>
      </c>
      <c r="C615" s="29" t="str">
        <f t="shared" si="318"/>
        <v/>
      </c>
      <c r="D615" s="29" t="str">
        <f t="shared" si="319"/>
        <v/>
      </c>
      <c r="E615" s="29" t="s">
        <v>89</v>
      </c>
      <c r="F615" s="29">
        <v>2</v>
      </c>
      <c r="G615" s="29" t="s">
        <v>4</v>
      </c>
      <c r="H615" s="29">
        <v>5</v>
      </c>
      <c r="I615" s="36" t="str">
        <f t="shared" si="322"/>
        <v/>
      </c>
      <c r="J615" s="36" t="str">
        <f t="shared" si="323"/>
        <v/>
      </c>
    </row>
    <row r="616" spans="1:10" x14ac:dyDescent="0.25">
      <c r="A616" s="29" t="str">
        <f t="shared" si="316"/>
        <v>3Sáng1</v>
      </c>
      <c r="B616" s="29" t="str">
        <f t="shared" si="317"/>
        <v>3Sáng1Tân</v>
      </c>
      <c r="C616" s="29" t="str">
        <f t="shared" si="318"/>
        <v/>
      </c>
      <c r="D616" s="29" t="str">
        <f t="shared" si="319"/>
        <v/>
      </c>
      <c r="E616" s="29" t="s">
        <v>89</v>
      </c>
      <c r="F616" s="29">
        <v>3</v>
      </c>
      <c r="G616" s="29" t="s">
        <v>3</v>
      </c>
      <c r="H616" s="29">
        <v>1</v>
      </c>
      <c r="I616" s="36" t="str">
        <f t="shared" si="322"/>
        <v>Tân</v>
      </c>
      <c r="J616" s="36" t="str">
        <f t="shared" si="323"/>
        <v>Toán -8A1</v>
      </c>
    </row>
    <row r="617" spans="1:10" x14ac:dyDescent="0.25">
      <c r="A617" s="29" t="str">
        <f t="shared" si="316"/>
        <v>3Sáng2</v>
      </c>
      <c r="B617" s="29" t="str">
        <f t="shared" si="317"/>
        <v>3Sáng2Hà</v>
      </c>
      <c r="C617" s="29" t="str">
        <f t="shared" si="318"/>
        <v/>
      </c>
      <c r="D617" s="29" t="str">
        <f t="shared" si="319"/>
        <v/>
      </c>
      <c r="E617" s="29" t="s">
        <v>89</v>
      </c>
      <c r="F617" s="29">
        <v>3</v>
      </c>
      <c r="G617" s="29" t="s">
        <v>3</v>
      </c>
      <c r="H617" s="29">
        <v>2</v>
      </c>
      <c r="I617" s="36" t="str">
        <f t="shared" si="322"/>
        <v>Hà</v>
      </c>
      <c r="J617" s="36" t="str">
        <f t="shared" si="323"/>
        <v>GDCD -8A1</v>
      </c>
    </row>
    <row r="618" spans="1:10" x14ac:dyDescent="0.25">
      <c r="A618" s="29" t="str">
        <f t="shared" si="316"/>
        <v>3Sáng3Tay</v>
      </c>
      <c r="B618" s="29" t="str">
        <f t="shared" si="317"/>
        <v>3Sáng3Quỳnh</v>
      </c>
      <c r="C618" s="29" t="str">
        <f t="shared" si="318"/>
        <v>Tay</v>
      </c>
      <c r="D618" s="29" t="str">
        <f t="shared" si="319"/>
        <v>Quỳnh</v>
      </c>
      <c r="E618" s="29" t="s">
        <v>89</v>
      </c>
      <c r="F618" s="29">
        <v>3</v>
      </c>
      <c r="G618" s="29" t="s">
        <v>3</v>
      </c>
      <c r="H618" s="29">
        <v>3</v>
      </c>
      <c r="I618" s="36" t="str">
        <f t="shared" si="322"/>
        <v>Tay, Quỳnh</v>
      </c>
      <c r="J618" s="36" t="str">
        <f t="shared" si="323"/>
        <v>GVNN -8A1</v>
      </c>
    </row>
    <row r="619" spans="1:10" x14ac:dyDescent="0.25">
      <c r="A619" s="29" t="str">
        <f t="shared" si="316"/>
        <v>3Sáng4</v>
      </c>
      <c r="B619" s="29" t="str">
        <f t="shared" si="317"/>
        <v>3Sáng4Quỳnh</v>
      </c>
      <c r="C619" s="29" t="str">
        <f t="shared" si="318"/>
        <v/>
      </c>
      <c r="D619" s="29" t="str">
        <f t="shared" si="319"/>
        <v/>
      </c>
      <c r="E619" s="29" t="s">
        <v>89</v>
      </c>
      <c r="F619" s="29">
        <v>3</v>
      </c>
      <c r="G619" s="29" t="s">
        <v>3</v>
      </c>
      <c r="H619" s="29">
        <v>4</v>
      </c>
      <c r="I619" s="36" t="str">
        <f t="shared" si="322"/>
        <v>Quỳnh</v>
      </c>
      <c r="J619" s="36" t="str">
        <f t="shared" si="323"/>
        <v>GVVN -8A1</v>
      </c>
    </row>
    <row r="620" spans="1:10" x14ac:dyDescent="0.25">
      <c r="A620" s="29" t="str">
        <f t="shared" si="316"/>
        <v>3Sáng5</v>
      </c>
      <c r="B620" s="29" t="str">
        <f t="shared" si="317"/>
        <v>3Sáng5Tân</v>
      </c>
      <c r="C620" s="29" t="str">
        <f t="shared" si="318"/>
        <v/>
      </c>
      <c r="D620" s="29" t="str">
        <f t="shared" si="319"/>
        <v/>
      </c>
      <c r="E620" s="29" t="s">
        <v>89</v>
      </c>
      <c r="F620" s="29">
        <v>3</v>
      </c>
      <c r="G620" s="29" t="s">
        <v>3</v>
      </c>
      <c r="H620" s="29">
        <v>5</v>
      </c>
      <c r="I620" s="36" t="str">
        <f t="shared" si="322"/>
        <v>Tân</v>
      </c>
      <c r="J620" s="36" t="str">
        <f t="shared" si="323"/>
        <v>Toán -8A1</v>
      </c>
    </row>
    <row r="621" spans="1:10" x14ac:dyDescent="0.25">
      <c r="A621" s="29" t="str">
        <f t="shared" si="316"/>
        <v>3Chiều1</v>
      </c>
      <c r="B621" s="29" t="str">
        <f t="shared" si="317"/>
        <v>3Chiều1Nhung</v>
      </c>
      <c r="C621" s="29" t="str">
        <f t="shared" si="318"/>
        <v/>
      </c>
      <c r="D621" s="29" t="str">
        <f t="shared" si="319"/>
        <v/>
      </c>
      <c r="E621" s="29" t="s">
        <v>89</v>
      </c>
      <c r="F621" s="29">
        <v>3</v>
      </c>
      <c r="G621" s="29" t="s">
        <v>4</v>
      </c>
      <c r="H621" s="29">
        <v>1</v>
      </c>
      <c r="I621" s="36" t="str">
        <f t="shared" si="322"/>
        <v>Nhung</v>
      </c>
      <c r="J621" s="36" t="str">
        <f t="shared" si="323"/>
        <v>KHTN -8A1</v>
      </c>
    </row>
    <row r="622" spans="1:10" x14ac:dyDescent="0.25">
      <c r="A622" s="29" t="str">
        <f t="shared" si="316"/>
        <v>3Chiều2</v>
      </c>
      <c r="B622" s="29" t="str">
        <f t="shared" si="317"/>
        <v>3Chiều2Nhung</v>
      </c>
      <c r="C622" s="29" t="str">
        <f t="shared" si="318"/>
        <v/>
      </c>
      <c r="D622" s="29" t="str">
        <f t="shared" si="319"/>
        <v/>
      </c>
      <c r="E622" s="29" t="s">
        <v>89</v>
      </c>
      <c r="F622" s="29">
        <v>3</v>
      </c>
      <c r="G622" s="29" t="s">
        <v>4</v>
      </c>
      <c r="H622" s="29">
        <v>2</v>
      </c>
      <c r="I622" s="36" t="str">
        <f t="shared" si="322"/>
        <v>Nhung</v>
      </c>
      <c r="J622" s="36" t="str">
        <f t="shared" si="323"/>
        <v>KHTN -8A1</v>
      </c>
    </row>
    <row r="623" spans="1:10" x14ac:dyDescent="0.25">
      <c r="A623" s="29" t="str">
        <f t="shared" si="316"/>
        <v>3Chiều3</v>
      </c>
      <c r="B623" s="29" t="str">
        <f t="shared" si="317"/>
        <v>3Chiều3Ánh NV</v>
      </c>
      <c r="C623" s="29" t="str">
        <f t="shared" si="318"/>
        <v/>
      </c>
      <c r="D623" s="29" t="str">
        <f t="shared" si="319"/>
        <v/>
      </c>
      <c r="E623" s="29" t="s">
        <v>89</v>
      </c>
      <c r="F623" s="29">
        <v>3</v>
      </c>
      <c r="G623" s="29" t="s">
        <v>4</v>
      </c>
      <c r="H623" s="29">
        <v>3</v>
      </c>
      <c r="I623" s="36" t="str">
        <f t="shared" si="322"/>
        <v>Ánh NV</v>
      </c>
      <c r="J623" s="36" t="str">
        <f t="shared" si="323"/>
        <v>Văn -8A1</v>
      </c>
    </row>
    <row r="624" spans="1:10" x14ac:dyDescent="0.25">
      <c r="A624" s="29" t="str">
        <f t="shared" si="316"/>
        <v>3Chiều4</v>
      </c>
      <c r="B624" s="29" t="str">
        <f t="shared" si="317"/>
        <v>3Chiều4Ánh NV</v>
      </c>
      <c r="C624" s="29" t="str">
        <f t="shared" si="318"/>
        <v/>
      </c>
      <c r="D624" s="29" t="str">
        <f t="shared" si="319"/>
        <v/>
      </c>
      <c r="E624" s="29" t="s">
        <v>89</v>
      </c>
      <c r="F624" s="29">
        <v>3</v>
      </c>
      <c r="G624" s="29" t="s">
        <v>4</v>
      </c>
      <c r="H624" s="29">
        <v>4</v>
      </c>
      <c r="I624" s="36" t="str">
        <f t="shared" si="322"/>
        <v>Ánh NV</v>
      </c>
      <c r="J624" s="36" t="str">
        <f t="shared" si="323"/>
        <v>Văn -8A1</v>
      </c>
    </row>
    <row r="625" spans="1:10" x14ac:dyDescent="0.25">
      <c r="A625" s="29" t="str">
        <f t="shared" si="316"/>
        <v>3Chiều5</v>
      </c>
      <c r="B625" s="29" t="str">
        <f t="shared" si="317"/>
        <v>3Chiều5</v>
      </c>
      <c r="C625" s="29" t="str">
        <f t="shared" si="318"/>
        <v/>
      </c>
      <c r="D625" s="29" t="str">
        <f t="shared" si="319"/>
        <v/>
      </c>
      <c r="E625" s="29" t="s">
        <v>89</v>
      </c>
      <c r="F625" s="29">
        <v>3</v>
      </c>
      <c r="G625" s="29" t="s">
        <v>4</v>
      </c>
      <c r="H625" s="29">
        <v>5</v>
      </c>
      <c r="I625" s="36" t="str">
        <f t="shared" si="322"/>
        <v/>
      </c>
      <c r="J625" s="36" t="str">
        <f t="shared" si="323"/>
        <v/>
      </c>
    </row>
    <row r="626" spans="1:10" x14ac:dyDescent="0.25">
      <c r="A626" s="29" t="str">
        <f t="shared" si="316"/>
        <v>4Sáng1</v>
      </c>
      <c r="B626" s="29" t="str">
        <f t="shared" si="317"/>
        <v>4Sáng1Tân</v>
      </c>
      <c r="C626" s="29" t="str">
        <f t="shared" si="318"/>
        <v/>
      </c>
      <c r="D626" s="29" t="str">
        <f t="shared" si="319"/>
        <v/>
      </c>
      <c r="E626" s="29" t="s">
        <v>89</v>
      </c>
      <c r="F626" s="29">
        <v>4</v>
      </c>
      <c r="G626" s="29" t="s">
        <v>3</v>
      </c>
      <c r="H626" s="29">
        <v>1</v>
      </c>
      <c r="I626" s="36" t="str">
        <f t="shared" si="322"/>
        <v>Tân</v>
      </c>
      <c r="J626" s="36" t="str">
        <f t="shared" si="323"/>
        <v>Toán -8A1</v>
      </c>
    </row>
    <row r="627" spans="1:10" x14ac:dyDescent="0.25">
      <c r="A627" s="29" t="str">
        <f t="shared" si="316"/>
        <v>4Sáng2</v>
      </c>
      <c r="B627" s="29" t="str">
        <f t="shared" si="317"/>
        <v>4Sáng2Trang ÂN</v>
      </c>
      <c r="C627" s="29" t="str">
        <f t="shared" si="318"/>
        <v/>
      </c>
      <c r="D627" s="29" t="str">
        <f t="shared" si="319"/>
        <v/>
      </c>
      <c r="E627" s="29" t="s">
        <v>89</v>
      </c>
      <c r="F627" s="29">
        <v>4</v>
      </c>
      <c r="G627" s="29" t="s">
        <v>3</v>
      </c>
      <c r="H627" s="29">
        <v>2</v>
      </c>
      <c r="I627" s="36" t="str">
        <f t="shared" si="322"/>
        <v>Trang ÂN</v>
      </c>
      <c r="J627" s="36" t="str">
        <f t="shared" si="323"/>
        <v>Nhạc -8A1</v>
      </c>
    </row>
    <row r="628" spans="1:10" x14ac:dyDescent="0.25">
      <c r="A628" s="29" t="str">
        <f t="shared" si="316"/>
        <v>4Sáng3</v>
      </c>
      <c r="B628" s="29" t="str">
        <f t="shared" si="317"/>
        <v>4Sáng3Châu</v>
      </c>
      <c r="C628" s="29" t="str">
        <f t="shared" si="318"/>
        <v/>
      </c>
      <c r="D628" s="29" t="str">
        <f t="shared" si="319"/>
        <v/>
      </c>
      <c r="E628" s="29" t="s">
        <v>89</v>
      </c>
      <c r="F628" s="29">
        <v>4</v>
      </c>
      <c r="G628" s="29" t="s">
        <v>3</v>
      </c>
      <c r="H628" s="29">
        <v>3</v>
      </c>
      <c r="I628" s="36" t="str">
        <f t="shared" si="322"/>
        <v>Châu</v>
      </c>
      <c r="J628" s="36" t="str">
        <f t="shared" si="323"/>
        <v>Tiếng Trung -8A1</v>
      </c>
    </row>
    <row r="629" spans="1:10" x14ac:dyDescent="0.25">
      <c r="A629" s="29" t="str">
        <f t="shared" si="316"/>
        <v>4Sáng4Tay</v>
      </c>
      <c r="B629" s="29" t="str">
        <f t="shared" si="317"/>
        <v>4Sáng4Quỳnh</v>
      </c>
      <c r="C629" s="29" t="str">
        <f t="shared" si="318"/>
        <v>Tay</v>
      </c>
      <c r="D629" s="29" t="str">
        <f t="shared" si="319"/>
        <v>Quỳnh</v>
      </c>
      <c r="E629" s="29" t="s">
        <v>89</v>
      </c>
      <c r="F629" s="29">
        <v>4</v>
      </c>
      <c r="G629" s="29" t="s">
        <v>3</v>
      </c>
      <c r="H629" s="29">
        <v>4</v>
      </c>
      <c r="I629" s="36" t="str">
        <f t="shared" si="322"/>
        <v>Tay, Quỳnh</v>
      </c>
      <c r="J629" s="36" t="str">
        <f t="shared" si="323"/>
        <v>GVNN -8A1</v>
      </c>
    </row>
    <row r="630" spans="1:10" x14ac:dyDescent="0.25">
      <c r="A630" s="29" t="str">
        <f t="shared" si="316"/>
        <v>4Sáng5</v>
      </c>
      <c r="B630" s="29" t="str">
        <f t="shared" si="317"/>
        <v>4Sáng5Ánh NV</v>
      </c>
      <c r="C630" s="29" t="str">
        <f t="shared" si="318"/>
        <v/>
      </c>
      <c r="D630" s="29" t="str">
        <f t="shared" si="319"/>
        <v/>
      </c>
      <c r="E630" s="29" t="s">
        <v>89</v>
      </c>
      <c r="F630" s="29">
        <v>4</v>
      </c>
      <c r="G630" s="29" t="s">
        <v>3</v>
      </c>
      <c r="H630" s="29">
        <v>5</v>
      </c>
      <c r="I630" s="36" t="str">
        <f t="shared" si="322"/>
        <v>Ánh NV</v>
      </c>
      <c r="J630" s="36" t="str">
        <f t="shared" si="323"/>
        <v>Đọc sách -8A1</v>
      </c>
    </row>
    <row r="631" spans="1:10" x14ac:dyDescent="0.25">
      <c r="A631" s="29" t="str">
        <f t="shared" si="316"/>
        <v>4Chiều1</v>
      </c>
      <c r="B631" s="29" t="str">
        <f t="shared" si="317"/>
        <v>4Chiều1Ánh NV</v>
      </c>
      <c r="C631" s="29" t="str">
        <f t="shared" si="318"/>
        <v/>
      </c>
      <c r="D631" s="29" t="str">
        <f t="shared" si="319"/>
        <v/>
      </c>
      <c r="E631" s="29" t="s">
        <v>89</v>
      </c>
      <c r="F631" s="29">
        <v>4</v>
      </c>
      <c r="G631" s="29" t="s">
        <v>4</v>
      </c>
      <c r="H631" s="29">
        <v>1</v>
      </c>
      <c r="I631" s="36" t="str">
        <f t="shared" si="322"/>
        <v>Ánh NV</v>
      </c>
      <c r="J631" s="36" t="str">
        <f t="shared" si="323"/>
        <v>Văn -8A1</v>
      </c>
    </row>
    <row r="632" spans="1:10" x14ac:dyDescent="0.25">
      <c r="A632" s="29" t="str">
        <f t="shared" si="316"/>
        <v>4Chiều2</v>
      </c>
      <c r="B632" s="29" t="str">
        <f t="shared" si="317"/>
        <v>4Chiều2Phương</v>
      </c>
      <c r="C632" s="29" t="str">
        <f t="shared" si="318"/>
        <v/>
      </c>
      <c r="D632" s="29" t="str">
        <f t="shared" si="319"/>
        <v/>
      </c>
      <c r="E632" s="29" t="s">
        <v>89</v>
      </c>
      <c r="F632" s="29">
        <v>4</v>
      </c>
      <c r="G632" s="29" t="s">
        <v>4</v>
      </c>
      <c r="H632" s="29">
        <v>2</v>
      </c>
      <c r="I632" s="36" t="str">
        <f t="shared" si="322"/>
        <v>Phương</v>
      </c>
      <c r="J632" s="36" t="str">
        <f t="shared" si="323"/>
        <v>Mĩ thuật -8A1</v>
      </c>
    </row>
    <row r="633" spans="1:10" x14ac:dyDescent="0.25">
      <c r="A633" s="29" t="str">
        <f t="shared" si="316"/>
        <v>4Chiều3</v>
      </c>
      <c r="B633" s="29" t="str">
        <f t="shared" si="317"/>
        <v>4Chiều3Quỳnh</v>
      </c>
      <c r="C633" s="29" t="str">
        <f t="shared" si="318"/>
        <v/>
      </c>
      <c r="D633" s="29" t="str">
        <f t="shared" si="319"/>
        <v/>
      </c>
      <c r="E633" s="29" t="s">
        <v>89</v>
      </c>
      <c r="F633" s="29">
        <v>4</v>
      </c>
      <c r="G633" s="29" t="s">
        <v>4</v>
      </c>
      <c r="H633" s="29">
        <v>3</v>
      </c>
      <c r="I633" s="36" t="str">
        <f t="shared" si="322"/>
        <v>Quỳnh</v>
      </c>
      <c r="J633" s="36" t="str">
        <f t="shared" si="323"/>
        <v>GVVN -8A1</v>
      </c>
    </row>
    <row r="634" spans="1:10" x14ac:dyDescent="0.25">
      <c r="A634" s="29" t="str">
        <f t="shared" si="316"/>
        <v>4Chiều4</v>
      </c>
      <c r="B634" s="29" t="str">
        <f t="shared" si="317"/>
        <v>4Chiều4Hà</v>
      </c>
      <c r="C634" s="29" t="str">
        <f t="shared" si="318"/>
        <v/>
      </c>
      <c r="D634" s="29" t="str">
        <f t="shared" si="319"/>
        <v/>
      </c>
      <c r="E634" s="29" t="s">
        <v>89</v>
      </c>
      <c r="F634" s="29">
        <v>4</v>
      </c>
      <c r="G634" s="29" t="s">
        <v>4</v>
      </c>
      <c r="H634" s="29">
        <v>4</v>
      </c>
      <c r="I634" s="36" t="str">
        <f t="shared" si="322"/>
        <v>Hà</v>
      </c>
      <c r="J634" s="36" t="str">
        <f t="shared" si="323"/>
        <v>LS&amp;ĐL -8A1</v>
      </c>
    </row>
    <row r="635" spans="1:10" x14ac:dyDescent="0.25">
      <c r="A635" s="29" t="str">
        <f t="shared" si="316"/>
        <v>4Chiều5</v>
      </c>
      <c r="B635" s="29" t="str">
        <f t="shared" si="317"/>
        <v>4Chiều5</v>
      </c>
      <c r="C635" s="29" t="str">
        <f t="shared" si="318"/>
        <v/>
      </c>
      <c r="D635" s="29" t="str">
        <f t="shared" si="319"/>
        <v/>
      </c>
      <c r="E635" s="29" t="s">
        <v>89</v>
      </c>
      <c r="F635" s="29">
        <v>4</v>
      </c>
      <c r="G635" s="29" t="s">
        <v>4</v>
      </c>
      <c r="H635" s="29">
        <v>5</v>
      </c>
      <c r="I635" s="36" t="str">
        <f t="shared" si="322"/>
        <v/>
      </c>
      <c r="J635" s="36" t="str">
        <f t="shared" si="323"/>
        <v/>
      </c>
    </row>
    <row r="636" spans="1:10" x14ac:dyDescent="0.25">
      <c r="A636" s="29" t="str">
        <f t="shared" si="316"/>
        <v>5Sáng1</v>
      </c>
      <c r="B636" s="29" t="str">
        <f t="shared" si="317"/>
        <v>5Sáng1Quỳnh</v>
      </c>
      <c r="C636" s="29" t="str">
        <f t="shared" si="318"/>
        <v/>
      </c>
      <c r="D636" s="29" t="str">
        <f t="shared" si="319"/>
        <v/>
      </c>
      <c r="E636" s="29" t="s">
        <v>89</v>
      </c>
      <c r="F636" s="29">
        <v>5</v>
      </c>
      <c r="G636" s="29" t="s">
        <v>3</v>
      </c>
      <c r="H636" s="29">
        <v>1</v>
      </c>
      <c r="I636" s="36" t="str">
        <f t="shared" si="322"/>
        <v>Quỳnh</v>
      </c>
      <c r="J636" s="36" t="str">
        <f t="shared" si="323"/>
        <v>GVVN -8A1</v>
      </c>
    </row>
    <row r="637" spans="1:10" x14ac:dyDescent="0.25">
      <c r="A637" s="29" t="str">
        <f t="shared" si="316"/>
        <v>5Sáng2</v>
      </c>
      <c r="B637" s="29" t="str">
        <f t="shared" si="317"/>
        <v>5Sáng2Hà</v>
      </c>
      <c r="C637" s="29" t="str">
        <f t="shared" si="318"/>
        <v/>
      </c>
      <c r="D637" s="29" t="str">
        <f t="shared" si="319"/>
        <v/>
      </c>
      <c r="E637" s="29" t="s">
        <v>89</v>
      </c>
      <c r="F637" s="29">
        <v>5</v>
      </c>
      <c r="G637" s="29" t="s">
        <v>3</v>
      </c>
      <c r="H637" s="29">
        <v>2</v>
      </c>
      <c r="I637" s="36" t="str">
        <f t="shared" si="322"/>
        <v>Hà</v>
      </c>
      <c r="J637" s="36" t="str">
        <f t="shared" si="323"/>
        <v>LS&amp;ĐL -8A1</v>
      </c>
    </row>
    <row r="638" spans="1:10" x14ac:dyDescent="0.25">
      <c r="A638" s="29" t="str">
        <f t="shared" si="316"/>
        <v>5Sáng3</v>
      </c>
      <c r="B638" s="29" t="str">
        <f t="shared" si="317"/>
        <v>5Sáng3Ánh NV</v>
      </c>
      <c r="C638" s="29" t="str">
        <f t="shared" si="318"/>
        <v/>
      </c>
      <c r="D638" s="29" t="str">
        <f t="shared" si="319"/>
        <v/>
      </c>
      <c r="E638" s="29" t="s">
        <v>89</v>
      </c>
      <c r="F638" s="29">
        <v>5</v>
      </c>
      <c r="G638" s="29" t="s">
        <v>3</v>
      </c>
      <c r="H638" s="29">
        <v>3</v>
      </c>
      <c r="I638" s="36" t="str">
        <f t="shared" ref="I638:I665" si="324">AH98</f>
        <v>Ánh NV</v>
      </c>
      <c r="J638" s="36" t="str">
        <f t="shared" ref="J638:J665" si="325">AI98</f>
        <v>Văn -8A1</v>
      </c>
    </row>
    <row r="639" spans="1:10" x14ac:dyDescent="0.25">
      <c r="A639" s="29" t="str">
        <f t="shared" ref="A639:A702" si="326">F639&amp;G639&amp;H639&amp;C639</f>
        <v>5Sáng4</v>
      </c>
      <c r="B639" s="29" t="str">
        <f t="shared" ref="B639:B702" si="327">IF(D639="",F639&amp;G639&amp;H639&amp;I639,F639&amp;G639&amp;H639&amp;D639)</f>
        <v>5Sáng4Ánh NV</v>
      </c>
      <c r="C639" s="29" t="str">
        <f t="shared" ref="C639:C702" si="328">IFERROR(LEFT(I639,FIND(",",I639)-1),"")</f>
        <v/>
      </c>
      <c r="D639" s="29" t="str">
        <f t="shared" ref="D639:D702" si="329">IF(C639="","",RIGHT(I639,LEN(I639)-FIND(",",I639)-1))</f>
        <v/>
      </c>
      <c r="E639" s="29" t="s">
        <v>89</v>
      </c>
      <c r="F639" s="29">
        <v>5</v>
      </c>
      <c r="G639" s="29" t="s">
        <v>3</v>
      </c>
      <c r="H639" s="29">
        <v>4</v>
      </c>
      <c r="I639" s="36" t="str">
        <f t="shared" si="324"/>
        <v>Ánh NV</v>
      </c>
      <c r="J639" s="36" t="str">
        <f t="shared" si="325"/>
        <v>Văn -8A1</v>
      </c>
    </row>
    <row r="640" spans="1:10" x14ac:dyDescent="0.25">
      <c r="A640" s="29" t="str">
        <f t="shared" si="326"/>
        <v>5Sáng5</v>
      </c>
      <c r="B640" s="29" t="str">
        <f t="shared" si="327"/>
        <v>5Sáng5Ánh NV</v>
      </c>
      <c r="C640" s="29" t="str">
        <f t="shared" si="328"/>
        <v/>
      </c>
      <c r="D640" s="29" t="str">
        <f t="shared" si="329"/>
        <v/>
      </c>
      <c r="E640" s="29" t="s">
        <v>89</v>
      </c>
      <c r="F640" s="29">
        <v>5</v>
      </c>
      <c r="G640" s="29" t="s">
        <v>3</v>
      </c>
      <c r="H640" s="29">
        <v>5</v>
      </c>
      <c r="I640" s="36" t="str">
        <f t="shared" si="324"/>
        <v>Ánh NV</v>
      </c>
      <c r="J640" s="36" t="str">
        <f t="shared" si="325"/>
        <v>GDĐP -8A1</v>
      </c>
    </row>
    <row r="641" spans="1:10" x14ac:dyDescent="0.25">
      <c r="A641" s="29" t="str">
        <f t="shared" si="326"/>
        <v>5Chiều1</v>
      </c>
      <c r="B641" s="29" t="str">
        <f t="shared" si="327"/>
        <v>5Chiều1Nhung</v>
      </c>
      <c r="C641" s="29" t="str">
        <f t="shared" si="328"/>
        <v/>
      </c>
      <c r="D641" s="29" t="str">
        <f t="shared" si="329"/>
        <v/>
      </c>
      <c r="E641" s="29" t="s">
        <v>89</v>
      </c>
      <c r="F641" s="29">
        <v>5</v>
      </c>
      <c r="G641" s="29" t="s">
        <v>4</v>
      </c>
      <c r="H641" s="29">
        <v>1</v>
      </c>
      <c r="I641" s="36" t="str">
        <f t="shared" si="324"/>
        <v>Nhung</v>
      </c>
      <c r="J641" s="36" t="str">
        <f t="shared" si="325"/>
        <v>KHTN -8A1</v>
      </c>
    </row>
    <row r="642" spans="1:10" x14ac:dyDescent="0.25">
      <c r="A642" s="29" t="str">
        <f t="shared" si="326"/>
        <v>5Chiều2</v>
      </c>
      <c r="B642" s="29" t="str">
        <f t="shared" si="327"/>
        <v>5Chiều2Nhung</v>
      </c>
      <c r="C642" s="29" t="str">
        <f t="shared" si="328"/>
        <v/>
      </c>
      <c r="D642" s="29" t="str">
        <f t="shared" si="329"/>
        <v/>
      </c>
      <c r="E642" s="29" t="s">
        <v>89</v>
      </c>
      <c r="F642" s="29">
        <v>5</v>
      </c>
      <c r="G642" s="29" t="s">
        <v>4</v>
      </c>
      <c r="H642" s="29">
        <v>2</v>
      </c>
      <c r="I642" s="36" t="str">
        <f t="shared" si="324"/>
        <v>Nhung</v>
      </c>
      <c r="J642" s="36" t="str">
        <f t="shared" si="325"/>
        <v>KHTN -8A1</v>
      </c>
    </row>
    <row r="643" spans="1:10" x14ac:dyDescent="0.25">
      <c r="A643" s="29" t="str">
        <f t="shared" si="326"/>
        <v>5Chiều3</v>
      </c>
      <c r="B643" s="29" t="str">
        <f t="shared" si="327"/>
        <v>5Chiều3Quỳnh</v>
      </c>
      <c r="C643" s="29" t="str">
        <f t="shared" si="328"/>
        <v/>
      </c>
      <c r="D643" s="29" t="str">
        <f t="shared" si="329"/>
        <v/>
      </c>
      <c r="E643" s="29" t="s">
        <v>89</v>
      </c>
      <c r="F643" s="29">
        <v>5</v>
      </c>
      <c r="G643" s="29" t="s">
        <v>4</v>
      </c>
      <c r="H643" s="29">
        <v>3</v>
      </c>
      <c r="I643" s="36" t="str">
        <f t="shared" si="324"/>
        <v>Quỳnh</v>
      </c>
      <c r="J643" s="36" t="str">
        <f t="shared" si="325"/>
        <v>GVVN -8A1</v>
      </c>
    </row>
    <row r="644" spans="1:10" x14ac:dyDescent="0.25">
      <c r="A644" s="29" t="str">
        <f t="shared" si="326"/>
        <v>5Chiều4</v>
      </c>
      <c r="B644" s="29" t="str">
        <f t="shared" si="327"/>
        <v>5Chiều4Tân</v>
      </c>
      <c r="C644" s="29" t="str">
        <f t="shared" si="328"/>
        <v/>
      </c>
      <c r="D644" s="29" t="str">
        <f t="shared" si="329"/>
        <v/>
      </c>
      <c r="E644" s="29" t="s">
        <v>89</v>
      </c>
      <c r="F644" s="29">
        <v>5</v>
      </c>
      <c r="G644" s="29" t="s">
        <v>4</v>
      </c>
      <c r="H644" s="29">
        <v>4</v>
      </c>
      <c r="I644" s="36" t="str">
        <f t="shared" si="324"/>
        <v>Tân</v>
      </c>
      <c r="J644" s="36" t="str">
        <f t="shared" si="325"/>
        <v>Toán -8A1</v>
      </c>
    </row>
    <row r="645" spans="1:10" x14ac:dyDescent="0.25">
      <c r="A645" s="29" t="str">
        <f t="shared" si="326"/>
        <v>5Chiều5</v>
      </c>
      <c r="B645" s="29" t="str">
        <f t="shared" si="327"/>
        <v>5Chiều5</v>
      </c>
      <c r="C645" s="29" t="str">
        <f t="shared" si="328"/>
        <v/>
      </c>
      <c r="D645" s="29" t="str">
        <f t="shared" si="329"/>
        <v/>
      </c>
      <c r="E645" s="29" t="s">
        <v>89</v>
      </c>
      <c r="F645" s="29">
        <v>5</v>
      </c>
      <c r="G645" s="29" t="s">
        <v>4</v>
      </c>
      <c r="H645" s="29">
        <v>5</v>
      </c>
      <c r="I645" s="36" t="str">
        <f t="shared" si="324"/>
        <v/>
      </c>
      <c r="J645" s="36" t="str">
        <f t="shared" si="325"/>
        <v/>
      </c>
    </row>
    <row r="646" spans="1:10" x14ac:dyDescent="0.25">
      <c r="A646" s="29" t="str">
        <f t="shared" si="326"/>
        <v>6Sáng1</v>
      </c>
      <c r="B646" s="29" t="str">
        <f t="shared" si="327"/>
        <v>6Sáng1Hồng</v>
      </c>
      <c r="C646" s="29" t="str">
        <f t="shared" si="328"/>
        <v/>
      </c>
      <c r="D646" s="29" t="str">
        <f t="shared" si="329"/>
        <v/>
      </c>
      <c r="E646" s="29" t="s">
        <v>89</v>
      </c>
      <c r="F646" s="29">
        <v>6</v>
      </c>
      <c r="G646" s="29" t="s">
        <v>3</v>
      </c>
      <c r="H646" s="29">
        <v>1</v>
      </c>
      <c r="I646" s="36" t="str">
        <f t="shared" si="324"/>
        <v>Hồng</v>
      </c>
      <c r="J646" s="36" t="str">
        <f t="shared" si="325"/>
        <v>GDTC -8A1</v>
      </c>
    </row>
    <row r="647" spans="1:10" x14ac:dyDescent="0.25">
      <c r="A647" s="29" t="str">
        <f t="shared" si="326"/>
        <v>6Sáng2</v>
      </c>
      <c r="B647" s="29" t="str">
        <f t="shared" si="327"/>
        <v>6Sáng2Hồng</v>
      </c>
      <c r="C647" s="29" t="str">
        <f t="shared" si="328"/>
        <v/>
      </c>
      <c r="D647" s="29" t="str">
        <f t="shared" si="329"/>
        <v/>
      </c>
      <c r="E647" s="29" t="s">
        <v>89</v>
      </c>
      <c r="F647" s="29">
        <v>6</v>
      </c>
      <c r="G647" s="29" t="s">
        <v>3</v>
      </c>
      <c r="H647" s="29">
        <v>2</v>
      </c>
      <c r="I647" s="36" t="str">
        <f t="shared" si="324"/>
        <v>Hồng</v>
      </c>
      <c r="J647" s="36" t="str">
        <f t="shared" si="325"/>
        <v>GDTC -8A1</v>
      </c>
    </row>
    <row r="648" spans="1:10" x14ac:dyDescent="0.25">
      <c r="A648" s="29" t="str">
        <f t="shared" si="326"/>
        <v>6Sáng3Tay</v>
      </c>
      <c r="B648" s="29" t="str">
        <f t="shared" si="327"/>
        <v>6Sáng3Quỳnh</v>
      </c>
      <c r="C648" s="29" t="str">
        <f t="shared" si="328"/>
        <v>Tay</v>
      </c>
      <c r="D648" s="29" t="str">
        <f t="shared" si="329"/>
        <v>Quỳnh</v>
      </c>
      <c r="E648" s="29" t="s">
        <v>89</v>
      </c>
      <c r="F648" s="29">
        <v>6</v>
      </c>
      <c r="G648" s="29" t="s">
        <v>3</v>
      </c>
      <c r="H648" s="29">
        <v>3</v>
      </c>
      <c r="I648" s="36" t="str">
        <f t="shared" si="324"/>
        <v>Tay, Quỳnh</v>
      </c>
      <c r="J648" s="36" t="str">
        <f t="shared" si="325"/>
        <v>GVNN -8A1</v>
      </c>
    </row>
    <row r="649" spans="1:10" x14ac:dyDescent="0.25">
      <c r="A649" s="29" t="str">
        <f t="shared" si="326"/>
        <v>6Sáng4</v>
      </c>
      <c r="B649" s="29" t="str">
        <f t="shared" si="327"/>
        <v>6Sáng4Quỳnh</v>
      </c>
      <c r="C649" s="29" t="str">
        <f t="shared" si="328"/>
        <v/>
      </c>
      <c r="D649" s="29" t="str">
        <f t="shared" si="329"/>
        <v/>
      </c>
      <c r="E649" s="29" t="s">
        <v>89</v>
      </c>
      <c r="F649" s="29">
        <v>6</v>
      </c>
      <c r="G649" s="29" t="s">
        <v>3</v>
      </c>
      <c r="H649" s="29">
        <v>4</v>
      </c>
      <c r="I649" s="36" t="str">
        <f t="shared" si="324"/>
        <v>Quỳnh</v>
      </c>
      <c r="J649" s="36" t="str">
        <f t="shared" si="325"/>
        <v>GVVN -8A1</v>
      </c>
    </row>
    <row r="650" spans="1:10" x14ac:dyDescent="0.25">
      <c r="A650" s="29" t="str">
        <f t="shared" si="326"/>
        <v>6Sáng5</v>
      </c>
      <c r="B650" s="29" t="str">
        <f t="shared" si="327"/>
        <v>6Sáng5</v>
      </c>
      <c r="C650" s="29" t="str">
        <f t="shared" si="328"/>
        <v/>
      </c>
      <c r="D650" s="29" t="str">
        <f t="shared" si="329"/>
        <v/>
      </c>
      <c r="E650" s="29" t="s">
        <v>89</v>
      </c>
      <c r="F650" s="29">
        <v>6</v>
      </c>
      <c r="G650" s="29" t="s">
        <v>3</v>
      </c>
      <c r="H650" s="29">
        <v>5</v>
      </c>
      <c r="I650" s="36" t="str">
        <f t="shared" si="324"/>
        <v/>
      </c>
      <c r="J650" s="36" t="str">
        <f t="shared" si="325"/>
        <v/>
      </c>
    </row>
    <row r="651" spans="1:10" x14ac:dyDescent="0.25">
      <c r="A651" s="29" t="str">
        <f t="shared" si="326"/>
        <v>6Chiều1</v>
      </c>
      <c r="B651" s="29" t="str">
        <f t="shared" si="327"/>
        <v>6Chiều1Nguyên</v>
      </c>
      <c r="C651" s="29" t="str">
        <f t="shared" si="328"/>
        <v/>
      </c>
      <c r="D651" s="29" t="str">
        <f t="shared" si="329"/>
        <v/>
      </c>
      <c r="E651" s="29" t="s">
        <v>89</v>
      </c>
      <c r="F651" s="29">
        <v>6</v>
      </c>
      <c r="G651" s="29" t="s">
        <v>4</v>
      </c>
      <c r="H651" s="29">
        <v>1</v>
      </c>
      <c r="I651" s="36" t="str">
        <f t="shared" si="324"/>
        <v>Nguyên</v>
      </c>
      <c r="J651" s="36" t="str">
        <f t="shared" si="325"/>
        <v>Tin -8A1</v>
      </c>
    </row>
    <row r="652" spans="1:10" x14ac:dyDescent="0.25">
      <c r="A652" s="29" t="str">
        <f t="shared" si="326"/>
        <v>6Chiều2</v>
      </c>
      <c r="B652" s="29" t="str">
        <f t="shared" si="327"/>
        <v>6Chiều2Nguyên</v>
      </c>
      <c r="C652" s="29" t="str">
        <f t="shared" si="328"/>
        <v/>
      </c>
      <c r="D652" s="29" t="str">
        <f t="shared" si="329"/>
        <v/>
      </c>
      <c r="E652" s="29" t="s">
        <v>89</v>
      </c>
      <c r="F652" s="29">
        <v>6</v>
      </c>
      <c r="G652" s="29" t="s">
        <v>4</v>
      </c>
      <c r="H652" s="29">
        <v>2</v>
      </c>
      <c r="I652" s="36" t="str">
        <f t="shared" si="324"/>
        <v>Nguyên</v>
      </c>
      <c r="J652" s="36" t="str">
        <f t="shared" si="325"/>
        <v>Robotics -8A1</v>
      </c>
    </row>
    <row r="653" spans="1:10" x14ac:dyDescent="0.25">
      <c r="A653" s="29" t="str">
        <f t="shared" si="326"/>
        <v>6Chiều3</v>
      </c>
      <c r="B653" s="29" t="str">
        <f t="shared" si="327"/>
        <v>6Chiều3Tân</v>
      </c>
      <c r="C653" s="29" t="str">
        <f t="shared" si="328"/>
        <v/>
      </c>
      <c r="D653" s="29" t="str">
        <f t="shared" si="329"/>
        <v/>
      </c>
      <c r="E653" s="29" t="s">
        <v>89</v>
      </c>
      <c r="F653" s="29">
        <v>6</v>
      </c>
      <c r="G653" s="29" t="s">
        <v>4</v>
      </c>
      <c r="H653" s="29">
        <v>3</v>
      </c>
      <c r="I653" s="36" t="str">
        <f t="shared" si="324"/>
        <v>Tân</v>
      </c>
      <c r="J653" s="36" t="str">
        <f t="shared" si="325"/>
        <v>Toán -8A1</v>
      </c>
    </row>
    <row r="654" spans="1:10" x14ac:dyDescent="0.25">
      <c r="A654" s="29" t="str">
        <f t="shared" si="326"/>
        <v>6Chiều4</v>
      </c>
      <c r="B654" s="29" t="str">
        <f t="shared" si="327"/>
        <v>6Chiều4Tân</v>
      </c>
      <c r="C654" s="29" t="str">
        <f t="shared" si="328"/>
        <v/>
      </c>
      <c r="D654" s="29" t="str">
        <f t="shared" si="329"/>
        <v/>
      </c>
      <c r="E654" s="29" t="s">
        <v>89</v>
      </c>
      <c r="F654" s="29">
        <v>6</v>
      </c>
      <c r="G654" s="29" t="s">
        <v>4</v>
      </c>
      <c r="H654" s="29">
        <v>4</v>
      </c>
      <c r="I654" s="36" t="str">
        <f t="shared" si="324"/>
        <v>Tân</v>
      </c>
      <c r="J654" s="36" t="str">
        <f t="shared" si="325"/>
        <v>Toán -8A1</v>
      </c>
    </row>
    <row r="655" spans="1:10" x14ac:dyDescent="0.25">
      <c r="A655" s="29" t="str">
        <f t="shared" si="326"/>
        <v>6Chiều5</v>
      </c>
      <c r="B655" s="29" t="str">
        <f t="shared" si="327"/>
        <v>6Chiều5</v>
      </c>
      <c r="C655" s="29" t="str">
        <f t="shared" si="328"/>
        <v/>
      </c>
      <c r="D655" s="29" t="str">
        <f t="shared" si="329"/>
        <v/>
      </c>
      <c r="E655" s="29" t="s">
        <v>89</v>
      </c>
      <c r="F655" s="29">
        <v>6</v>
      </c>
      <c r="G655" s="29" t="s">
        <v>4</v>
      </c>
      <c r="H655" s="29">
        <v>5</v>
      </c>
      <c r="I655" s="36" t="str">
        <f t="shared" si="324"/>
        <v/>
      </c>
      <c r="J655" s="36" t="str">
        <f t="shared" si="325"/>
        <v/>
      </c>
    </row>
    <row r="656" spans="1:10" x14ac:dyDescent="0.25">
      <c r="A656" s="29" t="str">
        <f t="shared" si="326"/>
        <v>7Sáng1</v>
      </c>
      <c r="B656" s="29" t="str">
        <f t="shared" si="327"/>
        <v>7Sáng1</v>
      </c>
      <c r="C656" s="29" t="str">
        <f t="shared" si="328"/>
        <v/>
      </c>
      <c r="D656" s="29" t="str">
        <f t="shared" si="329"/>
        <v/>
      </c>
      <c r="E656" s="29" t="s">
        <v>89</v>
      </c>
      <c r="F656" s="29">
        <v>7</v>
      </c>
      <c r="G656" s="29" t="s">
        <v>3</v>
      </c>
      <c r="H656" s="29">
        <v>1</v>
      </c>
      <c r="I656" s="36" t="str">
        <f t="shared" si="324"/>
        <v/>
      </c>
      <c r="J656" s="36" t="str">
        <f t="shared" si="325"/>
        <v/>
      </c>
    </row>
    <row r="657" spans="1:10" x14ac:dyDescent="0.25">
      <c r="A657" s="29" t="str">
        <f t="shared" si="326"/>
        <v>7Sáng2</v>
      </c>
      <c r="B657" s="29" t="str">
        <f t="shared" si="327"/>
        <v>7Sáng2</v>
      </c>
      <c r="C657" s="29" t="str">
        <f t="shared" si="328"/>
        <v/>
      </c>
      <c r="D657" s="29" t="str">
        <f t="shared" si="329"/>
        <v/>
      </c>
      <c r="E657" s="29" t="s">
        <v>89</v>
      </c>
      <c r="F657" s="29">
        <v>7</v>
      </c>
      <c r="G657" s="29" t="s">
        <v>3</v>
      </c>
      <c r="H657" s="29">
        <v>2</v>
      </c>
      <c r="I657" s="36" t="str">
        <f t="shared" si="324"/>
        <v/>
      </c>
      <c r="J657" s="36" t="str">
        <f t="shared" si="325"/>
        <v/>
      </c>
    </row>
    <row r="658" spans="1:10" x14ac:dyDescent="0.25">
      <c r="A658" s="29" t="str">
        <f t="shared" si="326"/>
        <v>7Sáng3</v>
      </c>
      <c r="B658" s="29" t="str">
        <f t="shared" si="327"/>
        <v>7Sáng3</v>
      </c>
      <c r="C658" s="29" t="str">
        <f t="shared" si="328"/>
        <v/>
      </c>
      <c r="D658" s="29" t="str">
        <f t="shared" si="329"/>
        <v/>
      </c>
      <c r="E658" s="29" t="s">
        <v>89</v>
      </c>
      <c r="F658" s="29">
        <v>7</v>
      </c>
      <c r="G658" s="29" t="s">
        <v>3</v>
      </c>
      <c r="H658" s="29">
        <v>3</v>
      </c>
      <c r="I658" s="36" t="str">
        <f t="shared" si="324"/>
        <v/>
      </c>
      <c r="J658" s="36" t="str">
        <f t="shared" si="325"/>
        <v/>
      </c>
    </row>
    <row r="659" spans="1:10" x14ac:dyDescent="0.25">
      <c r="A659" s="29" t="str">
        <f t="shared" si="326"/>
        <v>7Sáng4</v>
      </c>
      <c r="B659" s="29" t="str">
        <f t="shared" si="327"/>
        <v>7Sáng4</v>
      </c>
      <c r="C659" s="29" t="str">
        <f t="shared" si="328"/>
        <v/>
      </c>
      <c r="D659" s="29" t="str">
        <f t="shared" si="329"/>
        <v/>
      </c>
      <c r="E659" s="29" t="s">
        <v>89</v>
      </c>
      <c r="F659" s="29">
        <v>7</v>
      </c>
      <c r="G659" s="29" t="s">
        <v>3</v>
      </c>
      <c r="H659" s="29">
        <v>4</v>
      </c>
      <c r="I659" s="36" t="str">
        <f t="shared" si="324"/>
        <v/>
      </c>
      <c r="J659" s="36" t="str">
        <f t="shared" si="325"/>
        <v/>
      </c>
    </row>
    <row r="660" spans="1:10" x14ac:dyDescent="0.25">
      <c r="A660" s="29" t="str">
        <f t="shared" si="326"/>
        <v>7Sáng5</v>
      </c>
      <c r="B660" s="29" t="str">
        <f t="shared" si="327"/>
        <v>7Sáng5</v>
      </c>
      <c r="C660" s="29" t="str">
        <f t="shared" si="328"/>
        <v/>
      </c>
      <c r="D660" s="29" t="str">
        <f t="shared" si="329"/>
        <v/>
      </c>
      <c r="E660" s="29" t="s">
        <v>89</v>
      </c>
      <c r="F660" s="29">
        <v>7</v>
      </c>
      <c r="G660" s="29" t="s">
        <v>3</v>
      </c>
      <c r="H660" s="29">
        <v>5</v>
      </c>
      <c r="I660" s="36" t="str">
        <f t="shared" si="324"/>
        <v/>
      </c>
      <c r="J660" s="36" t="str">
        <f t="shared" si="325"/>
        <v/>
      </c>
    </row>
    <row r="661" spans="1:10" x14ac:dyDescent="0.25">
      <c r="A661" s="29" t="str">
        <f t="shared" si="326"/>
        <v>7Chiều1</v>
      </c>
      <c r="B661" s="29" t="str">
        <f t="shared" si="327"/>
        <v>7Chiều1</v>
      </c>
      <c r="C661" s="29" t="str">
        <f t="shared" si="328"/>
        <v/>
      </c>
      <c r="D661" s="29" t="str">
        <f t="shared" si="329"/>
        <v/>
      </c>
      <c r="E661" s="29" t="s">
        <v>89</v>
      </c>
      <c r="F661" s="29">
        <v>7</v>
      </c>
      <c r="G661" s="29" t="s">
        <v>4</v>
      </c>
      <c r="H661" s="29">
        <v>1</v>
      </c>
      <c r="I661" s="36" t="str">
        <f t="shared" si="324"/>
        <v/>
      </c>
      <c r="J661" s="36" t="str">
        <f t="shared" si="325"/>
        <v/>
      </c>
    </row>
    <row r="662" spans="1:10" x14ac:dyDescent="0.25">
      <c r="A662" s="29" t="str">
        <f t="shared" si="326"/>
        <v>7Chiều2</v>
      </c>
      <c r="B662" s="29" t="str">
        <f t="shared" si="327"/>
        <v>7Chiều2</v>
      </c>
      <c r="C662" s="29" t="str">
        <f t="shared" si="328"/>
        <v/>
      </c>
      <c r="D662" s="29" t="str">
        <f t="shared" si="329"/>
        <v/>
      </c>
      <c r="E662" s="29" t="s">
        <v>89</v>
      </c>
      <c r="F662" s="29">
        <v>7</v>
      </c>
      <c r="G662" s="29" t="s">
        <v>4</v>
      </c>
      <c r="H662" s="29">
        <v>2</v>
      </c>
      <c r="I662" s="36" t="str">
        <f t="shared" si="324"/>
        <v/>
      </c>
      <c r="J662" s="36" t="str">
        <f t="shared" si="325"/>
        <v/>
      </c>
    </row>
    <row r="663" spans="1:10" x14ac:dyDescent="0.25">
      <c r="A663" s="29" t="str">
        <f t="shared" si="326"/>
        <v>7Chiều3</v>
      </c>
      <c r="B663" s="29" t="str">
        <f t="shared" si="327"/>
        <v>7Chiều3</v>
      </c>
      <c r="C663" s="29" t="str">
        <f t="shared" si="328"/>
        <v/>
      </c>
      <c r="D663" s="29" t="str">
        <f t="shared" si="329"/>
        <v/>
      </c>
      <c r="E663" s="29" t="s">
        <v>89</v>
      </c>
      <c r="F663" s="29">
        <v>7</v>
      </c>
      <c r="G663" s="29" t="s">
        <v>4</v>
      </c>
      <c r="H663" s="29">
        <v>3</v>
      </c>
      <c r="I663" s="36" t="str">
        <f t="shared" si="324"/>
        <v/>
      </c>
      <c r="J663" s="36" t="str">
        <f t="shared" si="325"/>
        <v/>
      </c>
    </row>
    <row r="664" spans="1:10" x14ac:dyDescent="0.25">
      <c r="A664" s="29" t="str">
        <f t="shared" si="326"/>
        <v>7Chiều4</v>
      </c>
      <c r="B664" s="29" t="e">
        <f t="shared" si="327"/>
        <v>#VALUE!</v>
      </c>
      <c r="C664" s="29" t="str">
        <f t="shared" si="328"/>
        <v/>
      </c>
      <c r="D664" s="29" t="str">
        <f t="shared" si="329"/>
        <v/>
      </c>
      <c r="E664" s="29" t="s">
        <v>89</v>
      </c>
      <c r="F664" s="29">
        <v>7</v>
      </c>
      <c r="G664" s="29" t="s">
        <v>4</v>
      </c>
      <c r="H664" s="29">
        <v>4</v>
      </c>
      <c r="I664" s="36" t="e">
        <f t="shared" si="324"/>
        <v>#VALUE!</v>
      </c>
      <c r="J664" s="36" t="e">
        <f t="shared" si="325"/>
        <v>#VALUE!</v>
      </c>
    </row>
    <row r="665" spans="1:10" x14ac:dyDescent="0.25">
      <c r="A665" s="29" t="str">
        <f t="shared" si="326"/>
        <v>7Chiều5</v>
      </c>
      <c r="B665" s="29" t="e">
        <f t="shared" si="327"/>
        <v>#VALUE!</v>
      </c>
      <c r="C665" s="29" t="str">
        <f t="shared" si="328"/>
        <v/>
      </c>
      <c r="D665" s="29" t="str">
        <f t="shared" si="329"/>
        <v/>
      </c>
      <c r="E665" s="29" t="s">
        <v>89</v>
      </c>
      <c r="F665" s="29">
        <v>7</v>
      </c>
      <c r="G665" s="29" t="s">
        <v>4</v>
      </c>
      <c r="H665" s="29">
        <v>5</v>
      </c>
      <c r="I665" s="36" t="e">
        <f t="shared" si="324"/>
        <v>#VALUE!</v>
      </c>
      <c r="J665" s="36" t="e">
        <f t="shared" si="325"/>
        <v>#VALUE!</v>
      </c>
    </row>
    <row r="666" spans="1:10" x14ac:dyDescent="0.25">
      <c r="A666" s="29" t="str">
        <f t="shared" si="326"/>
        <v>2Sáng1</v>
      </c>
      <c r="B666" s="29" t="str">
        <f t="shared" si="327"/>
        <v>2Sáng1Hiền</v>
      </c>
      <c r="C666" s="29" t="str">
        <f t="shared" si="328"/>
        <v/>
      </c>
      <c r="D666" s="29" t="str">
        <f t="shared" si="329"/>
        <v/>
      </c>
      <c r="E666" s="29" t="s">
        <v>92</v>
      </c>
      <c r="F666" s="29">
        <v>2</v>
      </c>
      <c r="G666" s="29" t="s">
        <v>3</v>
      </c>
      <c r="H666" s="29">
        <v>1</v>
      </c>
      <c r="I666" s="36" t="str">
        <f t="shared" ref="I666:I702" si="330">AJ66</f>
        <v>Hiền</v>
      </c>
      <c r="J666" s="36" t="str">
        <f t="shared" ref="J666:J702" si="331">AK66</f>
        <v>SH tập thể -TTH1</v>
      </c>
    </row>
    <row r="667" spans="1:10" x14ac:dyDescent="0.25">
      <c r="A667" s="29" t="str">
        <f t="shared" si="326"/>
        <v>2Sáng2</v>
      </c>
      <c r="B667" s="29" t="str">
        <f t="shared" si="327"/>
        <v>2Sáng2Hiền</v>
      </c>
      <c r="C667" s="29" t="str">
        <f t="shared" si="328"/>
        <v/>
      </c>
      <c r="D667" s="29" t="str">
        <f t="shared" si="329"/>
        <v/>
      </c>
      <c r="E667" s="29" t="s">
        <v>92</v>
      </c>
      <c r="F667" s="29">
        <v>2</v>
      </c>
      <c r="G667" s="29" t="s">
        <v>3</v>
      </c>
      <c r="H667" s="29">
        <v>2</v>
      </c>
      <c r="I667" s="36" t="str">
        <f t="shared" si="330"/>
        <v>Hiền</v>
      </c>
      <c r="J667" s="36" t="str">
        <f t="shared" si="331"/>
        <v>Đọc sách -TTH1</v>
      </c>
    </row>
    <row r="668" spans="1:10" x14ac:dyDescent="0.25">
      <c r="A668" s="29" t="str">
        <f t="shared" si="326"/>
        <v>2Sáng3</v>
      </c>
      <c r="B668" s="29" t="str">
        <f t="shared" si="327"/>
        <v>2Sáng3Huyền</v>
      </c>
      <c r="C668" s="29" t="str">
        <f t="shared" si="328"/>
        <v/>
      </c>
      <c r="D668" s="29" t="str">
        <f t="shared" si="329"/>
        <v/>
      </c>
      <c r="E668" s="29" t="s">
        <v>92</v>
      </c>
      <c r="F668" s="29">
        <v>2</v>
      </c>
      <c r="G668" s="29" t="s">
        <v>3</v>
      </c>
      <c r="H668" s="29">
        <v>3</v>
      </c>
      <c r="I668" s="36" t="str">
        <f t="shared" si="330"/>
        <v>Huyền</v>
      </c>
      <c r="J668" s="36" t="str">
        <f t="shared" si="331"/>
        <v>GVVN -TTH1</v>
      </c>
    </row>
    <row r="669" spans="1:10" x14ac:dyDescent="0.25">
      <c r="A669" s="29" t="str">
        <f t="shared" si="326"/>
        <v>2Sáng4Aziz</v>
      </c>
      <c r="B669" s="29" t="str">
        <f t="shared" si="327"/>
        <v>2Sáng4Huyền</v>
      </c>
      <c r="C669" s="29" t="str">
        <f t="shared" si="328"/>
        <v>Aziz</v>
      </c>
      <c r="D669" s="29" t="str">
        <f t="shared" si="329"/>
        <v>Huyền</v>
      </c>
      <c r="E669" s="29" t="s">
        <v>92</v>
      </c>
      <c r="F669" s="29">
        <v>2</v>
      </c>
      <c r="G669" s="29" t="s">
        <v>3</v>
      </c>
      <c r="H669" s="29">
        <v>4</v>
      </c>
      <c r="I669" s="36" t="str">
        <f t="shared" si="330"/>
        <v>Aziz, Huyền</v>
      </c>
      <c r="J669" s="36" t="str">
        <f t="shared" si="331"/>
        <v>GVNN -TTH1</v>
      </c>
    </row>
    <row r="670" spans="1:10" x14ac:dyDescent="0.25">
      <c r="A670" s="29" t="str">
        <f t="shared" si="326"/>
        <v>2Sáng5</v>
      </c>
      <c r="B670" s="29" t="str">
        <f t="shared" si="327"/>
        <v>2Sáng5</v>
      </c>
      <c r="C670" s="29" t="str">
        <f t="shared" si="328"/>
        <v/>
      </c>
      <c r="D670" s="29" t="str">
        <f t="shared" si="329"/>
        <v/>
      </c>
      <c r="E670" s="29" t="s">
        <v>92</v>
      </c>
      <c r="F670" s="29">
        <v>2</v>
      </c>
      <c r="G670" s="29" t="s">
        <v>3</v>
      </c>
      <c r="H670" s="29">
        <v>5</v>
      </c>
      <c r="I670" s="36" t="str">
        <f t="shared" si="330"/>
        <v/>
      </c>
      <c r="J670" s="36" t="str">
        <f t="shared" si="331"/>
        <v/>
      </c>
    </row>
    <row r="671" spans="1:10" x14ac:dyDescent="0.25">
      <c r="A671" s="29" t="str">
        <f t="shared" si="326"/>
        <v>2Chiều1</v>
      </c>
      <c r="B671" s="29" t="str">
        <f t="shared" si="327"/>
        <v>2Chiều1Hiền</v>
      </c>
      <c r="C671" s="29" t="str">
        <f t="shared" si="328"/>
        <v/>
      </c>
      <c r="D671" s="29" t="str">
        <f t="shared" si="329"/>
        <v/>
      </c>
      <c r="E671" s="29" t="s">
        <v>92</v>
      </c>
      <c r="F671" s="29">
        <v>2</v>
      </c>
      <c r="G671" s="29" t="s">
        <v>4</v>
      </c>
      <c r="H671" s="29">
        <v>1</v>
      </c>
      <c r="I671" s="36" t="str">
        <f t="shared" si="330"/>
        <v>Hiền</v>
      </c>
      <c r="J671" s="36" t="str">
        <f t="shared" si="331"/>
        <v>HĐ tự chọn -TTH1</v>
      </c>
    </row>
    <row r="672" spans="1:10" x14ac:dyDescent="0.25">
      <c r="A672" s="29" t="str">
        <f t="shared" si="326"/>
        <v>2Chiều2</v>
      </c>
      <c r="B672" s="29" t="str">
        <f t="shared" si="327"/>
        <v>2Chiều2Hiền</v>
      </c>
      <c r="C672" s="29" t="str">
        <f t="shared" si="328"/>
        <v/>
      </c>
      <c r="D672" s="29" t="str">
        <f t="shared" si="329"/>
        <v/>
      </c>
      <c r="E672" s="29" t="s">
        <v>92</v>
      </c>
      <c r="F672" s="29">
        <v>2</v>
      </c>
      <c r="G672" s="29" t="s">
        <v>4</v>
      </c>
      <c r="H672" s="29">
        <v>2</v>
      </c>
      <c r="I672" s="36" t="str">
        <f t="shared" si="330"/>
        <v>Hiền</v>
      </c>
      <c r="J672" s="36" t="str">
        <f t="shared" si="331"/>
        <v>TViệt -TTH1</v>
      </c>
    </row>
    <row r="673" spans="1:10" x14ac:dyDescent="0.25">
      <c r="A673" s="29" t="str">
        <f t="shared" si="326"/>
        <v>2Chiều3</v>
      </c>
      <c r="B673" s="29" t="str">
        <f t="shared" si="327"/>
        <v>2Chiều3Hồng</v>
      </c>
      <c r="C673" s="29" t="str">
        <f t="shared" si="328"/>
        <v/>
      </c>
      <c r="D673" s="29" t="str">
        <f t="shared" si="329"/>
        <v/>
      </c>
      <c r="E673" s="29" t="s">
        <v>92</v>
      </c>
      <c r="F673" s="29">
        <v>2</v>
      </c>
      <c r="G673" s="29" t="s">
        <v>4</v>
      </c>
      <c r="H673" s="29">
        <v>3</v>
      </c>
      <c r="I673" s="36" t="str">
        <f t="shared" si="330"/>
        <v>Hồng</v>
      </c>
      <c r="J673" s="36" t="str">
        <f t="shared" si="331"/>
        <v>GDTC -TTH1</v>
      </c>
    </row>
    <row r="674" spans="1:10" x14ac:dyDescent="0.25">
      <c r="A674" s="29" t="str">
        <f t="shared" si="326"/>
        <v>2Chiều4</v>
      </c>
      <c r="B674" s="29" t="str">
        <f t="shared" si="327"/>
        <v>2Chiều4Hồng</v>
      </c>
      <c r="C674" s="29" t="str">
        <f t="shared" si="328"/>
        <v/>
      </c>
      <c r="D674" s="29" t="str">
        <f t="shared" si="329"/>
        <v/>
      </c>
      <c r="E674" s="29" t="s">
        <v>92</v>
      </c>
      <c r="F674" s="29">
        <v>2</v>
      </c>
      <c r="G674" s="29" t="s">
        <v>4</v>
      </c>
      <c r="H674" s="29">
        <v>4</v>
      </c>
      <c r="I674" s="36" t="str">
        <f t="shared" si="330"/>
        <v>Hồng</v>
      </c>
      <c r="J674" s="36" t="str">
        <f t="shared" si="331"/>
        <v>GDTC -TTH1</v>
      </c>
    </row>
    <row r="675" spans="1:10" x14ac:dyDescent="0.25">
      <c r="A675" s="29" t="str">
        <f t="shared" si="326"/>
        <v>2Chiều5</v>
      </c>
      <c r="B675" s="29" t="str">
        <f t="shared" si="327"/>
        <v>2Chiều5</v>
      </c>
      <c r="C675" s="29" t="str">
        <f t="shared" si="328"/>
        <v/>
      </c>
      <c r="D675" s="29" t="str">
        <f t="shared" si="329"/>
        <v/>
      </c>
      <c r="E675" s="29" t="s">
        <v>92</v>
      </c>
      <c r="F675" s="29">
        <v>2</v>
      </c>
      <c r="G675" s="29" t="s">
        <v>4</v>
      </c>
      <c r="H675" s="29">
        <v>5</v>
      </c>
      <c r="I675" s="36" t="str">
        <f t="shared" si="330"/>
        <v/>
      </c>
      <c r="J675" s="36" t="str">
        <f t="shared" si="331"/>
        <v/>
      </c>
    </row>
    <row r="676" spans="1:10" x14ac:dyDescent="0.25">
      <c r="A676" s="29" t="str">
        <f t="shared" si="326"/>
        <v>3Sáng1</v>
      </c>
      <c r="B676" s="29" t="str">
        <f t="shared" si="327"/>
        <v>3Sáng1Hiền</v>
      </c>
      <c r="C676" s="29" t="str">
        <f t="shared" si="328"/>
        <v/>
      </c>
      <c r="D676" s="29" t="str">
        <f t="shared" si="329"/>
        <v/>
      </c>
      <c r="E676" s="29" t="s">
        <v>92</v>
      </c>
      <c r="F676" s="29">
        <v>3</v>
      </c>
      <c r="G676" s="29" t="s">
        <v>3</v>
      </c>
      <c r="H676" s="29">
        <v>1</v>
      </c>
      <c r="I676" s="36" t="str">
        <f t="shared" si="330"/>
        <v>Hiền</v>
      </c>
      <c r="J676" s="36" t="str">
        <f t="shared" si="331"/>
        <v>Toán -TTH1</v>
      </c>
    </row>
    <row r="677" spans="1:10" x14ac:dyDescent="0.25">
      <c r="A677" s="29" t="str">
        <f t="shared" si="326"/>
        <v>3Sáng2</v>
      </c>
      <c r="B677" s="29" t="str">
        <f t="shared" si="327"/>
        <v>3Sáng2Hiền</v>
      </c>
      <c r="C677" s="29" t="str">
        <f t="shared" si="328"/>
        <v/>
      </c>
      <c r="D677" s="29" t="str">
        <f t="shared" si="329"/>
        <v/>
      </c>
      <c r="E677" s="29" t="s">
        <v>92</v>
      </c>
      <c r="F677" s="29">
        <v>3</v>
      </c>
      <c r="G677" s="29" t="s">
        <v>3</v>
      </c>
      <c r="H677" s="29">
        <v>2</v>
      </c>
      <c r="I677" s="36" t="str">
        <f t="shared" si="330"/>
        <v>Hiền</v>
      </c>
      <c r="J677" s="36" t="str">
        <f t="shared" si="331"/>
        <v>Toán -TTH1</v>
      </c>
    </row>
    <row r="678" spans="1:10" x14ac:dyDescent="0.25">
      <c r="A678" s="29" t="str">
        <f t="shared" si="326"/>
        <v>3Sáng3</v>
      </c>
      <c r="B678" s="29" t="str">
        <f t="shared" si="327"/>
        <v>3Sáng3Hiền</v>
      </c>
      <c r="C678" s="29" t="str">
        <f t="shared" si="328"/>
        <v/>
      </c>
      <c r="D678" s="29" t="str">
        <f t="shared" si="329"/>
        <v/>
      </c>
      <c r="E678" s="29" t="s">
        <v>92</v>
      </c>
      <c r="F678" s="29">
        <v>3</v>
      </c>
      <c r="G678" s="29" t="s">
        <v>3</v>
      </c>
      <c r="H678" s="29">
        <v>3</v>
      </c>
      <c r="I678" s="36" t="str">
        <f t="shared" si="330"/>
        <v>Hiền</v>
      </c>
      <c r="J678" s="36" t="str">
        <f t="shared" si="331"/>
        <v>Tìm hiểu thiên nhiên -TTH1</v>
      </c>
    </row>
    <row r="679" spans="1:10" x14ac:dyDescent="0.25">
      <c r="A679" s="29" t="str">
        <f t="shared" si="326"/>
        <v>3Sáng4</v>
      </c>
      <c r="B679" s="29" t="str">
        <f t="shared" si="327"/>
        <v>3Sáng4Hiền</v>
      </c>
      <c r="C679" s="29" t="str">
        <f t="shared" si="328"/>
        <v/>
      </c>
      <c r="D679" s="29" t="str">
        <f t="shared" si="329"/>
        <v/>
      </c>
      <c r="E679" s="29" t="s">
        <v>92</v>
      </c>
      <c r="F679" s="29">
        <v>3</v>
      </c>
      <c r="G679" s="29" t="s">
        <v>3</v>
      </c>
      <c r="H679" s="29">
        <v>4</v>
      </c>
      <c r="I679" s="36" t="str">
        <f t="shared" si="330"/>
        <v>Hiền</v>
      </c>
      <c r="J679" s="36" t="str">
        <f t="shared" si="331"/>
        <v>Lối sống -TTH1</v>
      </c>
    </row>
    <row r="680" spans="1:10" x14ac:dyDescent="0.25">
      <c r="A680" s="29" t="str">
        <f t="shared" si="326"/>
        <v>3Sáng5</v>
      </c>
      <c r="B680" s="29" t="str">
        <f t="shared" si="327"/>
        <v>3Sáng5</v>
      </c>
      <c r="C680" s="29" t="str">
        <f t="shared" si="328"/>
        <v/>
      </c>
      <c r="D680" s="29" t="str">
        <f t="shared" si="329"/>
        <v/>
      </c>
      <c r="E680" s="29" t="s">
        <v>92</v>
      </c>
      <c r="F680" s="29">
        <v>3</v>
      </c>
      <c r="G680" s="29" t="s">
        <v>3</v>
      </c>
      <c r="H680" s="29">
        <v>5</v>
      </c>
      <c r="I680" s="36" t="str">
        <f t="shared" si="330"/>
        <v/>
      </c>
      <c r="J680" s="36" t="str">
        <f t="shared" si="331"/>
        <v/>
      </c>
    </row>
    <row r="681" spans="1:10" x14ac:dyDescent="0.25">
      <c r="A681" s="29" t="str">
        <f t="shared" si="326"/>
        <v>3Chiều1</v>
      </c>
      <c r="B681" s="29" t="str">
        <f t="shared" si="327"/>
        <v>3Chiều1Hiền</v>
      </c>
      <c r="C681" s="29" t="str">
        <f t="shared" si="328"/>
        <v/>
      </c>
      <c r="D681" s="29" t="str">
        <f t="shared" si="329"/>
        <v/>
      </c>
      <c r="E681" s="29" t="s">
        <v>92</v>
      </c>
      <c r="F681" s="29">
        <v>3</v>
      </c>
      <c r="G681" s="29" t="s">
        <v>4</v>
      </c>
      <c r="H681" s="29">
        <v>1</v>
      </c>
      <c r="I681" s="36" t="str">
        <f t="shared" si="330"/>
        <v>Hiền</v>
      </c>
      <c r="J681" s="36" t="str">
        <f t="shared" si="331"/>
        <v>HĐ tự chọn -TTH1</v>
      </c>
    </row>
    <row r="682" spans="1:10" x14ac:dyDescent="0.25">
      <c r="A682" s="29" t="str">
        <f t="shared" si="326"/>
        <v>3Chiều2</v>
      </c>
      <c r="B682" s="29" t="str">
        <f t="shared" si="327"/>
        <v>3Chiều2Hiền</v>
      </c>
      <c r="C682" s="29" t="str">
        <f t="shared" si="328"/>
        <v/>
      </c>
      <c r="D682" s="29" t="str">
        <f t="shared" si="329"/>
        <v/>
      </c>
      <c r="E682" s="29" t="s">
        <v>92</v>
      </c>
      <c r="F682" s="29">
        <v>3</v>
      </c>
      <c r="G682" s="29" t="s">
        <v>4</v>
      </c>
      <c r="H682" s="29">
        <v>2</v>
      </c>
      <c r="I682" s="36" t="str">
        <f t="shared" si="330"/>
        <v>Hiền</v>
      </c>
      <c r="J682" s="36" t="str">
        <f t="shared" si="331"/>
        <v>Tìm hiểu thiên nhiên -TTH1</v>
      </c>
    </row>
    <row r="683" spans="1:10" x14ac:dyDescent="0.25">
      <c r="A683" s="29" t="str">
        <f t="shared" si="326"/>
        <v>3Chiều3</v>
      </c>
      <c r="B683" s="29" t="str">
        <f t="shared" si="327"/>
        <v>3Chiều3Hiền</v>
      </c>
      <c r="C683" s="29" t="str">
        <f t="shared" si="328"/>
        <v/>
      </c>
      <c r="D683" s="29" t="str">
        <f t="shared" si="329"/>
        <v/>
      </c>
      <c r="E683" s="29" t="s">
        <v>92</v>
      </c>
      <c r="F683" s="29">
        <v>3</v>
      </c>
      <c r="G683" s="29" t="s">
        <v>4</v>
      </c>
      <c r="H683" s="29">
        <v>3</v>
      </c>
      <c r="I683" s="36" t="str">
        <f t="shared" si="330"/>
        <v>Hiền</v>
      </c>
      <c r="J683" s="36" t="str">
        <f t="shared" si="331"/>
        <v>TViệt -TTH1</v>
      </c>
    </row>
    <row r="684" spans="1:10" x14ac:dyDescent="0.25">
      <c r="A684" s="29" t="str">
        <f t="shared" si="326"/>
        <v>3Chiều4</v>
      </c>
      <c r="B684" s="29" t="str">
        <f t="shared" si="327"/>
        <v>3Chiều4Huyền</v>
      </c>
      <c r="C684" s="29" t="str">
        <f t="shared" si="328"/>
        <v/>
      </c>
      <c r="D684" s="29" t="str">
        <f t="shared" si="329"/>
        <v/>
      </c>
      <c r="E684" s="29" t="s">
        <v>92</v>
      </c>
      <c r="F684" s="29">
        <v>3</v>
      </c>
      <c r="G684" s="29" t="s">
        <v>4</v>
      </c>
      <c r="H684" s="29">
        <v>4</v>
      </c>
      <c r="I684" s="36" t="str">
        <f t="shared" si="330"/>
        <v>Huyền</v>
      </c>
      <c r="J684" s="36" t="str">
        <f t="shared" si="331"/>
        <v>GVVN -TTH1</v>
      </c>
    </row>
    <row r="685" spans="1:10" x14ac:dyDescent="0.25">
      <c r="A685" s="29" t="str">
        <f t="shared" si="326"/>
        <v>3Chiều5</v>
      </c>
      <c r="B685" s="29" t="str">
        <f t="shared" si="327"/>
        <v>3Chiều5</v>
      </c>
      <c r="C685" s="29" t="str">
        <f t="shared" si="328"/>
        <v/>
      </c>
      <c r="D685" s="29" t="str">
        <f t="shared" si="329"/>
        <v/>
      </c>
      <c r="E685" s="29" t="s">
        <v>92</v>
      </c>
      <c r="F685" s="29">
        <v>3</v>
      </c>
      <c r="G685" s="29" t="s">
        <v>4</v>
      </c>
      <c r="H685" s="29">
        <v>5</v>
      </c>
      <c r="I685" s="36" t="str">
        <f t="shared" si="330"/>
        <v/>
      </c>
      <c r="J685" s="36" t="str">
        <f t="shared" si="331"/>
        <v/>
      </c>
    </row>
    <row r="686" spans="1:10" x14ac:dyDescent="0.25">
      <c r="A686" s="29" t="str">
        <f t="shared" si="326"/>
        <v>4Sáng1</v>
      </c>
      <c r="B686" s="29" t="str">
        <f t="shared" si="327"/>
        <v>4Sáng1Hiền</v>
      </c>
      <c r="C686" s="29" t="str">
        <f t="shared" si="328"/>
        <v/>
      </c>
      <c r="D686" s="29" t="str">
        <f t="shared" si="329"/>
        <v/>
      </c>
      <c r="E686" s="29" t="s">
        <v>92</v>
      </c>
      <c r="F686" s="29">
        <v>4</v>
      </c>
      <c r="G686" s="29" t="s">
        <v>3</v>
      </c>
      <c r="H686" s="29">
        <v>1</v>
      </c>
      <c r="I686" s="36" t="str">
        <f t="shared" si="330"/>
        <v>Hiền</v>
      </c>
      <c r="J686" s="36" t="str">
        <f t="shared" si="331"/>
        <v>Lối sống -TTH1</v>
      </c>
    </row>
    <row r="687" spans="1:10" x14ac:dyDescent="0.25">
      <c r="A687" s="29" t="str">
        <f t="shared" si="326"/>
        <v>4Sáng2</v>
      </c>
      <c r="B687" s="29" t="str">
        <f t="shared" si="327"/>
        <v>4Sáng2Hiền</v>
      </c>
      <c r="C687" s="29" t="str">
        <f t="shared" si="328"/>
        <v/>
      </c>
      <c r="D687" s="29" t="str">
        <f t="shared" si="329"/>
        <v/>
      </c>
      <c r="E687" s="29" t="s">
        <v>92</v>
      </c>
      <c r="F687" s="29">
        <v>4</v>
      </c>
      <c r="G687" s="29" t="s">
        <v>3</v>
      </c>
      <c r="H687" s="29">
        <v>2</v>
      </c>
      <c r="I687" s="36" t="str">
        <f t="shared" si="330"/>
        <v>Hiền</v>
      </c>
      <c r="J687" s="36" t="str">
        <f t="shared" si="331"/>
        <v>KCST -TTH1</v>
      </c>
    </row>
    <row r="688" spans="1:10" x14ac:dyDescent="0.25">
      <c r="A688" s="29" t="str">
        <f t="shared" si="326"/>
        <v>4Sáng3</v>
      </c>
      <c r="B688" s="29" t="str">
        <f t="shared" si="327"/>
        <v>4Sáng3Huyền</v>
      </c>
      <c r="C688" s="29" t="str">
        <f t="shared" si="328"/>
        <v/>
      </c>
      <c r="D688" s="29" t="str">
        <f t="shared" si="329"/>
        <v/>
      </c>
      <c r="E688" s="29" t="s">
        <v>92</v>
      </c>
      <c r="F688" s="29">
        <v>4</v>
      </c>
      <c r="G688" s="29" t="s">
        <v>3</v>
      </c>
      <c r="H688" s="29">
        <v>3</v>
      </c>
      <c r="I688" s="36" t="str">
        <f t="shared" si="330"/>
        <v>Huyền</v>
      </c>
      <c r="J688" s="36" t="str">
        <f t="shared" si="331"/>
        <v>GVVN -TTH1</v>
      </c>
    </row>
    <row r="689" spans="1:10" x14ac:dyDescent="0.25">
      <c r="A689" s="29" t="str">
        <f t="shared" si="326"/>
        <v>4Sáng4</v>
      </c>
      <c r="B689" s="29" t="str">
        <f t="shared" si="327"/>
        <v>4Sáng4Hiền</v>
      </c>
      <c r="C689" s="29" t="str">
        <f t="shared" si="328"/>
        <v/>
      </c>
      <c r="D689" s="29" t="str">
        <f t="shared" si="329"/>
        <v/>
      </c>
      <c r="E689" s="29" t="s">
        <v>92</v>
      </c>
      <c r="F689" s="29">
        <v>4</v>
      </c>
      <c r="G689" s="29" t="s">
        <v>3</v>
      </c>
      <c r="H689" s="29">
        <v>4</v>
      </c>
      <c r="I689" s="36" t="str">
        <f t="shared" si="330"/>
        <v>Hiền</v>
      </c>
      <c r="J689" s="36" t="str">
        <f t="shared" si="331"/>
        <v>Cảm xúc xã hội -TTH1</v>
      </c>
    </row>
    <row r="690" spans="1:10" x14ac:dyDescent="0.25">
      <c r="A690" s="29" t="str">
        <f t="shared" si="326"/>
        <v>4Sáng5</v>
      </c>
      <c r="B690" s="29" t="str">
        <f t="shared" si="327"/>
        <v>4Sáng5</v>
      </c>
      <c r="C690" s="29" t="str">
        <f t="shared" si="328"/>
        <v/>
      </c>
      <c r="D690" s="29" t="str">
        <f t="shared" si="329"/>
        <v/>
      </c>
      <c r="E690" s="29" t="s">
        <v>92</v>
      </c>
      <c r="F690" s="29">
        <v>4</v>
      </c>
      <c r="G690" s="29" t="s">
        <v>3</v>
      </c>
      <c r="H690" s="29">
        <v>5</v>
      </c>
      <c r="I690" s="36" t="str">
        <f t="shared" si="330"/>
        <v/>
      </c>
      <c r="J690" s="36" t="str">
        <f t="shared" si="331"/>
        <v/>
      </c>
    </row>
    <row r="691" spans="1:10" x14ac:dyDescent="0.25">
      <c r="A691" s="29" t="str">
        <f t="shared" si="326"/>
        <v>4Chiều1</v>
      </c>
      <c r="B691" s="29" t="str">
        <f t="shared" si="327"/>
        <v>4Chiều1Hiền</v>
      </c>
      <c r="C691" s="29" t="str">
        <f t="shared" si="328"/>
        <v/>
      </c>
      <c r="D691" s="29" t="str">
        <f t="shared" si="329"/>
        <v/>
      </c>
      <c r="E691" s="29" t="s">
        <v>92</v>
      </c>
      <c r="F691" s="29">
        <v>4</v>
      </c>
      <c r="G691" s="29" t="s">
        <v>4</v>
      </c>
      <c r="H691" s="29">
        <v>1</v>
      </c>
      <c r="I691" s="36" t="str">
        <f t="shared" si="330"/>
        <v>Hiền</v>
      </c>
      <c r="J691" s="36" t="str">
        <f t="shared" si="331"/>
        <v>HĐ tự chọn -TTH1</v>
      </c>
    </row>
    <row r="692" spans="1:10" x14ac:dyDescent="0.25">
      <c r="A692" s="29" t="str">
        <f t="shared" si="326"/>
        <v>4Chiều2</v>
      </c>
      <c r="B692" s="29" t="str">
        <f t="shared" si="327"/>
        <v>4Chiều2Huyền</v>
      </c>
      <c r="C692" s="29" t="str">
        <f t="shared" si="328"/>
        <v/>
      </c>
      <c r="D692" s="29" t="str">
        <f t="shared" si="329"/>
        <v/>
      </c>
      <c r="E692" s="29" t="s">
        <v>92</v>
      </c>
      <c r="F692" s="29">
        <v>4</v>
      </c>
      <c r="G692" s="29" t="s">
        <v>4</v>
      </c>
      <c r="H692" s="29">
        <v>2</v>
      </c>
      <c r="I692" s="36" t="str">
        <f t="shared" si="330"/>
        <v>Huyền</v>
      </c>
      <c r="J692" s="36" t="str">
        <f t="shared" si="331"/>
        <v>GVVN -TTH1</v>
      </c>
    </row>
    <row r="693" spans="1:10" x14ac:dyDescent="0.25">
      <c r="A693" s="29" t="str">
        <f t="shared" si="326"/>
        <v>4Chiều3</v>
      </c>
      <c r="B693" s="29" t="str">
        <f t="shared" si="327"/>
        <v>4Chiều3Hiền</v>
      </c>
      <c r="C693" s="29" t="str">
        <f t="shared" si="328"/>
        <v/>
      </c>
      <c r="D693" s="29" t="str">
        <f t="shared" si="329"/>
        <v/>
      </c>
      <c r="E693" s="29" t="s">
        <v>92</v>
      </c>
      <c r="F693" s="29">
        <v>4</v>
      </c>
      <c r="G693" s="29" t="s">
        <v>4</v>
      </c>
      <c r="H693" s="29">
        <v>3</v>
      </c>
      <c r="I693" s="36" t="str">
        <f t="shared" si="330"/>
        <v>Hiền</v>
      </c>
      <c r="J693" s="36" t="str">
        <f t="shared" si="331"/>
        <v>Toán -TTH1</v>
      </c>
    </row>
    <row r="694" spans="1:10" x14ac:dyDescent="0.25">
      <c r="A694" s="29" t="str">
        <f t="shared" si="326"/>
        <v>4Chiều4</v>
      </c>
      <c r="B694" s="29" t="str">
        <f t="shared" si="327"/>
        <v>4Chiều4Hiền</v>
      </c>
      <c r="C694" s="29" t="str">
        <f t="shared" si="328"/>
        <v/>
      </c>
      <c r="D694" s="29" t="str">
        <f t="shared" si="329"/>
        <v/>
      </c>
      <c r="E694" s="29" t="s">
        <v>92</v>
      </c>
      <c r="F694" s="29">
        <v>4</v>
      </c>
      <c r="G694" s="29" t="s">
        <v>4</v>
      </c>
      <c r="H694" s="29">
        <v>4</v>
      </c>
      <c r="I694" s="36" t="str">
        <f t="shared" si="330"/>
        <v>Hiền</v>
      </c>
      <c r="J694" s="36" t="str">
        <f t="shared" si="331"/>
        <v>VĐ Ngoài trời -TTH1</v>
      </c>
    </row>
    <row r="695" spans="1:10" x14ac:dyDescent="0.25">
      <c r="A695" s="29" t="str">
        <f t="shared" si="326"/>
        <v>4Chiều5</v>
      </c>
      <c r="B695" s="29" t="str">
        <f t="shared" si="327"/>
        <v>4Chiều5</v>
      </c>
      <c r="C695" s="29" t="str">
        <f t="shared" si="328"/>
        <v/>
      </c>
      <c r="D695" s="29" t="str">
        <f t="shared" si="329"/>
        <v/>
      </c>
      <c r="E695" s="29" t="s">
        <v>92</v>
      </c>
      <c r="F695" s="29">
        <v>4</v>
      </c>
      <c r="G695" s="29" t="s">
        <v>4</v>
      </c>
      <c r="H695" s="29">
        <v>5</v>
      </c>
      <c r="I695" s="36" t="str">
        <f t="shared" si="330"/>
        <v/>
      </c>
      <c r="J695" s="36" t="str">
        <f t="shared" si="331"/>
        <v/>
      </c>
    </row>
    <row r="696" spans="1:10" x14ac:dyDescent="0.25">
      <c r="A696" s="29" t="str">
        <f t="shared" si="326"/>
        <v>5Sáng1</v>
      </c>
      <c r="B696" s="29" t="str">
        <f t="shared" si="327"/>
        <v>5Sáng1Hiền</v>
      </c>
      <c r="C696" s="29" t="str">
        <f t="shared" si="328"/>
        <v/>
      </c>
      <c r="D696" s="29" t="str">
        <f t="shared" si="329"/>
        <v/>
      </c>
      <c r="E696" s="29" t="s">
        <v>92</v>
      </c>
      <c r="F696" s="29">
        <v>5</v>
      </c>
      <c r="G696" s="29" t="s">
        <v>3</v>
      </c>
      <c r="H696" s="29">
        <v>1</v>
      </c>
      <c r="I696" s="36" t="str">
        <f t="shared" si="330"/>
        <v>Hiền</v>
      </c>
      <c r="J696" s="36" t="str">
        <f t="shared" si="331"/>
        <v>TViệt -TTH1</v>
      </c>
    </row>
    <row r="697" spans="1:10" x14ac:dyDescent="0.25">
      <c r="A697" s="29" t="str">
        <f t="shared" si="326"/>
        <v>5Sáng2</v>
      </c>
      <c r="B697" s="29" t="str">
        <f t="shared" si="327"/>
        <v>5Sáng2Hiền</v>
      </c>
      <c r="C697" s="29" t="str">
        <f t="shared" si="328"/>
        <v/>
      </c>
      <c r="D697" s="29" t="str">
        <f t="shared" si="329"/>
        <v/>
      </c>
      <c r="E697" s="29" t="s">
        <v>92</v>
      </c>
      <c r="F697" s="29">
        <v>5</v>
      </c>
      <c r="G697" s="29" t="s">
        <v>3</v>
      </c>
      <c r="H697" s="29">
        <v>2</v>
      </c>
      <c r="I697" s="36" t="str">
        <f t="shared" si="330"/>
        <v>Hiền</v>
      </c>
      <c r="J697" s="36" t="str">
        <f t="shared" si="331"/>
        <v>Vận động theo nhạc -TTH1</v>
      </c>
    </row>
    <row r="698" spans="1:10" x14ac:dyDescent="0.25">
      <c r="A698" s="29" t="str">
        <f t="shared" si="326"/>
        <v>5Sáng3</v>
      </c>
      <c r="B698" s="29" t="str">
        <f t="shared" si="327"/>
        <v>5Sáng3Hiền</v>
      </c>
      <c r="C698" s="29" t="str">
        <f t="shared" si="328"/>
        <v/>
      </c>
      <c r="D698" s="29" t="str">
        <f t="shared" si="329"/>
        <v/>
      </c>
      <c r="E698" s="29" t="s">
        <v>92</v>
      </c>
      <c r="F698" s="29">
        <v>5</v>
      </c>
      <c r="G698" s="29" t="s">
        <v>3</v>
      </c>
      <c r="H698" s="29">
        <v>3</v>
      </c>
      <c r="I698" s="36" t="str">
        <f t="shared" si="330"/>
        <v>Hiền</v>
      </c>
      <c r="J698" s="36" t="str">
        <f t="shared" si="331"/>
        <v>TViệt -TTH1</v>
      </c>
    </row>
    <row r="699" spans="1:10" x14ac:dyDescent="0.25">
      <c r="A699" s="29" t="str">
        <f t="shared" si="326"/>
        <v>5Sáng4</v>
      </c>
      <c r="B699" s="29" t="str">
        <f t="shared" si="327"/>
        <v>5Sáng4Huyền</v>
      </c>
      <c r="C699" s="29" t="str">
        <f t="shared" si="328"/>
        <v/>
      </c>
      <c r="D699" s="29" t="str">
        <f t="shared" si="329"/>
        <v/>
      </c>
      <c r="E699" s="29" t="s">
        <v>92</v>
      </c>
      <c r="F699" s="29">
        <v>5</v>
      </c>
      <c r="G699" s="29" t="s">
        <v>3</v>
      </c>
      <c r="H699" s="29">
        <v>4</v>
      </c>
      <c r="I699" s="36" t="str">
        <f t="shared" si="330"/>
        <v>Huyền</v>
      </c>
      <c r="J699" s="36" t="str">
        <f t="shared" si="331"/>
        <v>GVVN -TTH1</v>
      </c>
    </row>
    <row r="700" spans="1:10" x14ac:dyDescent="0.25">
      <c r="A700" s="29" t="str">
        <f t="shared" si="326"/>
        <v>5Sáng5</v>
      </c>
      <c r="B700" s="29" t="str">
        <f t="shared" si="327"/>
        <v>5Sáng5</v>
      </c>
      <c r="C700" s="29" t="str">
        <f t="shared" si="328"/>
        <v/>
      </c>
      <c r="D700" s="29" t="str">
        <f t="shared" si="329"/>
        <v/>
      </c>
      <c r="E700" s="29" t="s">
        <v>92</v>
      </c>
      <c r="F700" s="29">
        <v>5</v>
      </c>
      <c r="G700" s="29" t="s">
        <v>3</v>
      </c>
      <c r="H700" s="29">
        <v>5</v>
      </c>
      <c r="I700" s="36" t="str">
        <f t="shared" si="330"/>
        <v/>
      </c>
      <c r="J700" s="36" t="str">
        <f t="shared" si="331"/>
        <v/>
      </c>
    </row>
    <row r="701" spans="1:10" x14ac:dyDescent="0.25">
      <c r="A701" s="29" t="str">
        <f t="shared" si="326"/>
        <v>5Chiều1</v>
      </c>
      <c r="B701" s="29" t="str">
        <f t="shared" si="327"/>
        <v>5Chiều1Hiền</v>
      </c>
      <c r="C701" s="29" t="str">
        <f t="shared" si="328"/>
        <v/>
      </c>
      <c r="D701" s="29" t="str">
        <f t="shared" si="329"/>
        <v/>
      </c>
      <c r="E701" s="29" t="s">
        <v>92</v>
      </c>
      <c r="F701" s="29">
        <v>5</v>
      </c>
      <c r="G701" s="29" t="s">
        <v>4</v>
      </c>
      <c r="H701" s="29">
        <v>1</v>
      </c>
      <c r="I701" s="36" t="str">
        <f t="shared" si="330"/>
        <v>Hiền</v>
      </c>
      <c r="J701" s="36" t="str">
        <f t="shared" si="331"/>
        <v>HĐ tự chọn -TTH1</v>
      </c>
    </row>
    <row r="702" spans="1:10" x14ac:dyDescent="0.25">
      <c r="A702" s="29" t="str">
        <f t="shared" si="326"/>
        <v>5Chiều2</v>
      </c>
      <c r="B702" s="29" t="str">
        <f t="shared" si="327"/>
        <v>5Chiều2Nguyên</v>
      </c>
      <c r="C702" s="29" t="str">
        <f t="shared" si="328"/>
        <v/>
      </c>
      <c r="D702" s="29" t="str">
        <f t="shared" si="329"/>
        <v/>
      </c>
      <c r="E702" s="29" t="s">
        <v>92</v>
      </c>
      <c r="F702" s="29">
        <v>5</v>
      </c>
      <c r="G702" s="29" t="s">
        <v>4</v>
      </c>
      <c r="H702" s="29">
        <v>2</v>
      </c>
      <c r="I702" s="36" t="str">
        <f t="shared" si="330"/>
        <v>Nguyên</v>
      </c>
      <c r="J702" s="36" t="str">
        <f t="shared" si="331"/>
        <v>Tin -TTH1</v>
      </c>
    </row>
    <row r="703" spans="1:10" x14ac:dyDescent="0.25">
      <c r="A703" s="29" t="str">
        <f t="shared" ref="A703:A762" si="332">F703&amp;G703&amp;H703&amp;C703</f>
        <v>5Chiều3</v>
      </c>
      <c r="B703" s="29" t="str">
        <f t="shared" ref="B703:B762" si="333">IF(D703="",F703&amp;G703&amp;H703&amp;I703,F703&amp;G703&amp;H703&amp;D703)</f>
        <v>5Chiều3Huyền</v>
      </c>
      <c r="C703" s="29" t="str">
        <f t="shared" ref="C703:C762" si="334">IFERROR(LEFT(I703,FIND(",",I703)-1),"")</f>
        <v/>
      </c>
      <c r="D703" s="29" t="str">
        <f t="shared" ref="D703:D762" si="335">IF(C703="","",RIGHT(I703,LEN(I703)-FIND(",",I703)-1))</f>
        <v/>
      </c>
      <c r="E703" s="29" t="s">
        <v>92</v>
      </c>
      <c r="F703" s="29">
        <v>5</v>
      </c>
      <c r="G703" s="29" t="s">
        <v>4</v>
      </c>
      <c r="H703" s="29">
        <v>3</v>
      </c>
      <c r="I703" s="36" t="str">
        <f t="shared" ref="I703:I725" si="336">AJ103</f>
        <v>Huyền</v>
      </c>
      <c r="J703" s="36" t="str">
        <f t="shared" ref="J703" si="337">AK103</f>
        <v>GVVN -TTH1</v>
      </c>
    </row>
    <row r="704" spans="1:10" x14ac:dyDescent="0.25">
      <c r="A704" s="29" t="str">
        <f t="shared" si="332"/>
        <v>5Chiều4Aziz</v>
      </c>
      <c r="B704" s="29" t="str">
        <f t="shared" si="333"/>
        <v>5Chiều4Huyền</v>
      </c>
      <c r="C704" s="29" t="str">
        <f t="shared" si="334"/>
        <v>Aziz</v>
      </c>
      <c r="D704" s="29" t="str">
        <f t="shared" si="335"/>
        <v>Huyền</v>
      </c>
      <c r="E704" s="29" t="s">
        <v>92</v>
      </c>
      <c r="F704" s="29">
        <v>5</v>
      </c>
      <c r="G704" s="29" t="s">
        <v>4</v>
      </c>
      <c r="H704" s="29">
        <v>4</v>
      </c>
      <c r="I704" s="36" t="str">
        <f t="shared" si="336"/>
        <v>Aziz, Huyền</v>
      </c>
      <c r="J704" s="36" t="str">
        <f t="shared" ref="J704" si="338">AK104</f>
        <v>GVNN -TTH1</v>
      </c>
    </row>
    <row r="705" spans="1:10" x14ac:dyDescent="0.25">
      <c r="A705" s="29" t="str">
        <f t="shared" si="332"/>
        <v>5Chiều5</v>
      </c>
      <c r="B705" s="29" t="str">
        <f t="shared" si="333"/>
        <v>5Chiều5</v>
      </c>
      <c r="C705" s="29" t="str">
        <f t="shared" si="334"/>
        <v/>
      </c>
      <c r="D705" s="29" t="str">
        <f t="shared" si="335"/>
        <v/>
      </c>
      <c r="E705" s="29" t="s">
        <v>92</v>
      </c>
      <c r="F705" s="29">
        <v>5</v>
      </c>
      <c r="G705" s="29" t="s">
        <v>4</v>
      </c>
      <c r="H705" s="29">
        <v>5</v>
      </c>
      <c r="I705" s="36" t="str">
        <f t="shared" si="336"/>
        <v/>
      </c>
      <c r="J705" s="36" t="str">
        <f t="shared" ref="J705" si="339">AK105</f>
        <v/>
      </c>
    </row>
    <row r="706" spans="1:10" x14ac:dyDescent="0.25">
      <c r="A706" s="29" t="str">
        <f t="shared" si="332"/>
        <v>6Sáng1</v>
      </c>
      <c r="B706" s="29" t="str">
        <f t="shared" si="333"/>
        <v>6Sáng1Aziz Huyền</v>
      </c>
      <c r="C706" s="29" t="str">
        <f t="shared" si="334"/>
        <v/>
      </c>
      <c r="D706" s="29" t="str">
        <f t="shared" si="335"/>
        <v/>
      </c>
      <c r="E706" s="29" t="s">
        <v>92</v>
      </c>
      <c r="F706" s="29">
        <v>6</v>
      </c>
      <c r="G706" s="29" t="s">
        <v>3</v>
      </c>
      <c r="H706" s="29">
        <v>1</v>
      </c>
      <c r="I706" s="36" t="str">
        <f t="shared" si="336"/>
        <v>Aziz Huyền</v>
      </c>
      <c r="J706" s="36" t="str">
        <f t="shared" ref="J706" si="340">AK106</f>
        <v>GVNN -TTH1</v>
      </c>
    </row>
    <row r="707" spans="1:10" x14ac:dyDescent="0.25">
      <c r="A707" s="29" t="str">
        <f t="shared" si="332"/>
        <v>6Sáng2</v>
      </c>
      <c r="B707" s="29" t="str">
        <f t="shared" si="333"/>
        <v>6Sáng2Hiền</v>
      </c>
      <c r="C707" s="29" t="str">
        <f t="shared" si="334"/>
        <v/>
      </c>
      <c r="D707" s="29" t="str">
        <f t="shared" si="335"/>
        <v/>
      </c>
      <c r="E707" s="29" t="s">
        <v>92</v>
      </c>
      <c r="F707" s="29">
        <v>6</v>
      </c>
      <c r="G707" s="29" t="s">
        <v>3</v>
      </c>
      <c r="H707" s="29">
        <v>2</v>
      </c>
      <c r="I707" s="36" t="str">
        <f t="shared" si="336"/>
        <v>Hiền</v>
      </c>
      <c r="J707" s="36" t="str">
        <f t="shared" ref="J707" si="341">AK107</f>
        <v>Cãm xúc xã hội -TTH1</v>
      </c>
    </row>
    <row r="708" spans="1:10" x14ac:dyDescent="0.25">
      <c r="A708" s="29" t="str">
        <f t="shared" si="332"/>
        <v>6Sáng3</v>
      </c>
      <c r="B708" s="29" t="str">
        <f t="shared" si="333"/>
        <v>6Sáng3Trang ÂN</v>
      </c>
      <c r="C708" s="29" t="str">
        <f t="shared" si="334"/>
        <v/>
      </c>
      <c r="D708" s="29" t="str">
        <f t="shared" si="335"/>
        <v/>
      </c>
      <c r="E708" s="29" t="s">
        <v>92</v>
      </c>
      <c r="F708" s="29">
        <v>6</v>
      </c>
      <c r="G708" s="29" t="s">
        <v>3</v>
      </c>
      <c r="H708" s="29">
        <v>3</v>
      </c>
      <c r="I708" s="36" t="str">
        <f t="shared" si="336"/>
        <v>Trang ÂN</v>
      </c>
      <c r="J708" s="36" t="str">
        <f t="shared" ref="J708" si="342">AK108</f>
        <v>Nhạc -TTH1</v>
      </c>
    </row>
    <row r="709" spans="1:10" x14ac:dyDescent="0.25">
      <c r="A709" s="29" t="str">
        <f t="shared" si="332"/>
        <v>6Sáng4</v>
      </c>
      <c r="B709" s="29" t="str">
        <f t="shared" si="333"/>
        <v>6Sáng4Hiền</v>
      </c>
      <c r="C709" s="29" t="str">
        <f t="shared" si="334"/>
        <v/>
      </c>
      <c r="D709" s="29" t="str">
        <f t="shared" si="335"/>
        <v/>
      </c>
      <c r="E709" s="29" t="s">
        <v>92</v>
      </c>
      <c r="F709" s="29">
        <v>6</v>
      </c>
      <c r="G709" s="29" t="s">
        <v>3</v>
      </c>
      <c r="H709" s="29">
        <v>4</v>
      </c>
      <c r="I709" s="36" t="str">
        <f t="shared" si="336"/>
        <v>Hiền</v>
      </c>
      <c r="J709" s="36" t="str">
        <f t="shared" ref="J709" si="343">AK109</f>
        <v>TViệt -TTH1</v>
      </c>
    </row>
    <row r="710" spans="1:10" x14ac:dyDescent="0.25">
      <c r="A710" s="29" t="str">
        <f t="shared" si="332"/>
        <v>6Sáng5</v>
      </c>
      <c r="B710" s="29" t="str">
        <f t="shared" si="333"/>
        <v>6Sáng5</v>
      </c>
      <c r="C710" s="29" t="str">
        <f t="shared" si="334"/>
        <v/>
      </c>
      <c r="D710" s="29" t="str">
        <f t="shared" si="335"/>
        <v/>
      </c>
      <c r="E710" s="29" t="s">
        <v>92</v>
      </c>
      <c r="F710" s="29">
        <v>6</v>
      </c>
      <c r="G710" s="29" t="s">
        <v>3</v>
      </c>
      <c r="H710" s="29">
        <v>5</v>
      </c>
      <c r="I710" s="36" t="str">
        <f t="shared" si="336"/>
        <v/>
      </c>
      <c r="J710" s="36" t="str">
        <f t="shared" ref="J710" si="344">AK110</f>
        <v/>
      </c>
    </row>
    <row r="711" spans="1:10" x14ac:dyDescent="0.25">
      <c r="A711" s="29" t="str">
        <f t="shared" si="332"/>
        <v>6Chiều1</v>
      </c>
      <c r="B711" s="29" t="str">
        <f t="shared" si="333"/>
        <v>6Chiều1Hiền</v>
      </c>
      <c r="C711" s="29" t="str">
        <f t="shared" si="334"/>
        <v/>
      </c>
      <c r="D711" s="29" t="str">
        <f t="shared" si="335"/>
        <v/>
      </c>
      <c r="E711" s="29" t="s">
        <v>92</v>
      </c>
      <c r="F711" s="29">
        <v>6</v>
      </c>
      <c r="G711" s="29" t="s">
        <v>4</v>
      </c>
      <c r="H711" s="29">
        <v>1</v>
      </c>
      <c r="I711" s="36" t="str">
        <f t="shared" si="336"/>
        <v>Hiền</v>
      </c>
      <c r="J711" s="36" t="str">
        <f t="shared" ref="J711" si="345">AK111</f>
        <v>HĐ tự chọn -TTH1</v>
      </c>
    </row>
    <row r="712" spans="1:10" x14ac:dyDescent="0.25">
      <c r="A712" s="29" t="str">
        <f t="shared" si="332"/>
        <v>6Chiều2</v>
      </c>
      <c r="B712" s="29" t="str">
        <f t="shared" si="333"/>
        <v>6Chiều2Phương</v>
      </c>
      <c r="C712" s="29" t="str">
        <f t="shared" si="334"/>
        <v/>
      </c>
      <c r="D712" s="29" t="str">
        <f t="shared" si="335"/>
        <v/>
      </c>
      <c r="E712" s="29" t="s">
        <v>92</v>
      </c>
      <c r="F712" s="29">
        <v>6</v>
      </c>
      <c r="G712" s="29" t="s">
        <v>4</v>
      </c>
      <c r="H712" s="29">
        <v>2</v>
      </c>
      <c r="I712" s="36" t="str">
        <f t="shared" si="336"/>
        <v>Phương</v>
      </c>
      <c r="J712" s="36" t="str">
        <f t="shared" ref="J712" si="346">AK112</f>
        <v>Mĩ thuật -TTH1</v>
      </c>
    </row>
    <row r="713" spans="1:10" x14ac:dyDescent="0.25">
      <c r="A713" s="29" t="str">
        <f t="shared" si="332"/>
        <v>6Chiều3Aziz</v>
      </c>
      <c r="B713" s="29" t="str">
        <f t="shared" si="333"/>
        <v>6Chiều3Huyền</v>
      </c>
      <c r="C713" s="29" t="str">
        <f t="shared" si="334"/>
        <v>Aziz</v>
      </c>
      <c r="D713" s="29" t="str">
        <f t="shared" si="335"/>
        <v>Huyền</v>
      </c>
      <c r="E713" s="29" t="s">
        <v>92</v>
      </c>
      <c r="F713" s="29">
        <v>6</v>
      </c>
      <c r="G713" s="29" t="s">
        <v>4</v>
      </c>
      <c r="H713" s="29">
        <v>3</v>
      </c>
      <c r="I713" s="36" t="str">
        <f t="shared" si="336"/>
        <v>Aziz, Huyền</v>
      </c>
      <c r="J713" s="36" t="str">
        <f t="shared" ref="J713" si="347">AK113</f>
        <v>GVNN -TTH1</v>
      </c>
    </row>
    <row r="714" spans="1:10" x14ac:dyDescent="0.25">
      <c r="A714" s="29" t="str">
        <f t="shared" si="332"/>
        <v>6Chiều4</v>
      </c>
      <c r="B714" s="29" t="str">
        <f t="shared" si="333"/>
        <v>6Chiều4Hiền</v>
      </c>
      <c r="C714" s="29" t="str">
        <f t="shared" si="334"/>
        <v/>
      </c>
      <c r="D714" s="29" t="str">
        <f t="shared" si="335"/>
        <v/>
      </c>
      <c r="E714" s="29" t="s">
        <v>92</v>
      </c>
      <c r="F714" s="29">
        <v>6</v>
      </c>
      <c r="G714" s="29" t="s">
        <v>4</v>
      </c>
      <c r="H714" s="29">
        <v>4</v>
      </c>
      <c r="I714" s="36" t="str">
        <f t="shared" si="336"/>
        <v>Hiền</v>
      </c>
      <c r="J714" s="36" t="str">
        <f t="shared" ref="J714" si="348">AK114</f>
        <v>Toán -TTH1</v>
      </c>
    </row>
    <row r="715" spans="1:10" x14ac:dyDescent="0.25">
      <c r="A715" s="29" t="str">
        <f t="shared" si="332"/>
        <v>6Chiều5</v>
      </c>
      <c r="B715" s="29" t="str">
        <f t="shared" si="333"/>
        <v>6Chiều5</v>
      </c>
      <c r="C715" s="29" t="str">
        <f t="shared" si="334"/>
        <v/>
      </c>
      <c r="D715" s="29" t="str">
        <f t="shared" si="335"/>
        <v/>
      </c>
      <c r="E715" s="29" t="s">
        <v>92</v>
      </c>
      <c r="F715" s="29">
        <v>6</v>
      </c>
      <c r="G715" s="29" t="s">
        <v>4</v>
      </c>
      <c r="H715" s="29">
        <v>5</v>
      </c>
      <c r="I715" s="36" t="str">
        <f t="shared" si="336"/>
        <v/>
      </c>
      <c r="J715" s="36" t="str">
        <f t="shared" ref="J715" si="349">AK115</f>
        <v/>
      </c>
    </row>
    <row r="716" spans="1:10" x14ac:dyDescent="0.25">
      <c r="A716" s="29" t="str">
        <f t="shared" si="332"/>
        <v>7Sáng1</v>
      </c>
      <c r="B716" s="29" t="str">
        <f t="shared" si="333"/>
        <v>7Sáng1</v>
      </c>
      <c r="C716" s="29" t="str">
        <f t="shared" si="334"/>
        <v/>
      </c>
      <c r="D716" s="29" t="str">
        <f t="shared" si="335"/>
        <v/>
      </c>
      <c r="E716" s="29" t="s">
        <v>92</v>
      </c>
      <c r="F716" s="29">
        <v>7</v>
      </c>
      <c r="G716" s="29" t="s">
        <v>3</v>
      </c>
      <c r="H716" s="29">
        <v>1</v>
      </c>
      <c r="I716" s="36" t="str">
        <f t="shared" si="336"/>
        <v/>
      </c>
      <c r="J716" s="36" t="str">
        <f t="shared" ref="J716" si="350">AK116</f>
        <v/>
      </c>
    </row>
    <row r="717" spans="1:10" x14ac:dyDescent="0.25">
      <c r="A717" s="29" t="str">
        <f t="shared" si="332"/>
        <v>7Sáng2</v>
      </c>
      <c r="B717" s="29" t="str">
        <f t="shared" si="333"/>
        <v>7Sáng2</v>
      </c>
      <c r="C717" s="29" t="str">
        <f t="shared" si="334"/>
        <v/>
      </c>
      <c r="D717" s="29" t="str">
        <f t="shared" si="335"/>
        <v/>
      </c>
      <c r="E717" s="29" t="s">
        <v>92</v>
      </c>
      <c r="F717" s="29">
        <v>7</v>
      </c>
      <c r="G717" s="29" t="s">
        <v>3</v>
      </c>
      <c r="H717" s="29">
        <v>2</v>
      </c>
      <c r="I717" s="36" t="str">
        <f t="shared" si="336"/>
        <v/>
      </c>
      <c r="J717" s="36" t="str">
        <f t="shared" ref="J717" si="351">AK117</f>
        <v/>
      </c>
    </row>
    <row r="718" spans="1:10" x14ac:dyDescent="0.25">
      <c r="A718" s="29" t="str">
        <f t="shared" si="332"/>
        <v>7Sáng3</v>
      </c>
      <c r="B718" s="29" t="str">
        <f t="shared" si="333"/>
        <v>7Sáng3</v>
      </c>
      <c r="C718" s="29" t="str">
        <f t="shared" si="334"/>
        <v/>
      </c>
      <c r="D718" s="29" t="str">
        <f t="shared" si="335"/>
        <v/>
      </c>
      <c r="E718" s="29" t="s">
        <v>92</v>
      </c>
      <c r="F718" s="29">
        <v>7</v>
      </c>
      <c r="G718" s="29" t="s">
        <v>3</v>
      </c>
      <c r="H718" s="29">
        <v>3</v>
      </c>
      <c r="I718" s="36" t="str">
        <f t="shared" si="336"/>
        <v/>
      </c>
      <c r="J718" s="36" t="str">
        <f t="shared" ref="J718" si="352">AK118</f>
        <v/>
      </c>
    </row>
    <row r="719" spans="1:10" x14ac:dyDescent="0.25">
      <c r="A719" s="29" t="str">
        <f t="shared" si="332"/>
        <v>7Sáng4</v>
      </c>
      <c r="B719" s="29" t="str">
        <f t="shared" si="333"/>
        <v>7Sáng4</v>
      </c>
      <c r="C719" s="29" t="str">
        <f t="shared" si="334"/>
        <v/>
      </c>
      <c r="D719" s="29" t="str">
        <f t="shared" si="335"/>
        <v/>
      </c>
      <c r="E719" s="29" t="s">
        <v>92</v>
      </c>
      <c r="F719" s="29">
        <v>7</v>
      </c>
      <c r="G719" s="29" t="s">
        <v>3</v>
      </c>
      <c r="H719" s="29">
        <v>4</v>
      </c>
      <c r="I719" s="36" t="str">
        <f t="shared" si="336"/>
        <v/>
      </c>
      <c r="J719" s="36" t="str">
        <f t="shared" ref="J719" si="353">AK119</f>
        <v/>
      </c>
    </row>
    <row r="720" spans="1:10" x14ac:dyDescent="0.25">
      <c r="A720" s="29" t="str">
        <f t="shared" si="332"/>
        <v>7Sáng5</v>
      </c>
      <c r="B720" s="29" t="str">
        <f t="shared" si="333"/>
        <v>7Sáng5</v>
      </c>
      <c r="C720" s="29" t="str">
        <f t="shared" si="334"/>
        <v/>
      </c>
      <c r="D720" s="29" t="str">
        <f t="shared" si="335"/>
        <v/>
      </c>
      <c r="E720" s="29" t="s">
        <v>92</v>
      </c>
      <c r="F720" s="29">
        <v>7</v>
      </c>
      <c r="G720" s="29" t="s">
        <v>3</v>
      </c>
      <c r="H720" s="29">
        <v>5</v>
      </c>
      <c r="I720" s="36" t="str">
        <f t="shared" si="336"/>
        <v/>
      </c>
      <c r="J720" s="36" t="str">
        <f t="shared" ref="J720" si="354">AK120</f>
        <v/>
      </c>
    </row>
    <row r="721" spans="1:10" x14ac:dyDescent="0.25">
      <c r="A721" s="29" t="str">
        <f t="shared" si="332"/>
        <v>7Chiều1</v>
      </c>
      <c r="B721" s="29" t="str">
        <f t="shared" si="333"/>
        <v>7Chiều1</v>
      </c>
      <c r="C721" s="29" t="str">
        <f t="shared" si="334"/>
        <v/>
      </c>
      <c r="D721" s="29" t="str">
        <f t="shared" si="335"/>
        <v/>
      </c>
      <c r="E721" s="29" t="s">
        <v>92</v>
      </c>
      <c r="F721" s="29">
        <v>7</v>
      </c>
      <c r="G721" s="29" t="s">
        <v>4</v>
      </c>
      <c r="H721" s="29">
        <v>1</v>
      </c>
      <c r="I721" s="36" t="str">
        <f t="shared" si="336"/>
        <v/>
      </c>
      <c r="J721" s="36" t="str">
        <f t="shared" ref="J721" si="355">AK121</f>
        <v/>
      </c>
    </row>
    <row r="722" spans="1:10" x14ac:dyDescent="0.25">
      <c r="A722" s="29" t="str">
        <f t="shared" si="332"/>
        <v>7Chiều2</v>
      </c>
      <c r="B722" s="29" t="str">
        <f t="shared" si="333"/>
        <v>7Chiều2</v>
      </c>
      <c r="C722" s="29" t="str">
        <f t="shared" si="334"/>
        <v/>
      </c>
      <c r="D722" s="29" t="str">
        <f t="shared" si="335"/>
        <v/>
      </c>
      <c r="E722" s="29" t="s">
        <v>92</v>
      </c>
      <c r="F722" s="29">
        <v>7</v>
      </c>
      <c r="G722" s="29" t="s">
        <v>4</v>
      </c>
      <c r="H722" s="29">
        <v>2</v>
      </c>
      <c r="I722" s="36" t="str">
        <f t="shared" si="336"/>
        <v/>
      </c>
      <c r="J722" s="36" t="str">
        <f t="shared" ref="J722" si="356">AK122</f>
        <v/>
      </c>
    </row>
    <row r="723" spans="1:10" x14ac:dyDescent="0.25">
      <c r="A723" s="29" t="str">
        <f t="shared" si="332"/>
        <v>7Chiều3</v>
      </c>
      <c r="B723" s="29" t="str">
        <f t="shared" si="333"/>
        <v>7Chiều3</v>
      </c>
      <c r="C723" s="29" t="str">
        <f t="shared" si="334"/>
        <v/>
      </c>
      <c r="D723" s="29" t="str">
        <f t="shared" si="335"/>
        <v/>
      </c>
      <c r="E723" s="29" t="s">
        <v>92</v>
      </c>
      <c r="F723" s="29">
        <v>7</v>
      </c>
      <c r="G723" s="29" t="s">
        <v>4</v>
      </c>
      <c r="H723" s="29">
        <v>3</v>
      </c>
      <c r="I723" s="36" t="str">
        <f t="shared" si="336"/>
        <v/>
      </c>
      <c r="J723" s="36" t="str">
        <f t="shared" ref="J723" si="357">AK123</f>
        <v/>
      </c>
    </row>
    <row r="724" spans="1:10" x14ac:dyDescent="0.25">
      <c r="A724" s="29" t="str">
        <f t="shared" si="332"/>
        <v>7Chiều4</v>
      </c>
      <c r="B724" s="29" t="str">
        <f t="shared" si="333"/>
        <v>7Chiều4</v>
      </c>
      <c r="C724" s="29" t="str">
        <f t="shared" si="334"/>
        <v/>
      </c>
      <c r="D724" s="29" t="str">
        <f t="shared" si="335"/>
        <v/>
      </c>
      <c r="E724" s="29" t="s">
        <v>92</v>
      </c>
      <c r="F724" s="29">
        <v>7</v>
      </c>
      <c r="G724" s="29" t="s">
        <v>4</v>
      </c>
      <c r="H724" s="29">
        <v>4</v>
      </c>
      <c r="I724" s="36" t="str">
        <f t="shared" si="336"/>
        <v/>
      </c>
      <c r="J724" s="36" t="str">
        <f t="shared" ref="J724" si="358">AK124</f>
        <v/>
      </c>
    </row>
    <row r="725" spans="1:10" x14ac:dyDescent="0.25">
      <c r="A725" s="29" t="str">
        <f t="shared" si="332"/>
        <v>7Chiều5</v>
      </c>
      <c r="B725" s="29" t="str">
        <f t="shared" si="333"/>
        <v>7Chiều5</v>
      </c>
      <c r="C725" s="29" t="str">
        <f t="shared" si="334"/>
        <v/>
      </c>
      <c r="D725" s="29" t="str">
        <f t="shared" si="335"/>
        <v/>
      </c>
      <c r="E725" s="29" t="s">
        <v>92</v>
      </c>
      <c r="F725" s="29">
        <v>7</v>
      </c>
      <c r="G725" s="29" t="s">
        <v>4</v>
      </c>
      <c r="H725" s="29">
        <v>5</v>
      </c>
      <c r="I725" s="36" t="str">
        <f t="shared" si="336"/>
        <v/>
      </c>
      <c r="J725" s="36" t="str">
        <f t="shared" ref="J725" si="359">AK125</f>
        <v/>
      </c>
    </row>
    <row r="726" spans="1:10" x14ac:dyDescent="0.25">
      <c r="A726" s="29" t="str">
        <f t="shared" si="332"/>
        <v>2Sáng1</v>
      </c>
      <c r="B726" s="29" t="str">
        <f t="shared" si="333"/>
        <v>2Sáng1MN1</v>
      </c>
      <c r="C726" s="29" t="str">
        <f t="shared" si="334"/>
        <v/>
      </c>
      <c r="D726" s="29" t="str">
        <f t="shared" si="335"/>
        <v/>
      </c>
      <c r="E726" s="29" t="s">
        <v>91</v>
      </c>
      <c r="F726" s="29">
        <v>2</v>
      </c>
      <c r="G726" s="29" t="s">
        <v>3</v>
      </c>
      <c r="H726" s="29">
        <v>1</v>
      </c>
      <c r="I726" s="36" t="str">
        <f>AL66</f>
        <v>MN1</v>
      </c>
      <c r="J726" s="36" t="str">
        <f>AM66</f>
        <v>SH tập thể -TTH2</v>
      </c>
    </row>
    <row r="727" spans="1:10" x14ac:dyDescent="0.25">
      <c r="A727" s="29" t="str">
        <f t="shared" si="332"/>
        <v>2Sáng2</v>
      </c>
      <c r="B727" s="29" t="str">
        <f t="shared" si="333"/>
        <v>2Sáng2MN1</v>
      </c>
      <c r="C727" s="29" t="str">
        <f t="shared" si="334"/>
        <v/>
      </c>
      <c r="D727" s="29" t="str">
        <f t="shared" si="335"/>
        <v/>
      </c>
      <c r="E727" s="29" t="s">
        <v>91</v>
      </c>
      <c r="F727" s="29">
        <v>2</v>
      </c>
      <c r="G727" s="29" t="s">
        <v>3</v>
      </c>
      <c r="H727" s="29">
        <v>2</v>
      </c>
      <c r="I727" s="36" t="str">
        <f t="shared" ref="I727:J727" si="360">AL67</f>
        <v>MN1</v>
      </c>
      <c r="J727" s="36" t="str">
        <f t="shared" si="360"/>
        <v>Đọc sách -TTH2</v>
      </c>
    </row>
    <row r="728" spans="1:10" x14ac:dyDescent="0.25">
      <c r="A728" s="29" t="str">
        <f t="shared" si="332"/>
        <v>2Sáng3</v>
      </c>
      <c r="B728" s="29" t="str">
        <f t="shared" si="333"/>
        <v>2Sáng3Hồng</v>
      </c>
      <c r="C728" s="29" t="str">
        <f t="shared" si="334"/>
        <v/>
      </c>
      <c r="D728" s="29" t="str">
        <f t="shared" si="335"/>
        <v/>
      </c>
      <c r="E728" s="29" t="s">
        <v>91</v>
      </c>
      <c r="F728" s="29">
        <v>2</v>
      </c>
      <c r="G728" s="29" t="s">
        <v>3</v>
      </c>
      <c r="H728" s="29">
        <v>3</v>
      </c>
      <c r="I728" s="36" t="str">
        <f t="shared" ref="I728:J728" si="361">AL68</f>
        <v>Hồng</v>
      </c>
      <c r="J728" s="36" t="str">
        <f t="shared" si="361"/>
        <v>GDTC -TTH2</v>
      </c>
    </row>
    <row r="729" spans="1:10" x14ac:dyDescent="0.25">
      <c r="A729" s="29" t="str">
        <f t="shared" si="332"/>
        <v>2Sáng4</v>
      </c>
      <c r="B729" s="29" t="str">
        <f t="shared" si="333"/>
        <v>2Sáng4Hồng</v>
      </c>
      <c r="C729" s="29" t="str">
        <f t="shared" si="334"/>
        <v/>
      </c>
      <c r="D729" s="29" t="str">
        <f t="shared" si="335"/>
        <v/>
      </c>
      <c r="E729" s="29" t="s">
        <v>91</v>
      </c>
      <c r="F729" s="29">
        <v>2</v>
      </c>
      <c r="G729" s="29" t="s">
        <v>3</v>
      </c>
      <c r="H729" s="29">
        <v>4</v>
      </c>
      <c r="I729" s="36" t="str">
        <f t="shared" ref="I729:J729" si="362">AL69</f>
        <v>Hồng</v>
      </c>
      <c r="J729" s="36" t="str">
        <f t="shared" si="362"/>
        <v>GDTC -TTH2</v>
      </c>
    </row>
    <row r="730" spans="1:10" x14ac:dyDescent="0.25">
      <c r="A730" s="29" t="str">
        <f t="shared" si="332"/>
        <v>2Sáng5</v>
      </c>
      <c r="B730" s="29" t="str">
        <f t="shared" si="333"/>
        <v>2Sáng5</v>
      </c>
      <c r="C730" s="29" t="str">
        <f t="shared" si="334"/>
        <v/>
      </c>
      <c r="D730" s="29" t="str">
        <f t="shared" si="335"/>
        <v/>
      </c>
      <c r="E730" s="29" t="s">
        <v>91</v>
      </c>
      <c r="F730" s="29">
        <v>2</v>
      </c>
      <c r="G730" s="29" t="s">
        <v>3</v>
      </c>
      <c r="H730" s="29">
        <v>5</v>
      </c>
      <c r="I730" s="36" t="str">
        <f t="shared" ref="I730:J730" si="363">AL70</f>
        <v/>
      </c>
      <c r="J730" s="36" t="str">
        <f t="shared" si="363"/>
        <v/>
      </c>
    </row>
    <row r="731" spans="1:10" x14ac:dyDescent="0.25">
      <c r="A731" s="29" t="str">
        <f t="shared" si="332"/>
        <v>2Chiều1</v>
      </c>
      <c r="B731" s="29" t="str">
        <f t="shared" si="333"/>
        <v>2Chiều1MN1</v>
      </c>
      <c r="C731" s="29" t="str">
        <f t="shared" si="334"/>
        <v/>
      </c>
      <c r="D731" s="29" t="str">
        <f t="shared" si="335"/>
        <v/>
      </c>
      <c r="E731" s="29" t="s">
        <v>91</v>
      </c>
      <c r="F731" s="29">
        <v>2</v>
      </c>
      <c r="G731" s="29" t="s">
        <v>4</v>
      </c>
      <c r="H731" s="29">
        <v>1</v>
      </c>
      <c r="I731" s="36" t="str">
        <f t="shared" ref="I731:J731" si="364">AL71</f>
        <v>MN1</v>
      </c>
      <c r="J731" s="36" t="str">
        <f t="shared" si="364"/>
        <v>HĐ tự chọn -TTH2</v>
      </c>
    </row>
    <row r="732" spans="1:10" x14ac:dyDescent="0.25">
      <c r="A732" s="29" t="str">
        <f t="shared" si="332"/>
        <v>2Chiều2</v>
      </c>
      <c r="B732" s="29" t="str">
        <f t="shared" si="333"/>
        <v>2Chiều2Trang</v>
      </c>
      <c r="C732" s="29" t="str">
        <f t="shared" si="334"/>
        <v/>
      </c>
      <c r="D732" s="29" t="str">
        <f t="shared" si="335"/>
        <v/>
      </c>
      <c r="E732" s="29" t="s">
        <v>91</v>
      </c>
      <c r="F732" s="29">
        <v>2</v>
      </c>
      <c r="G732" s="29" t="s">
        <v>4</v>
      </c>
      <c r="H732" s="29">
        <v>2</v>
      </c>
      <c r="I732" s="36" t="str">
        <f t="shared" ref="I732:J732" si="365">AL72</f>
        <v>Trang</v>
      </c>
      <c r="J732" s="36" t="str">
        <f t="shared" si="365"/>
        <v>GVVN -TTH2</v>
      </c>
    </row>
    <row r="733" spans="1:10" x14ac:dyDescent="0.25">
      <c r="A733" s="29" t="str">
        <f t="shared" si="332"/>
        <v>2Chiều3</v>
      </c>
      <c r="B733" s="29" t="str">
        <f t="shared" si="333"/>
        <v>2Chiều3MN1</v>
      </c>
      <c r="C733" s="29" t="str">
        <f t="shared" si="334"/>
        <v/>
      </c>
      <c r="D733" s="29" t="str">
        <f t="shared" si="335"/>
        <v/>
      </c>
      <c r="E733" s="29" t="s">
        <v>91</v>
      </c>
      <c r="F733" s="29">
        <v>2</v>
      </c>
      <c r="G733" s="29" t="s">
        <v>4</v>
      </c>
      <c r="H733" s="29">
        <v>3</v>
      </c>
      <c r="I733" s="36" t="str">
        <f t="shared" ref="I733:J733" si="366">AL73</f>
        <v>MN1</v>
      </c>
      <c r="J733" s="36" t="str">
        <f t="shared" si="366"/>
        <v>TViệt -TTH2</v>
      </c>
    </row>
    <row r="734" spans="1:10" x14ac:dyDescent="0.25">
      <c r="A734" s="29" t="str">
        <f t="shared" si="332"/>
        <v>2Chiều4Aziz</v>
      </c>
      <c r="B734" s="29" t="str">
        <f t="shared" si="333"/>
        <v>2Chiều4Huyền</v>
      </c>
      <c r="C734" s="29" t="str">
        <f t="shared" si="334"/>
        <v>Aziz</v>
      </c>
      <c r="D734" s="29" t="str">
        <f t="shared" si="335"/>
        <v>Huyền</v>
      </c>
      <c r="E734" s="29" t="s">
        <v>91</v>
      </c>
      <c r="F734" s="29">
        <v>2</v>
      </c>
      <c r="G734" s="29" t="s">
        <v>4</v>
      </c>
      <c r="H734" s="29">
        <v>4</v>
      </c>
      <c r="I734" s="36" t="str">
        <f t="shared" ref="I734:J734" si="367">AL74</f>
        <v>Aziz, Huyền</v>
      </c>
      <c r="J734" s="36" t="str">
        <f t="shared" si="367"/>
        <v>GVNN -TTH2</v>
      </c>
    </row>
    <row r="735" spans="1:10" x14ac:dyDescent="0.25">
      <c r="A735" s="29" t="str">
        <f t="shared" si="332"/>
        <v>2Chiều5</v>
      </c>
      <c r="B735" s="29" t="str">
        <f t="shared" si="333"/>
        <v>2Chiều5</v>
      </c>
      <c r="C735" s="29" t="str">
        <f t="shared" si="334"/>
        <v/>
      </c>
      <c r="D735" s="29" t="str">
        <f t="shared" si="335"/>
        <v/>
      </c>
      <c r="E735" s="29" t="s">
        <v>91</v>
      </c>
      <c r="F735" s="29">
        <v>2</v>
      </c>
      <c r="G735" s="29" t="s">
        <v>4</v>
      </c>
      <c r="H735" s="29">
        <v>5</v>
      </c>
      <c r="I735" s="36" t="str">
        <f t="shared" ref="I735:J735" si="368">AL75</f>
        <v/>
      </c>
      <c r="J735" s="36" t="str">
        <f t="shared" si="368"/>
        <v/>
      </c>
    </row>
    <row r="736" spans="1:10" x14ac:dyDescent="0.25">
      <c r="A736" s="29" t="str">
        <f t="shared" si="332"/>
        <v>3Sáng1</v>
      </c>
      <c r="B736" s="29" t="str">
        <f t="shared" si="333"/>
        <v>3Sáng1MN1</v>
      </c>
      <c r="C736" s="29" t="str">
        <f t="shared" si="334"/>
        <v/>
      </c>
      <c r="D736" s="29" t="str">
        <f t="shared" si="335"/>
        <v/>
      </c>
      <c r="E736" s="29" t="s">
        <v>91</v>
      </c>
      <c r="F736" s="29">
        <v>3</v>
      </c>
      <c r="G736" s="29" t="s">
        <v>3</v>
      </c>
      <c r="H736" s="29">
        <v>1</v>
      </c>
      <c r="I736" s="36" t="str">
        <f t="shared" ref="I736:J736" si="369">AL76</f>
        <v>MN1</v>
      </c>
      <c r="J736" s="36" t="str">
        <f t="shared" si="369"/>
        <v>Toán -TTH2</v>
      </c>
    </row>
    <row r="737" spans="1:10" x14ac:dyDescent="0.25">
      <c r="A737" s="29" t="str">
        <f t="shared" si="332"/>
        <v>3Sáng2</v>
      </c>
      <c r="B737" s="29" t="str">
        <f t="shared" si="333"/>
        <v>3Sáng2MN1</v>
      </c>
      <c r="C737" s="29" t="str">
        <f t="shared" si="334"/>
        <v/>
      </c>
      <c r="D737" s="29" t="str">
        <f t="shared" si="335"/>
        <v/>
      </c>
      <c r="E737" s="29" t="s">
        <v>91</v>
      </c>
      <c r="F737" s="29">
        <v>3</v>
      </c>
      <c r="G737" s="29" t="s">
        <v>3</v>
      </c>
      <c r="H737" s="29">
        <v>2</v>
      </c>
      <c r="I737" s="36" t="str">
        <f t="shared" ref="I737:J737" si="370">AL77</f>
        <v>MN1</v>
      </c>
      <c r="J737" s="36" t="str">
        <f t="shared" si="370"/>
        <v>Toán -TTH2</v>
      </c>
    </row>
    <row r="738" spans="1:10" x14ac:dyDescent="0.25">
      <c r="A738" s="29" t="str">
        <f t="shared" si="332"/>
        <v>3Sáng3</v>
      </c>
      <c r="B738" s="29" t="str">
        <f t="shared" si="333"/>
        <v>3Sáng3MN1</v>
      </c>
      <c r="C738" s="29" t="str">
        <f t="shared" si="334"/>
        <v/>
      </c>
      <c r="D738" s="29" t="str">
        <f t="shared" si="335"/>
        <v/>
      </c>
      <c r="E738" s="29" t="s">
        <v>91</v>
      </c>
      <c r="F738" s="29">
        <v>3</v>
      </c>
      <c r="G738" s="29" t="s">
        <v>3</v>
      </c>
      <c r="H738" s="29">
        <v>3</v>
      </c>
      <c r="I738" s="36" t="str">
        <f t="shared" ref="I738:J738" si="371">AL78</f>
        <v>MN1</v>
      </c>
      <c r="J738" s="36" t="str">
        <f t="shared" si="371"/>
        <v>Tìm hiểu thiên nhiên -TTH2</v>
      </c>
    </row>
    <row r="739" spans="1:10" x14ac:dyDescent="0.25">
      <c r="A739" s="29" t="str">
        <f t="shared" si="332"/>
        <v>3Sáng4</v>
      </c>
      <c r="B739" s="29" t="str">
        <f t="shared" si="333"/>
        <v>3Sáng4MN1</v>
      </c>
      <c r="C739" s="29" t="str">
        <f t="shared" si="334"/>
        <v/>
      </c>
      <c r="D739" s="29" t="str">
        <f t="shared" si="335"/>
        <v/>
      </c>
      <c r="E739" s="29" t="s">
        <v>91</v>
      </c>
      <c r="F739" s="29">
        <v>3</v>
      </c>
      <c r="G739" s="29" t="s">
        <v>3</v>
      </c>
      <c r="H739" s="29">
        <v>4</v>
      </c>
      <c r="I739" s="36" t="str">
        <f t="shared" ref="I739:J739" si="372">AL79</f>
        <v>MN1</v>
      </c>
      <c r="J739" s="36" t="str">
        <f t="shared" si="372"/>
        <v>Lối sống -TTH2</v>
      </c>
    </row>
    <row r="740" spans="1:10" x14ac:dyDescent="0.25">
      <c r="A740" s="29" t="str">
        <f t="shared" si="332"/>
        <v>3Sáng5</v>
      </c>
      <c r="B740" s="29" t="str">
        <f t="shared" si="333"/>
        <v>3Sáng5</v>
      </c>
      <c r="C740" s="29" t="str">
        <f t="shared" si="334"/>
        <v/>
      </c>
      <c r="D740" s="29" t="str">
        <f t="shared" si="335"/>
        <v/>
      </c>
      <c r="E740" s="29" t="s">
        <v>91</v>
      </c>
      <c r="F740" s="29">
        <v>3</v>
      </c>
      <c r="G740" s="29" t="s">
        <v>3</v>
      </c>
      <c r="H740" s="29">
        <v>5</v>
      </c>
      <c r="I740" s="36" t="str">
        <f t="shared" ref="I740:J740" si="373">AL80</f>
        <v/>
      </c>
      <c r="J740" s="36" t="str">
        <f t="shared" si="373"/>
        <v/>
      </c>
    </row>
    <row r="741" spans="1:10" x14ac:dyDescent="0.25">
      <c r="A741" s="29" t="str">
        <f t="shared" si="332"/>
        <v>3Chiều1</v>
      </c>
      <c r="B741" s="29" t="str">
        <f t="shared" si="333"/>
        <v>3Chiều1MN1</v>
      </c>
      <c r="C741" s="29" t="str">
        <f t="shared" si="334"/>
        <v/>
      </c>
      <c r="D741" s="29" t="str">
        <f t="shared" si="335"/>
        <v/>
      </c>
      <c r="E741" s="29" t="s">
        <v>91</v>
      </c>
      <c r="F741" s="29">
        <v>3</v>
      </c>
      <c r="G741" s="29" t="s">
        <v>4</v>
      </c>
      <c r="H741" s="29">
        <v>1</v>
      </c>
      <c r="I741" s="36" t="str">
        <f t="shared" ref="I741:J741" si="374">AL81</f>
        <v>MN1</v>
      </c>
      <c r="J741" s="36" t="str">
        <f t="shared" si="374"/>
        <v>HĐ tự chọn -TTH2</v>
      </c>
    </row>
    <row r="742" spans="1:10" x14ac:dyDescent="0.25">
      <c r="A742" s="29" t="str">
        <f t="shared" si="332"/>
        <v>3Chiều2</v>
      </c>
      <c r="B742" s="29" t="str">
        <f t="shared" si="333"/>
        <v>3Chiều2MN1</v>
      </c>
      <c r="C742" s="29" t="str">
        <f t="shared" si="334"/>
        <v/>
      </c>
      <c r="D742" s="29" t="str">
        <f t="shared" si="335"/>
        <v/>
      </c>
      <c r="E742" s="29" t="s">
        <v>91</v>
      </c>
      <c r="F742" s="29">
        <v>3</v>
      </c>
      <c r="G742" s="29" t="s">
        <v>4</v>
      </c>
      <c r="H742" s="29">
        <v>2</v>
      </c>
      <c r="I742" s="36" t="str">
        <f t="shared" ref="I742:J742" si="375">AL82</f>
        <v>MN1</v>
      </c>
      <c r="J742" s="36" t="str">
        <f t="shared" si="375"/>
        <v>Tìm hiểu thiên nhiên -TTH2</v>
      </c>
    </row>
    <row r="743" spans="1:10" x14ac:dyDescent="0.25">
      <c r="A743" s="29" t="str">
        <f t="shared" si="332"/>
        <v>3Chiều3</v>
      </c>
      <c r="B743" s="29" t="str">
        <f t="shared" si="333"/>
        <v>3Chiều3Trang</v>
      </c>
      <c r="C743" s="29" t="str">
        <f t="shared" si="334"/>
        <v/>
      </c>
      <c r="D743" s="29" t="str">
        <f t="shared" si="335"/>
        <v/>
      </c>
      <c r="E743" s="29" t="s">
        <v>91</v>
      </c>
      <c r="F743" s="29">
        <v>3</v>
      </c>
      <c r="G743" s="29" t="s">
        <v>4</v>
      </c>
      <c r="H743" s="29">
        <v>3</v>
      </c>
      <c r="I743" s="36" t="str">
        <f t="shared" ref="I743:J743" si="376">AL83</f>
        <v>Trang</v>
      </c>
      <c r="J743" s="36" t="str">
        <f t="shared" si="376"/>
        <v>GVVN -TTH2</v>
      </c>
    </row>
    <row r="744" spans="1:10" x14ac:dyDescent="0.25">
      <c r="A744" s="29" t="str">
        <f t="shared" si="332"/>
        <v>3Chiều4</v>
      </c>
      <c r="B744" s="29" t="str">
        <f t="shared" si="333"/>
        <v>3Chiều4MN1</v>
      </c>
      <c r="C744" s="29" t="str">
        <f t="shared" si="334"/>
        <v/>
      </c>
      <c r="D744" s="29" t="str">
        <f t="shared" si="335"/>
        <v/>
      </c>
      <c r="E744" s="29" t="s">
        <v>91</v>
      </c>
      <c r="F744" s="29">
        <v>3</v>
      </c>
      <c r="G744" s="29" t="s">
        <v>4</v>
      </c>
      <c r="H744" s="29">
        <v>4</v>
      </c>
      <c r="I744" s="36" t="str">
        <f t="shared" ref="I744:J744" si="377">AL84</f>
        <v>MN1</v>
      </c>
      <c r="J744" s="36" t="str">
        <f t="shared" si="377"/>
        <v>TViệt -TTH2</v>
      </c>
    </row>
    <row r="745" spans="1:10" x14ac:dyDescent="0.25">
      <c r="A745" s="29" t="str">
        <f t="shared" si="332"/>
        <v>3Chiều5</v>
      </c>
      <c r="B745" s="29" t="str">
        <f t="shared" si="333"/>
        <v>3Chiều5</v>
      </c>
      <c r="C745" s="29" t="str">
        <f t="shared" si="334"/>
        <v/>
      </c>
      <c r="D745" s="29" t="str">
        <f t="shared" si="335"/>
        <v/>
      </c>
      <c r="E745" s="29" t="s">
        <v>91</v>
      </c>
      <c r="F745" s="29">
        <v>3</v>
      </c>
      <c r="G745" s="29" t="s">
        <v>4</v>
      </c>
      <c r="H745" s="29">
        <v>5</v>
      </c>
      <c r="I745" s="36" t="str">
        <f t="shared" ref="I745:J745" si="378">AL85</f>
        <v/>
      </c>
      <c r="J745" s="36" t="str">
        <f t="shared" si="378"/>
        <v/>
      </c>
    </row>
    <row r="746" spans="1:10" x14ac:dyDescent="0.25">
      <c r="A746" s="29" t="str">
        <f t="shared" si="332"/>
        <v>4Sáng1</v>
      </c>
      <c r="B746" s="29" t="str">
        <f t="shared" si="333"/>
        <v>4Sáng1MN1</v>
      </c>
      <c r="C746" s="29" t="str">
        <f t="shared" si="334"/>
        <v/>
      </c>
      <c r="D746" s="29" t="str">
        <f t="shared" si="335"/>
        <v/>
      </c>
      <c r="E746" s="29" t="s">
        <v>91</v>
      </c>
      <c r="F746" s="29">
        <v>4</v>
      </c>
      <c r="G746" s="29" t="s">
        <v>3</v>
      </c>
      <c r="H746" s="29">
        <v>1</v>
      </c>
      <c r="I746" s="36" t="str">
        <f t="shared" ref="I746:J746" si="379">AL86</f>
        <v>MN1</v>
      </c>
      <c r="J746" s="36" t="str">
        <f t="shared" si="379"/>
        <v>Lối sống -TTH2</v>
      </c>
    </row>
    <row r="747" spans="1:10" x14ac:dyDescent="0.25">
      <c r="A747" s="29" t="str">
        <f t="shared" si="332"/>
        <v>4Sáng2Aziz</v>
      </c>
      <c r="B747" s="29" t="str">
        <f t="shared" si="333"/>
        <v>4Sáng2Huyền</v>
      </c>
      <c r="C747" s="29" t="str">
        <f t="shared" si="334"/>
        <v>Aziz</v>
      </c>
      <c r="D747" s="29" t="str">
        <f t="shared" si="335"/>
        <v>Huyền</v>
      </c>
      <c r="E747" s="29" t="s">
        <v>91</v>
      </c>
      <c r="F747" s="29">
        <v>4</v>
      </c>
      <c r="G747" s="29" t="s">
        <v>3</v>
      </c>
      <c r="H747" s="29">
        <v>2</v>
      </c>
      <c r="I747" s="36" t="str">
        <f t="shared" ref="I747:J747" si="380">AL87</f>
        <v>Aziz, Huyền</v>
      </c>
      <c r="J747" s="36" t="str">
        <f t="shared" si="380"/>
        <v>GVNN -TTH2</v>
      </c>
    </row>
    <row r="748" spans="1:10" x14ac:dyDescent="0.25">
      <c r="A748" s="29" t="str">
        <f t="shared" si="332"/>
        <v>4Sáng3</v>
      </c>
      <c r="B748" s="29" t="str">
        <f t="shared" si="333"/>
        <v>4Sáng3Trang</v>
      </c>
      <c r="C748" s="29" t="str">
        <f t="shared" si="334"/>
        <v/>
      </c>
      <c r="D748" s="29" t="str">
        <f t="shared" si="335"/>
        <v/>
      </c>
      <c r="E748" s="29" t="s">
        <v>91</v>
      </c>
      <c r="F748" s="29">
        <v>4</v>
      </c>
      <c r="G748" s="29" t="s">
        <v>3</v>
      </c>
      <c r="H748" s="29">
        <v>3</v>
      </c>
      <c r="I748" s="36" t="str">
        <f t="shared" ref="I748:J748" si="381">AL88</f>
        <v>Trang</v>
      </c>
      <c r="J748" s="36" t="str">
        <f t="shared" si="381"/>
        <v>GVVN -TTH2</v>
      </c>
    </row>
    <row r="749" spans="1:10" x14ac:dyDescent="0.25">
      <c r="A749" s="29" t="str">
        <f t="shared" si="332"/>
        <v>4Sáng4</v>
      </c>
      <c r="B749" s="29" t="str">
        <f t="shared" si="333"/>
        <v>4Sáng4Phương</v>
      </c>
      <c r="C749" s="29" t="str">
        <f t="shared" si="334"/>
        <v/>
      </c>
      <c r="D749" s="29" t="str">
        <f t="shared" si="335"/>
        <v/>
      </c>
      <c r="E749" s="29" t="s">
        <v>91</v>
      </c>
      <c r="F749" s="29">
        <v>4</v>
      </c>
      <c r="G749" s="29" t="s">
        <v>3</v>
      </c>
      <c r="H749" s="29">
        <v>4</v>
      </c>
      <c r="I749" s="36" t="str">
        <f t="shared" ref="I749:J749" si="382">AL89</f>
        <v>Phương</v>
      </c>
      <c r="J749" s="36" t="str">
        <f t="shared" si="382"/>
        <v>Mĩ thuật -TTH2</v>
      </c>
    </row>
    <row r="750" spans="1:10" x14ac:dyDescent="0.25">
      <c r="A750" s="29" t="str">
        <f t="shared" si="332"/>
        <v>4Sáng5</v>
      </c>
      <c r="B750" s="29" t="str">
        <f t="shared" si="333"/>
        <v>4Sáng5</v>
      </c>
      <c r="C750" s="29" t="str">
        <f t="shared" si="334"/>
        <v/>
      </c>
      <c r="D750" s="29" t="str">
        <f t="shared" si="335"/>
        <v/>
      </c>
      <c r="E750" s="29" t="s">
        <v>91</v>
      </c>
      <c r="F750" s="29">
        <v>4</v>
      </c>
      <c r="G750" s="29" t="s">
        <v>3</v>
      </c>
      <c r="H750" s="29">
        <v>5</v>
      </c>
      <c r="I750" s="36" t="str">
        <f t="shared" ref="I750:J750" si="383">AL90</f>
        <v/>
      </c>
      <c r="J750" s="36" t="str">
        <f t="shared" si="383"/>
        <v/>
      </c>
    </row>
    <row r="751" spans="1:10" x14ac:dyDescent="0.25">
      <c r="A751" s="29" t="str">
        <f t="shared" si="332"/>
        <v>4Chiều1</v>
      </c>
      <c r="B751" s="29" t="str">
        <f t="shared" si="333"/>
        <v>4Chiều1MN1</v>
      </c>
      <c r="C751" s="29" t="str">
        <f t="shared" si="334"/>
        <v/>
      </c>
      <c r="D751" s="29" t="str">
        <f t="shared" si="335"/>
        <v/>
      </c>
      <c r="E751" s="29" t="s">
        <v>91</v>
      </c>
      <c r="F751" s="29">
        <v>4</v>
      </c>
      <c r="G751" s="29" t="s">
        <v>4</v>
      </c>
      <c r="H751" s="29">
        <v>1</v>
      </c>
      <c r="I751" s="36" t="str">
        <f t="shared" ref="I751:J751" si="384">AL91</f>
        <v>MN1</v>
      </c>
      <c r="J751" s="36" t="str">
        <f t="shared" si="384"/>
        <v>HĐ tự chọn -TTH2</v>
      </c>
    </row>
    <row r="752" spans="1:10" x14ac:dyDescent="0.25">
      <c r="A752" s="29" t="str">
        <f t="shared" si="332"/>
        <v>4Chiều2</v>
      </c>
      <c r="B752" s="29" t="str">
        <f t="shared" si="333"/>
        <v>4Chiều2MN1</v>
      </c>
      <c r="C752" s="29" t="str">
        <f t="shared" si="334"/>
        <v/>
      </c>
      <c r="D752" s="29" t="str">
        <f t="shared" si="335"/>
        <v/>
      </c>
      <c r="E752" s="29" t="s">
        <v>91</v>
      </c>
      <c r="F752" s="29">
        <v>4</v>
      </c>
      <c r="G752" s="29" t="s">
        <v>4</v>
      </c>
      <c r="H752" s="29">
        <v>2</v>
      </c>
      <c r="I752" s="36" t="str">
        <f t="shared" ref="I752:J752" si="385">AL92</f>
        <v>MN1</v>
      </c>
      <c r="J752" s="36" t="str">
        <f t="shared" si="385"/>
        <v>Toán -TTH2</v>
      </c>
    </row>
    <row r="753" spans="1:10" x14ac:dyDescent="0.25">
      <c r="A753" s="29" t="str">
        <f t="shared" si="332"/>
        <v>4Chiều3</v>
      </c>
      <c r="B753" s="29" t="str">
        <f t="shared" si="333"/>
        <v>4Chiều3Trang</v>
      </c>
      <c r="C753" s="29" t="str">
        <f t="shared" si="334"/>
        <v/>
      </c>
      <c r="D753" s="29" t="str">
        <f t="shared" si="335"/>
        <v/>
      </c>
      <c r="E753" s="29" t="s">
        <v>91</v>
      </c>
      <c r="F753" s="29">
        <v>4</v>
      </c>
      <c r="G753" s="29" t="s">
        <v>4</v>
      </c>
      <c r="H753" s="29">
        <v>3</v>
      </c>
      <c r="I753" s="36" t="str">
        <f t="shared" ref="I753:J753" si="386">AL93</f>
        <v>Trang</v>
      </c>
      <c r="J753" s="36" t="str">
        <f t="shared" si="386"/>
        <v>GVVN -TTH2</v>
      </c>
    </row>
    <row r="754" spans="1:10" x14ac:dyDescent="0.25">
      <c r="A754" s="29" t="str">
        <f t="shared" si="332"/>
        <v>4Chiều4</v>
      </c>
      <c r="B754" s="29" t="str">
        <f t="shared" si="333"/>
        <v>4Chiều4MN1</v>
      </c>
      <c r="C754" s="29" t="str">
        <f t="shared" si="334"/>
        <v/>
      </c>
      <c r="D754" s="29" t="str">
        <f t="shared" si="335"/>
        <v/>
      </c>
      <c r="E754" s="29" t="s">
        <v>91</v>
      </c>
      <c r="F754" s="29">
        <v>4</v>
      </c>
      <c r="G754" s="29" t="s">
        <v>4</v>
      </c>
      <c r="H754" s="29">
        <v>4</v>
      </c>
      <c r="I754" s="36" t="str">
        <f t="shared" ref="I754:J754" si="387">AL94</f>
        <v>MN1</v>
      </c>
      <c r="J754" s="36" t="str">
        <f t="shared" si="387"/>
        <v>VĐ Ngoài trời -TTH2</v>
      </c>
    </row>
    <row r="755" spans="1:10" x14ac:dyDescent="0.25">
      <c r="A755" s="29" t="str">
        <f t="shared" si="332"/>
        <v>4Chiều5</v>
      </c>
      <c r="B755" s="29" t="str">
        <f t="shared" si="333"/>
        <v>4Chiều5</v>
      </c>
      <c r="C755" s="29" t="str">
        <f t="shared" si="334"/>
        <v/>
      </c>
      <c r="D755" s="29" t="str">
        <f t="shared" si="335"/>
        <v/>
      </c>
      <c r="E755" s="29" t="s">
        <v>91</v>
      </c>
      <c r="F755" s="29">
        <v>4</v>
      </c>
      <c r="G755" s="29" t="s">
        <v>4</v>
      </c>
      <c r="H755" s="29">
        <v>5</v>
      </c>
      <c r="I755" s="36" t="str">
        <f t="shared" ref="I755:J755" si="388">AL95</f>
        <v/>
      </c>
      <c r="J755" s="36" t="str">
        <f t="shared" si="388"/>
        <v/>
      </c>
    </row>
    <row r="756" spans="1:10" x14ac:dyDescent="0.25">
      <c r="A756" s="29" t="str">
        <f t="shared" si="332"/>
        <v>5Sáng1</v>
      </c>
      <c r="B756" s="29" t="str">
        <f t="shared" si="333"/>
        <v>5Sáng1MN1</v>
      </c>
      <c r="C756" s="29" t="str">
        <f t="shared" si="334"/>
        <v/>
      </c>
      <c r="D756" s="29" t="str">
        <f t="shared" si="335"/>
        <v/>
      </c>
      <c r="E756" s="29" t="s">
        <v>91</v>
      </c>
      <c r="F756" s="29">
        <v>5</v>
      </c>
      <c r="G756" s="29" t="s">
        <v>3</v>
      </c>
      <c r="H756" s="29">
        <v>1</v>
      </c>
      <c r="I756" s="36" t="str">
        <f t="shared" ref="I756:J756" si="389">AL96</f>
        <v>MN1</v>
      </c>
      <c r="J756" s="36" t="str">
        <f t="shared" si="389"/>
        <v>TViệt -TTH2</v>
      </c>
    </row>
    <row r="757" spans="1:10" x14ac:dyDescent="0.25">
      <c r="A757" s="29" t="str">
        <f t="shared" si="332"/>
        <v>5Sáng2</v>
      </c>
      <c r="B757" s="29" t="str">
        <f t="shared" si="333"/>
        <v>5Sáng2MN1</v>
      </c>
      <c r="C757" s="29" t="str">
        <f t="shared" si="334"/>
        <v/>
      </c>
      <c r="D757" s="29" t="str">
        <f t="shared" si="335"/>
        <v/>
      </c>
      <c r="E757" s="29" t="s">
        <v>91</v>
      </c>
      <c r="F757" s="29">
        <v>5</v>
      </c>
      <c r="G757" s="29" t="s">
        <v>3</v>
      </c>
      <c r="H757" s="29">
        <v>2</v>
      </c>
      <c r="I757" s="36" t="str">
        <f t="shared" ref="I757:J757" si="390">AL97</f>
        <v>MN1</v>
      </c>
      <c r="J757" s="36" t="str">
        <f t="shared" si="390"/>
        <v>Cảm xúc xã hội -TTH2</v>
      </c>
    </row>
    <row r="758" spans="1:10" x14ac:dyDescent="0.25">
      <c r="A758" s="29" t="str">
        <f t="shared" si="332"/>
        <v>5Sáng3</v>
      </c>
      <c r="B758" s="29" t="str">
        <f t="shared" si="333"/>
        <v>5Sáng3Trang</v>
      </c>
      <c r="C758" s="29" t="str">
        <f t="shared" si="334"/>
        <v/>
      </c>
      <c r="D758" s="29" t="str">
        <f t="shared" si="335"/>
        <v/>
      </c>
      <c r="E758" s="29" t="s">
        <v>91</v>
      </c>
      <c r="F758" s="29">
        <v>5</v>
      </c>
      <c r="G758" s="29" t="s">
        <v>3</v>
      </c>
      <c r="H758" s="29">
        <v>3</v>
      </c>
      <c r="I758" s="36" t="str">
        <f t="shared" ref="I758:J758" si="391">AL98</f>
        <v>Trang</v>
      </c>
      <c r="J758" s="36" t="str">
        <f t="shared" si="391"/>
        <v>GVVN -TTH2</v>
      </c>
    </row>
    <row r="759" spans="1:10" x14ac:dyDescent="0.25">
      <c r="A759" s="29" t="str">
        <f t="shared" si="332"/>
        <v>5Sáng4</v>
      </c>
      <c r="B759" s="29" t="str">
        <f t="shared" si="333"/>
        <v>5Sáng4MN1</v>
      </c>
      <c r="C759" s="29" t="str">
        <f t="shared" si="334"/>
        <v/>
      </c>
      <c r="D759" s="29" t="str">
        <f t="shared" si="335"/>
        <v/>
      </c>
      <c r="E759" s="29" t="s">
        <v>91</v>
      </c>
      <c r="F759" s="29">
        <v>5</v>
      </c>
      <c r="G759" s="29" t="s">
        <v>3</v>
      </c>
      <c r="H759" s="29">
        <v>4</v>
      </c>
      <c r="I759" s="36" t="str">
        <f t="shared" ref="I759:J759" si="392">AL99</f>
        <v>MN1</v>
      </c>
      <c r="J759" s="36" t="str">
        <f t="shared" si="392"/>
        <v>KCST -TTH2</v>
      </c>
    </row>
    <row r="760" spans="1:10" x14ac:dyDescent="0.25">
      <c r="A760" s="29" t="str">
        <f t="shared" si="332"/>
        <v>5Sáng5</v>
      </c>
      <c r="B760" s="29" t="str">
        <f t="shared" si="333"/>
        <v>5Sáng5</v>
      </c>
      <c r="C760" s="29" t="str">
        <f t="shared" si="334"/>
        <v/>
      </c>
      <c r="D760" s="29" t="str">
        <f t="shared" si="335"/>
        <v/>
      </c>
      <c r="E760" s="29" t="s">
        <v>91</v>
      </c>
      <c r="F760" s="29">
        <v>5</v>
      </c>
      <c r="G760" s="29" t="s">
        <v>3</v>
      </c>
      <c r="H760" s="29">
        <v>5</v>
      </c>
      <c r="I760" s="36" t="str">
        <f t="shared" ref="I760:J760" si="393">AL100</f>
        <v/>
      </c>
      <c r="J760" s="36" t="str">
        <f t="shared" si="393"/>
        <v/>
      </c>
    </row>
    <row r="761" spans="1:10" x14ac:dyDescent="0.25">
      <c r="A761" s="29" t="str">
        <f t="shared" si="332"/>
        <v>5Chiều1</v>
      </c>
      <c r="B761" s="29" t="str">
        <f t="shared" si="333"/>
        <v>5Chiều1MN1</v>
      </c>
      <c r="C761" s="29" t="str">
        <f t="shared" si="334"/>
        <v/>
      </c>
      <c r="D761" s="29" t="str">
        <f t="shared" si="335"/>
        <v/>
      </c>
      <c r="E761" s="29" t="s">
        <v>91</v>
      </c>
      <c r="F761" s="29">
        <v>5</v>
      </c>
      <c r="G761" s="29" t="s">
        <v>4</v>
      </c>
      <c r="H761" s="29">
        <v>1</v>
      </c>
      <c r="I761" s="36" t="str">
        <f t="shared" ref="I761:J761" si="394">AL101</f>
        <v>MN1</v>
      </c>
      <c r="J761" s="36" t="str">
        <f t="shared" si="394"/>
        <v>HĐ tự chọn -TTH2</v>
      </c>
    </row>
    <row r="762" spans="1:10" x14ac:dyDescent="0.25">
      <c r="A762" s="29" t="str">
        <f t="shared" si="332"/>
        <v>5Chiều2</v>
      </c>
      <c r="B762" s="29" t="str">
        <f t="shared" si="333"/>
        <v>5Chiều2Trang</v>
      </c>
      <c r="C762" s="29" t="str">
        <f t="shared" si="334"/>
        <v/>
      </c>
      <c r="D762" s="29" t="str">
        <f t="shared" si="335"/>
        <v/>
      </c>
      <c r="E762" s="29" t="s">
        <v>91</v>
      </c>
      <c r="F762" s="29">
        <v>5</v>
      </c>
      <c r="G762" s="29" t="s">
        <v>4</v>
      </c>
      <c r="H762" s="29">
        <v>2</v>
      </c>
      <c r="I762" s="36" t="str">
        <f t="shared" ref="I762:J762" si="395">AL102</f>
        <v>Trang</v>
      </c>
      <c r="J762" s="36" t="str">
        <f t="shared" si="395"/>
        <v>GVVN -TTH2</v>
      </c>
    </row>
    <row r="763" spans="1:10" x14ac:dyDescent="0.25">
      <c r="A763" s="29" t="str">
        <f t="shared" ref="A763:A822" si="396">F763&amp;G763&amp;H763&amp;C763</f>
        <v>5Chiều3</v>
      </c>
      <c r="B763" s="29" t="str">
        <f t="shared" ref="B763:B822" si="397">IF(D763="",F763&amp;G763&amp;H763&amp;I763,F763&amp;G763&amp;H763&amp;D763)</f>
        <v>5Chiều3Nguyên</v>
      </c>
      <c r="C763" s="29" t="str">
        <f t="shared" ref="C763:C822" si="398">IFERROR(LEFT(I763,FIND(",",I763)-1),"")</f>
        <v/>
      </c>
      <c r="D763" s="29" t="str">
        <f t="shared" ref="D763:D822" si="399">IF(C763="","",RIGHT(I763,LEN(I763)-FIND(",",I763)-1))</f>
        <v/>
      </c>
      <c r="E763" s="29" t="s">
        <v>91</v>
      </c>
      <c r="F763" s="29">
        <v>5</v>
      </c>
      <c r="G763" s="29" t="s">
        <v>4</v>
      </c>
      <c r="H763" s="29">
        <v>3</v>
      </c>
      <c r="I763" s="36" t="str">
        <f t="shared" ref="I763:J763" si="400">AL103</f>
        <v>Nguyên</v>
      </c>
      <c r="J763" s="36" t="str">
        <f t="shared" si="400"/>
        <v>Tin -TTH2</v>
      </c>
    </row>
    <row r="764" spans="1:10" x14ac:dyDescent="0.25">
      <c r="A764" s="29" t="str">
        <f t="shared" si="396"/>
        <v>5Chiều4</v>
      </c>
      <c r="B764" s="29" t="str">
        <f t="shared" si="397"/>
        <v>5Chiều4MN1</v>
      </c>
      <c r="C764" s="29" t="str">
        <f t="shared" si="398"/>
        <v/>
      </c>
      <c r="D764" s="29" t="str">
        <f t="shared" si="399"/>
        <v/>
      </c>
      <c r="E764" s="29" t="s">
        <v>91</v>
      </c>
      <c r="F764" s="29">
        <v>5</v>
      </c>
      <c r="G764" s="29" t="s">
        <v>4</v>
      </c>
      <c r="H764" s="29">
        <v>4</v>
      </c>
      <c r="I764" s="36" t="str">
        <f t="shared" ref="I764:J764" si="401">AL104</f>
        <v>MN1</v>
      </c>
      <c r="J764" s="36" t="str">
        <f t="shared" si="401"/>
        <v>Vận động theo nhạc -TTH2</v>
      </c>
    </row>
    <row r="765" spans="1:10" x14ac:dyDescent="0.25">
      <c r="A765" s="29" t="str">
        <f t="shared" si="396"/>
        <v>5Chiều5</v>
      </c>
      <c r="B765" s="29" t="str">
        <f t="shared" si="397"/>
        <v>5Chiều5</v>
      </c>
      <c r="C765" s="29" t="str">
        <f t="shared" si="398"/>
        <v/>
      </c>
      <c r="D765" s="29" t="str">
        <f t="shared" si="399"/>
        <v/>
      </c>
      <c r="E765" s="29" t="s">
        <v>91</v>
      </c>
      <c r="F765" s="29">
        <v>5</v>
      </c>
      <c r="G765" s="29" t="s">
        <v>4</v>
      </c>
      <c r="H765" s="29">
        <v>5</v>
      </c>
      <c r="I765" s="36" t="str">
        <f t="shared" ref="I765:J765" si="402">AL105</f>
        <v/>
      </c>
      <c r="J765" s="36" t="str">
        <f t="shared" si="402"/>
        <v/>
      </c>
    </row>
    <row r="766" spans="1:10" x14ac:dyDescent="0.25">
      <c r="A766" s="29" t="str">
        <f t="shared" si="396"/>
        <v>6Sáng1</v>
      </c>
      <c r="B766" s="29" t="str">
        <f t="shared" si="397"/>
        <v>6Sáng1Trang ÂN</v>
      </c>
      <c r="C766" s="29" t="str">
        <f t="shared" si="398"/>
        <v/>
      </c>
      <c r="D766" s="29" t="str">
        <f t="shared" si="399"/>
        <v/>
      </c>
      <c r="E766" s="29" t="s">
        <v>91</v>
      </c>
      <c r="F766" s="29">
        <v>6</v>
      </c>
      <c r="G766" s="29" t="s">
        <v>3</v>
      </c>
      <c r="H766" s="29">
        <v>1</v>
      </c>
      <c r="I766" s="36" t="str">
        <f t="shared" ref="I766:J766" si="403">AL106</f>
        <v>Trang ÂN</v>
      </c>
      <c r="J766" s="36" t="str">
        <f t="shared" si="403"/>
        <v>Nhạc -TTH2</v>
      </c>
    </row>
    <row r="767" spans="1:10" x14ac:dyDescent="0.25">
      <c r="A767" s="29" t="str">
        <f t="shared" si="396"/>
        <v>6Sáng2</v>
      </c>
      <c r="B767" s="29" t="str">
        <f t="shared" si="397"/>
        <v>6Sáng2MN1</v>
      </c>
      <c r="C767" s="29" t="str">
        <f t="shared" si="398"/>
        <v/>
      </c>
      <c r="D767" s="29" t="str">
        <f t="shared" si="399"/>
        <v/>
      </c>
      <c r="E767" s="29" t="s">
        <v>91</v>
      </c>
      <c r="F767" s="29">
        <v>6</v>
      </c>
      <c r="G767" s="29" t="s">
        <v>3</v>
      </c>
      <c r="H767" s="29">
        <v>2</v>
      </c>
      <c r="I767" s="36" t="str">
        <f t="shared" ref="I767:J767" si="404">AL107</f>
        <v>MN1</v>
      </c>
      <c r="J767" s="36" t="str">
        <f t="shared" si="404"/>
        <v>TViệt -TTH2</v>
      </c>
    </row>
    <row r="768" spans="1:10" x14ac:dyDescent="0.25">
      <c r="A768" s="29" t="str">
        <f t="shared" si="396"/>
        <v>6Sáng3</v>
      </c>
      <c r="B768" s="29" t="str">
        <f t="shared" si="397"/>
        <v>6Sáng3MN1</v>
      </c>
      <c r="C768" s="29" t="str">
        <f t="shared" si="398"/>
        <v/>
      </c>
      <c r="D768" s="29" t="str">
        <f t="shared" si="399"/>
        <v/>
      </c>
      <c r="E768" s="29" t="s">
        <v>91</v>
      </c>
      <c r="F768" s="29">
        <v>6</v>
      </c>
      <c r="G768" s="29" t="s">
        <v>3</v>
      </c>
      <c r="H768" s="29">
        <v>3</v>
      </c>
      <c r="I768" s="36" t="str">
        <f t="shared" ref="I768:J768" si="405">AL108</f>
        <v>MN1</v>
      </c>
      <c r="J768" s="36" t="str">
        <f t="shared" si="405"/>
        <v>TViệt -TTH2</v>
      </c>
    </row>
    <row r="769" spans="1:10" x14ac:dyDescent="0.25">
      <c r="A769" s="29" t="str">
        <f t="shared" si="396"/>
        <v>6Sáng4Aziz</v>
      </c>
      <c r="B769" s="29" t="str">
        <f t="shared" si="397"/>
        <v>6Sáng4Huyền</v>
      </c>
      <c r="C769" s="29" t="str">
        <f t="shared" si="398"/>
        <v>Aziz</v>
      </c>
      <c r="D769" s="29" t="str">
        <f t="shared" si="399"/>
        <v>Huyền</v>
      </c>
      <c r="E769" s="29" t="s">
        <v>91</v>
      </c>
      <c r="F769" s="29">
        <v>6</v>
      </c>
      <c r="G769" s="29" t="s">
        <v>3</v>
      </c>
      <c r="H769" s="29">
        <v>4</v>
      </c>
      <c r="I769" s="36" t="str">
        <f t="shared" ref="I769:J769" si="406">AL109</f>
        <v>Aziz, Huyền</v>
      </c>
      <c r="J769" s="36" t="str">
        <f t="shared" si="406"/>
        <v>GVNN -TTH2</v>
      </c>
    </row>
    <row r="770" spans="1:10" x14ac:dyDescent="0.25">
      <c r="A770" s="29" t="str">
        <f t="shared" si="396"/>
        <v>6Sáng5</v>
      </c>
      <c r="B770" s="29" t="str">
        <f t="shared" si="397"/>
        <v>6Sáng5</v>
      </c>
      <c r="C770" s="29" t="str">
        <f t="shared" si="398"/>
        <v/>
      </c>
      <c r="D770" s="29" t="str">
        <f t="shared" si="399"/>
        <v/>
      </c>
      <c r="E770" s="29" t="s">
        <v>91</v>
      </c>
      <c r="F770" s="29">
        <v>6</v>
      </c>
      <c r="G770" s="29" t="s">
        <v>3</v>
      </c>
      <c r="H770" s="29">
        <v>5</v>
      </c>
      <c r="I770" s="36" t="str">
        <f t="shared" ref="I770:J770" si="407">AL110</f>
        <v/>
      </c>
      <c r="J770" s="36" t="str">
        <f t="shared" si="407"/>
        <v/>
      </c>
    </row>
    <row r="771" spans="1:10" x14ac:dyDescent="0.25">
      <c r="A771" s="29" t="str">
        <f t="shared" si="396"/>
        <v>6Chiều1</v>
      </c>
      <c r="B771" s="29" t="str">
        <f t="shared" si="397"/>
        <v>6Chiều1MN1</v>
      </c>
      <c r="C771" s="29" t="str">
        <f t="shared" si="398"/>
        <v/>
      </c>
      <c r="D771" s="29" t="str">
        <f t="shared" si="399"/>
        <v/>
      </c>
      <c r="E771" s="29" t="s">
        <v>91</v>
      </c>
      <c r="F771" s="29">
        <v>6</v>
      </c>
      <c r="G771" s="29" t="s">
        <v>4</v>
      </c>
      <c r="H771" s="29">
        <v>1</v>
      </c>
      <c r="I771" s="36" t="str">
        <f t="shared" ref="I771:J771" si="408">AL111</f>
        <v>MN1</v>
      </c>
      <c r="J771" s="36" t="str">
        <f t="shared" si="408"/>
        <v>HĐ tự chọn -TTH2</v>
      </c>
    </row>
    <row r="772" spans="1:10" x14ac:dyDescent="0.25">
      <c r="A772" s="29" t="str">
        <f t="shared" si="396"/>
        <v>6Chiều2</v>
      </c>
      <c r="B772" s="29" t="str">
        <f t="shared" si="397"/>
        <v>6Chiều2MN1</v>
      </c>
      <c r="C772" s="29" t="str">
        <f t="shared" si="398"/>
        <v/>
      </c>
      <c r="D772" s="29" t="str">
        <f t="shared" si="399"/>
        <v/>
      </c>
      <c r="E772" s="29" t="s">
        <v>91</v>
      </c>
      <c r="F772" s="29">
        <v>6</v>
      </c>
      <c r="G772" s="29" t="s">
        <v>4</v>
      </c>
      <c r="H772" s="29">
        <v>2</v>
      </c>
      <c r="I772" s="36" t="str">
        <f t="shared" ref="I772:J772" si="409">AL112</f>
        <v>MN1</v>
      </c>
      <c r="J772" s="36" t="str">
        <f t="shared" si="409"/>
        <v>Cảm xúc xã hội -TTH2</v>
      </c>
    </row>
    <row r="773" spans="1:10" x14ac:dyDescent="0.25">
      <c r="A773" s="29" t="str">
        <f t="shared" si="396"/>
        <v>6Chiều3</v>
      </c>
      <c r="B773" s="29" t="str">
        <f t="shared" si="397"/>
        <v>6Chiều3MN1</v>
      </c>
      <c r="C773" s="29" t="str">
        <f t="shared" si="398"/>
        <v/>
      </c>
      <c r="D773" s="29" t="str">
        <f t="shared" si="399"/>
        <v/>
      </c>
      <c r="E773" s="29" t="s">
        <v>91</v>
      </c>
      <c r="F773" s="29">
        <v>6</v>
      </c>
      <c r="G773" s="29" t="s">
        <v>4</v>
      </c>
      <c r="H773" s="29">
        <v>3</v>
      </c>
      <c r="I773" s="36" t="str">
        <f t="shared" ref="I773:J773" si="410">AL113</f>
        <v>MN1</v>
      </c>
      <c r="J773" s="36" t="str">
        <f t="shared" si="410"/>
        <v>Toán -TTH2</v>
      </c>
    </row>
    <row r="774" spans="1:10" x14ac:dyDescent="0.25">
      <c r="A774" s="29" t="str">
        <f t="shared" si="396"/>
        <v>6Chiều4Aziz</v>
      </c>
      <c r="B774" s="29" t="str">
        <f t="shared" si="397"/>
        <v>6Chiều4Huyền</v>
      </c>
      <c r="C774" s="29" t="str">
        <f t="shared" si="398"/>
        <v>Aziz</v>
      </c>
      <c r="D774" s="29" t="str">
        <f t="shared" si="399"/>
        <v>Huyền</v>
      </c>
      <c r="E774" s="29" t="s">
        <v>91</v>
      </c>
      <c r="F774" s="29">
        <v>6</v>
      </c>
      <c r="G774" s="29" t="s">
        <v>4</v>
      </c>
      <c r="H774" s="29">
        <v>4</v>
      </c>
      <c r="I774" s="36" t="str">
        <f t="shared" ref="I774:J774" si="411">AL114</f>
        <v>Aziz, Huyền</v>
      </c>
      <c r="J774" s="36" t="str">
        <f t="shared" si="411"/>
        <v>GVNN -TTH2</v>
      </c>
    </row>
    <row r="775" spans="1:10" x14ac:dyDescent="0.25">
      <c r="A775" s="29" t="str">
        <f t="shared" si="396"/>
        <v>6Chiều5</v>
      </c>
      <c r="B775" s="29" t="str">
        <f t="shared" si="397"/>
        <v>6Chiều5</v>
      </c>
      <c r="C775" s="29" t="str">
        <f t="shared" si="398"/>
        <v/>
      </c>
      <c r="D775" s="29" t="str">
        <f t="shared" si="399"/>
        <v/>
      </c>
      <c r="E775" s="29" t="s">
        <v>91</v>
      </c>
      <c r="F775" s="29">
        <v>6</v>
      </c>
      <c r="G775" s="29" t="s">
        <v>4</v>
      </c>
      <c r="H775" s="29">
        <v>5</v>
      </c>
      <c r="I775" s="36" t="str">
        <f t="shared" ref="I775:J775" si="412">AL115</f>
        <v/>
      </c>
      <c r="J775" s="36" t="str">
        <f t="shared" si="412"/>
        <v/>
      </c>
    </row>
    <row r="776" spans="1:10" x14ac:dyDescent="0.25">
      <c r="A776" s="29" t="str">
        <f t="shared" si="396"/>
        <v>7Sáng1</v>
      </c>
      <c r="B776" s="29" t="str">
        <f t="shared" si="397"/>
        <v>7Sáng1</v>
      </c>
      <c r="C776" s="29" t="str">
        <f t="shared" si="398"/>
        <v/>
      </c>
      <c r="D776" s="29" t="str">
        <f t="shared" si="399"/>
        <v/>
      </c>
      <c r="E776" s="29" t="s">
        <v>91</v>
      </c>
      <c r="F776" s="29">
        <v>7</v>
      </c>
      <c r="G776" s="29" t="s">
        <v>3</v>
      </c>
      <c r="H776" s="29">
        <v>1</v>
      </c>
      <c r="I776" s="36" t="str">
        <f t="shared" ref="I776:J776" si="413">AL116</f>
        <v/>
      </c>
      <c r="J776" s="36" t="str">
        <f t="shared" si="413"/>
        <v/>
      </c>
    </row>
    <row r="777" spans="1:10" x14ac:dyDescent="0.25">
      <c r="A777" s="29" t="str">
        <f t="shared" si="396"/>
        <v>7Sáng2</v>
      </c>
      <c r="B777" s="29" t="str">
        <f t="shared" si="397"/>
        <v>7Sáng2</v>
      </c>
      <c r="C777" s="29" t="str">
        <f t="shared" si="398"/>
        <v/>
      </c>
      <c r="D777" s="29" t="str">
        <f t="shared" si="399"/>
        <v/>
      </c>
      <c r="E777" s="29" t="s">
        <v>91</v>
      </c>
      <c r="F777" s="29">
        <v>7</v>
      </c>
      <c r="G777" s="29" t="s">
        <v>3</v>
      </c>
      <c r="H777" s="29">
        <v>2</v>
      </c>
      <c r="I777" s="36" t="str">
        <f t="shared" ref="I777:J777" si="414">AL117</f>
        <v/>
      </c>
      <c r="J777" s="36" t="str">
        <f t="shared" si="414"/>
        <v/>
      </c>
    </row>
    <row r="778" spans="1:10" x14ac:dyDescent="0.25">
      <c r="A778" s="29" t="str">
        <f t="shared" si="396"/>
        <v>7Sáng3</v>
      </c>
      <c r="B778" s="29" t="str">
        <f t="shared" si="397"/>
        <v>7Sáng3</v>
      </c>
      <c r="C778" s="29" t="str">
        <f t="shared" si="398"/>
        <v/>
      </c>
      <c r="D778" s="29" t="str">
        <f t="shared" si="399"/>
        <v/>
      </c>
      <c r="E778" s="29" t="s">
        <v>91</v>
      </c>
      <c r="F778" s="29">
        <v>7</v>
      </c>
      <c r="G778" s="29" t="s">
        <v>3</v>
      </c>
      <c r="H778" s="29">
        <v>3</v>
      </c>
      <c r="I778" s="36" t="str">
        <f t="shared" ref="I778:J778" si="415">AL118</f>
        <v/>
      </c>
      <c r="J778" s="36" t="str">
        <f t="shared" si="415"/>
        <v/>
      </c>
    </row>
    <row r="779" spans="1:10" x14ac:dyDescent="0.25">
      <c r="A779" s="29" t="str">
        <f t="shared" si="396"/>
        <v>7Sáng4</v>
      </c>
      <c r="B779" s="29" t="str">
        <f t="shared" si="397"/>
        <v>7Sáng4</v>
      </c>
      <c r="C779" s="29" t="str">
        <f t="shared" si="398"/>
        <v/>
      </c>
      <c r="D779" s="29" t="str">
        <f t="shared" si="399"/>
        <v/>
      </c>
      <c r="E779" s="29" t="s">
        <v>91</v>
      </c>
      <c r="F779" s="29">
        <v>7</v>
      </c>
      <c r="G779" s="29" t="s">
        <v>3</v>
      </c>
      <c r="H779" s="29">
        <v>4</v>
      </c>
      <c r="I779" s="36" t="str">
        <f t="shared" ref="I779:J779" si="416">AL119</f>
        <v/>
      </c>
      <c r="J779" s="36" t="str">
        <f t="shared" si="416"/>
        <v/>
      </c>
    </row>
    <row r="780" spans="1:10" x14ac:dyDescent="0.25">
      <c r="A780" s="29" t="str">
        <f t="shared" si="396"/>
        <v>7Sáng5</v>
      </c>
      <c r="B780" s="29" t="str">
        <f t="shared" si="397"/>
        <v>7Sáng5</v>
      </c>
      <c r="C780" s="29" t="str">
        <f t="shared" si="398"/>
        <v/>
      </c>
      <c r="D780" s="29" t="str">
        <f t="shared" si="399"/>
        <v/>
      </c>
      <c r="E780" s="29" t="s">
        <v>91</v>
      </c>
      <c r="F780" s="29">
        <v>7</v>
      </c>
      <c r="G780" s="29" t="s">
        <v>3</v>
      </c>
      <c r="H780" s="29">
        <v>5</v>
      </c>
      <c r="I780" s="36" t="str">
        <f t="shared" ref="I780:J780" si="417">AL120</f>
        <v/>
      </c>
      <c r="J780" s="36" t="str">
        <f t="shared" si="417"/>
        <v/>
      </c>
    </row>
    <row r="781" spans="1:10" x14ac:dyDescent="0.25">
      <c r="A781" s="29" t="str">
        <f t="shared" si="396"/>
        <v>7Chiều1</v>
      </c>
      <c r="B781" s="29" t="str">
        <f t="shared" si="397"/>
        <v>7Chiều1</v>
      </c>
      <c r="C781" s="29" t="str">
        <f t="shared" si="398"/>
        <v/>
      </c>
      <c r="D781" s="29" t="str">
        <f t="shared" si="399"/>
        <v/>
      </c>
      <c r="E781" s="29" t="s">
        <v>91</v>
      </c>
      <c r="F781" s="29">
        <v>7</v>
      </c>
      <c r="G781" s="29" t="s">
        <v>4</v>
      </c>
      <c r="H781" s="29">
        <v>1</v>
      </c>
      <c r="I781" s="36" t="str">
        <f t="shared" ref="I781:J781" si="418">AL121</f>
        <v/>
      </c>
      <c r="J781" s="36" t="str">
        <f t="shared" si="418"/>
        <v/>
      </c>
    </row>
    <row r="782" spans="1:10" x14ac:dyDescent="0.25">
      <c r="A782" s="29" t="str">
        <f t="shared" si="396"/>
        <v>7Chiều2</v>
      </c>
      <c r="B782" s="29" t="str">
        <f t="shared" si="397"/>
        <v>7Chiều2</v>
      </c>
      <c r="C782" s="29" t="str">
        <f t="shared" si="398"/>
        <v/>
      </c>
      <c r="D782" s="29" t="str">
        <f t="shared" si="399"/>
        <v/>
      </c>
      <c r="E782" s="29" t="s">
        <v>91</v>
      </c>
      <c r="F782" s="29">
        <v>7</v>
      </c>
      <c r="G782" s="29" t="s">
        <v>4</v>
      </c>
      <c r="H782" s="29">
        <v>2</v>
      </c>
      <c r="I782" s="36" t="str">
        <f t="shared" ref="I782:J782" si="419">AL122</f>
        <v/>
      </c>
      <c r="J782" s="36" t="str">
        <f t="shared" si="419"/>
        <v/>
      </c>
    </row>
    <row r="783" spans="1:10" x14ac:dyDescent="0.25">
      <c r="A783" s="29" t="str">
        <f t="shared" si="396"/>
        <v>7Chiều3</v>
      </c>
      <c r="B783" s="29" t="str">
        <f t="shared" si="397"/>
        <v>7Chiều3</v>
      </c>
      <c r="C783" s="29" t="str">
        <f t="shared" si="398"/>
        <v/>
      </c>
      <c r="D783" s="29" t="str">
        <f t="shared" si="399"/>
        <v/>
      </c>
      <c r="E783" s="29" t="s">
        <v>91</v>
      </c>
      <c r="F783" s="29">
        <v>7</v>
      </c>
      <c r="G783" s="29" t="s">
        <v>4</v>
      </c>
      <c r="H783" s="29">
        <v>3</v>
      </c>
      <c r="I783" s="36" t="str">
        <f t="shared" ref="I783:J783" si="420">AL123</f>
        <v/>
      </c>
      <c r="J783" s="36" t="str">
        <f t="shared" si="420"/>
        <v/>
      </c>
    </row>
    <row r="784" spans="1:10" x14ac:dyDescent="0.25">
      <c r="A784" s="29" t="str">
        <f t="shared" si="396"/>
        <v>7Chiều4</v>
      </c>
      <c r="B784" s="29" t="str">
        <f t="shared" si="397"/>
        <v>7Chiều4</v>
      </c>
      <c r="C784" s="29" t="str">
        <f t="shared" si="398"/>
        <v/>
      </c>
      <c r="D784" s="29" t="str">
        <f t="shared" si="399"/>
        <v/>
      </c>
      <c r="E784" s="29" t="s">
        <v>91</v>
      </c>
      <c r="F784" s="29">
        <v>7</v>
      </c>
      <c r="G784" s="29" t="s">
        <v>4</v>
      </c>
      <c r="H784" s="29">
        <v>4</v>
      </c>
      <c r="I784" s="36" t="str">
        <f t="shared" ref="I784:J784" si="421">AL124</f>
        <v/>
      </c>
      <c r="J784" s="36" t="str">
        <f t="shared" si="421"/>
        <v/>
      </c>
    </row>
    <row r="785" spans="1:10" x14ac:dyDescent="0.25">
      <c r="A785" s="29" t="str">
        <f t="shared" si="396"/>
        <v>7Chiều5</v>
      </c>
      <c r="B785" s="29" t="str">
        <f t="shared" si="397"/>
        <v>7Chiều5</v>
      </c>
      <c r="C785" s="29" t="str">
        <f t="shared" si="398"/>
        <v/>
      </c>
      <c r="D785" s="29" t="str">
        <f t="shared" si="399"/>
        <v/>
      </c>
      <c r="E785" s="29" t="s">
        <v>91</v>
      </c>
      <c r="F785" s="29">
        <v>7</v>
      </c>
      <c r="G785" s="29" t="s">
        <v>4</v>
      </c>
      <c r="H785" s="29">
        <v>5</v>
      </c>
      <c r="I785" s="36" t="str">
        <f t="shared" ref="I785:J785" si="422">AL125</f>
        <v/>
      </c>
      <c r="J785" s="36" t="str">
        <f t="shared" si="422"/>
        <v/>
      </c>
    </row>
    <row r="786" spans="1:10" x14ac:dyDescent="0.25">
      <c r="A786" s="29" t="str">
        <f t="shared" si="396"/>
        <v>2Sáng1</v>
      </c>
      <c r="B786" s="29" t="str">
        <f t="shared" si="397"/>
        <v>2Sáng1Hà</v>
      </c>
      <c r="C786" s="29" t="str">
        <f t="shared" si="398"/>
        <v/>
      </c>
      <c r="D786" s="29" t="str">
        <f t="shared" si="399"/>
        <v/>
      </c>
      <c r="E786" s="29" t="s">
        <v>16</v>
      </c>
      <c r="F786" s="29">
        <v>2</v>
      </c>
      <c r="G786" s="29" t="s">
        <v>3</v>
      </c>
      <c r="H786" s="29">
        <v>1</v>
      </c>
      <c r="I786" s="36" t="str">
        <f>AD66</f>
        <v>Hà</v>
      </c>
      <c r="J786" s="36" t="str">
        <f>AE66</f>
        <v>LS&amp;ĐL -6A1</v>
      </c>
    </row>
    <row r="787" spans="1:10" x14ac:dyDescent="0.25">
      <c r="A787" s="29" t="str">
        <f t="shared" si="396"/>
        <v>2Sáng2</v>
      </c>
      <c r="B787" s="29" t="str">
        <f t="shared" si="397"/>
        <v>2Sáng2Chánh</v>
      </c>
      <c r="C787" s="29" t="str">
        <f t="shared" si="398"/>
        <v/>
      </c>
      <c r="D787" s="29" t="str">
        <f t="shared" si="399"/>
        <v/>
      </c>
      <c r="E787" s="29" t="s">
        <v>16</v>
      </c>
      <c r="F787" s="29">
        <v>2</v>
      </c>
      <c r="G787" s="29" t="s">
        <v>3</v>
      </c>
      <c r="H787" s="29">
        <v>2</v>
      </c>
      <c r="I787" s="36" t="str">
        <f t="shared" ref="I787:J787" si="423">AD67</f>
        <v>Chánh</v>
      </c>
      <c r="J787" s="36" t="str">
        <f t="shared" si="423"/>
        <v>GVVN -6A1</v>
      </c>
    </row>
    <row r="788" spans="1:10" x14ac:dyDescent="0.25">
      <c r="A788" s="29" t="str">
        <f t="shared" si="396"/>
        <v>2Sáng3Tay</v>
      </c>
      <c r="B788" s="29" t="str">
        <f t="shared" si="397"/>
        <v>2Sáng3Chánh</v>
      </c>
      <c r="C788" s="29" t="str">
        <f t="shared" si="398"/>
        <v>Tay</v>
      </c>
      <c r="D788" s="29" t="str">
        <f t="shared" si="399"/>
        <v>Chánh</v>
      </c>
      <c r="E788" s="29" t="s">
        <v>16</v>
      </c>
      <c r="F788" s="29">
        <v>2</v>
      </c>
      <c r="G788" s="29" t="s">
        <v>3</v>
      </c>
      <c r="H788" s="29">
        <v>3</v>
      </c>
      <c r="I788" s="36" t="str">
        <f t="shared" ref="I788:J788" si="424">AD68</f>
        <v>Tay, Chánh</v>
      </c>
      <c r="J788" s="36" t="str">
        <f t="shared" si="424"/>
        <v>GVNN -6A1</v>
      </c>
    </row>
    <row r="789" spans="1:10" x14ac:dyDescent="0.25">
      <c r="A789" s="29" t="str">
        <f t="shared" si="396"/>
        <v>2Sáng4</v>
      </c>
      <c r="B789" s="29" t="str">
        <f t="shared" si="397"/>
        <v>2Sáng4Trang ÂN</v>
      </c>
      <c r="C789" s="29" t="str">
        <f t="shared" si="398"/>
        <v/>
      </c>
      <c r="D789" s="29" t="str">
        <f t="shared" si="399"/>
        <v/>
      </c>
      <c r="E789" s="29" t="s">
        <v>16</v>
      </c>
      <c r="F789" s="29">
        <v>2</v>
      </c>
      <c r="G789" s="29" t="s">
        <v>3</v>
      </c>
      <c r="H789" s="29">
        <v>4</v>
      </c>
      <c r="I789" s="36" t="str">
        <f t="shared" ref="I789:J789" si="425">AD69</f>
        <v>Trang ÂN</v>
      </c>
      <c r="J789" s="36" t="str">
        <f t="shared" si="425"/>
        <v>Nhạc -6A1</v>
      </c>
    </row>
    <row r="790" spans="1:10" x14ac:dyDescent="0.25">
      <c r="A790" s="29" t="str">
        <f t="shared" si="396"/>
        <v>2Sáng5</v>
      </c>
      <c r="B790" s="29" t="str">
        <f t="shared" si="397"/>
        <v>2Sáng5Tân</v>
      </c>
      <c r="C790" s="29" t="str">
        <f t="shared" si="398"/>
        <v/>
      </c>
      <c r="D790" s="29" t="str">
        <f t="shared" si="399"/>
        <v/>
      </c>
      <c r="E790" s="29" t="s">
        <v>16</v>
      </c>
      <c r="F790" s="29">
        <v>2</v>
      </c>
      <c r="G790" s="29" t="s">
        <v>3</v>
      </c>
      <c r="H790" s="29">
        <v>5</v>
      </c>
      <c r="I790" s="36" t="str">
        <f t="shared" ref="I790:J790" si="426">AD70</f>
        <v>Tân</v>
      </c>
      <c r="J790" s="36" t="str">
        <f t="shared" si="426"/>
        <v>Toán -6A1</v>
      </c>
    </row>
    <row r="791" spans="1:10" x14ac:dyDescent="0.25">
      <c r="A791" s="29" t="str">
        <f t="shared" si="396"/>
        <v>2Chiều1</v>
      </c>
      <c r="B791" s="29" t="str">
        <f t="shared" si="397"/>
        <v>2Chiều1Ánh NV</v>
      </c>
      <c r="C791" s="29" t="str">
        <f t="shared" si="398"/>
        <v/>
      </c>
      <c r="D791" s="29" t="str">
        <f t="shared" si="399"/>
        <v/>
      </c>
      <c r="E791" s="29" t="s">
        <v>16</v>
      </c>
      <c r="F791" s="29">
        <v>2</v>
      </c>
      <c r="G791" s="29" t="s">
        <v>4</v>
      </c>
      <c r="H791" s="29">
        <v>1</v>
      </c>
      <c r="I791" s="36" t="str">
        <f t="shared" ref="I791:J791" si="427">AD71</f>
        <v>Ánh NV</v>
      </c>
      <c r="J791" s="36" t="str">
        <f t="shared" si="427"/>
        <v>GDĐP -6A1</v>
      </c>
    </row>
    <row r="792" spans="1:10" x14ac:dyDescent="0.25">
      <c r="A792" s="29" t="str">
        <f t="shared" si="396"/>
        <v>2Chiều2</v>
      </c>
      <c r="B792" s="29" t="str">
        <f t="shared" si="397"/>
        <v>2Chiều2Hà</v>
      </c>
      <c r="C792" s="29" t="str">
        <f t="shared" si="398"/>
        <v/>
      </c>
      <c r="D792" s="29" t="str">
        <f t="shared" si="399"/>
        <v/>
      </c>
      <c r="E792" s="29" t="s">
        <v>16</v>
      </c>
      <c r="F792" s="29">
        <v>2</v>
      </c>
      <c r="G792" s="29" t="s">
        <v>4</v>
      </c>
      <c r="H792" s="29">
        <v>2</v>
      </c>
      <c r="I792" s="36" t="str">
        <f t="shared" ref="I792:J792" si="428">AD72</f>
        <v>Hà</v>
      </c>
      <c r="J792" s="36" t="str">
        <f t="shared" si="428"/>
        <v>Văn -6A1</v>
      </c>
    </row>
    <row r="793" spans="1:10" x14ac:dyDescent="0.25">
      <c r="A793" s="29" t="str">
        <f t="shared" si="396"/>
        <v>2Chiều3</v>
      </c>
      <c r="B793" s="29" t="str">
        <f t="shared" si="397"/>
        <v>2Chiều3Hà</v>
      </c>
      <c r="C793" s="29" t="str">
        <f t="shared" si="398"/>
        <v/>
      </c>
      <c r="D793" s="29" t="str">
        <f t="shared" si="399"/>
        <v/>
      </c>
      <c r="E793" s="29" t="s">
        <v>16</v>
      </c>
      <c r="F793" s="29">
        <v>2</v>
      </c>
      <c r="G793" s="29" t="s">
        <v>4</v>
      </c>
      <c r="H793" s="29">
        <v>3</v>
      </c>
      <c r="I793" s="36" t="str">
        <f t="shared" ref="I793:J793" si="429">AD73</f>
        <v>Hà</v>
      </c>
      <c r="J793" s="36" t="str">
        <f t="shared" si="429"/>
        <v>Văn -6A1</v>
      </c>
    </row>
    <row r="794" spans="1:10" x14ac:dyDescent="0.25">
      <c r="A794" s="29" t="str">
        <f t="shared" si="396"/>
        <v>2Chiều4</v>
      </c>
      <c r="B794" s="29" t="str">
        <f t="shared" si="397"/>
        <v>2Chiều4Châu</v>
      </c>
      <c r="C794" s="29" t="str">
        <f t="shared" si="398"/>
        <v/>
      </c>
      <c r="D794" s="29" t="str">
        <f t="shared" si="399"/>
        <v/>
      </c>
      <c r="E794" s="29" t="s">
        <v>16</v>
      </c>
      <c r="F794" s="29">
        <v>2</v>
      </c>
      <c r="G794" s="29" t="s">
        <v>4</v>
      </c>
      <c r="H794" s="29">
        <v>4</v>
      </c>
      <c r="I794" s="36" t="str">
        <f t="shared" ref="I794:J794" si="430">AD74</f>
        <v>Châu</v>
      </c>
      <c r="J794" s="36" t="str">
        <f t="shared" si="430"/>
        <v>Tiếng Trung -6A1</v>
      </c>
    </row>
    <row r="795" spans="1:10" x14ac:dyDescent="0.25">
      <c r="A795" s="29" t="str">
        <f t="shared" si="396"/>
        <v>2Chiều5</v>
      </c>
      <c r="B795" s="29" t="str">
        <f t="shared" si="397"/>
        <v>2Chiều5</v>
      </c>
      <c r="C795" s="29" t="str">
        <f t="shared" si="398"/>
        <v/>
      </c>
      <c r="D795" s="29" t="str">
        <f t="shared" si="399"/>
        <v/>
      </c>
      <c r="E795" s="29" t="s">
        <v>16</v>
      </c>
      <c r="F795" s="29">
        <v>2</v>
      </c>
      <c r="G795" s="29" t="s">
        <v>4</v>
      </c>
      <c r="H795" s="29">
        <v>5</v>
      </c>
      <c r="I795" s="36" t="str">
        <f t="shared" ref="I795:J795" si="431">AD75</f>
        <v/>
      </c>
      <c r="J795" s="36" t="str">
        <f t="shared" si="431"/>
        <v/>
      </c>
    </row>
    <row r="796" spans="1:10" x14ac:dyDescent="0.25">
      <c r="A796" s="29" t="str">
        <f t="shared" si="396"/>
        <v>3Sáng1</v>
      </c>
      <c r="B796" s="29" t="str">
        <f t="shared" si="397"/>
        <v>3Sáng1Nhung</v>
      </c>
      <c r="C796" s="29" t="str">
        <f t="shared" si="398"/>
        <v/>
      </c>
      <c r="D796" s="29" t="str">
        <f t="shared" si="399"/>
        <v/>
      </c>
      <c r="E796" s="29" t="s">
        <v>16</v>
      </c>
      <c r="F796" s="29">
        <v>3</v>
      </c>
      <c r="G796" s="29" t="s">
        <v>3</v>
      </c>
      <c r="H796" s="29">
        <v>1</v>
      </c>
      <c r="I796" s="36" t="str">
        <f t="shared" ref="I796:J796" si="432">AD76</f>
        <v>Nhung</v>
      </c>
      <c r="J796" s="36" t="str">
        <f t="shared" si="432"/>
        <v>KHTN -6A1</v>
      </c>
    </row>
    <row r="797" spans="1:10" x14ac:dyDescent="0.25">
      <c r="A797" s="29" t="str">
        <f t="shared" si="396"/>
        <v>3Sáng2</v>
      </c>
      <c r="B797" s="29" t="str">
        <f t="shared" si="397"/>
        <v>3Sáng2Nhung</v>
      </c>
      <c r="C797" s="29" t="str">
        <f t="shared" si="398"/>
        <v/>
      </c>
      <c r="D797" s="29" t="str">
        <f t="shared" si="399"/>
        <v/>
      </c>
      <c r="E797" s="29" t="s">
        <v>16</v>
      </c>
      <c r="F797" s="29">
        <v>3</v>
      </c>
      <c r="G797" s="29" t="s">
        <v>3</v>
      </c>
      <c r="H797" s="29">
        <v>2</v>
      </c>
      <c r="I797" s="36" t="str">
        <f t="shared" ref="I797:J797" si="433">AD77</f>
        <v>Nhung</v>
      </c>
      <c r="J797" s="36" t="str">
        <f t="shared" si="433"/>
        <v>KHTN -6A1</v>
      </c>
    </row>
    <row r="798" spans="1:10" x14ac:dyDescent="0.25">
      <c r="A798" s="29" t="str">
        <f t="shared" si="396"/>
        <v>3Sáng3</v>
      </c>
      <c r="B798" s="29" t="str">
        <f t="shared" si="397"/>
        <v>3Sáng3Hà</v>
      </c>
      <c r="C798" s="29" t="str">
        <f t="shared" si="398"/>
        <v/>
      </c>
      <c r="D798" s="29" t="str">
        <f t="shared" si="399"/>
        <v/>
      </c>
      <c r="E798" s="29" t="s">
        <v>16</v>
      </c>
      <c r="F798" s="29">
        <v>3</v>
      </c>
      <c r="G798" s="29" t="s">
        <v>3</v>
      </c>
      <c r="H798" s="29">
        <v>3</v>
      </c>
      <c r="I798" s="36" t="str">
        <f t="shared" ref="I798:J798" si="434">AD78</f>
        <v>Hà</v>
      </c>
      <c r="J798" s="36" t="str">
        <f t="shared" si="434"/>
        <v>Văn -6A1</v>
      </c>
    </row>
    <row r="799" spans="1:10" x14ac:dyDescent="0.25">
      <c r="A799" s="29" t="str">
        <f t="shared" si="396"/>
        <v>3Sáng4Tay</v>
      </c>
      <c r="B799" s="29" t="str">
        <f t="shared" si="397"/>
        <v>3Sáng4Chánh</v>
      </c>
      <c r="C799" s="29" t="str">
        <f t="shared" si="398"/>
        <v>Tay</v>
      </c>
      <c r="D799" s="29" t="str">
        <f t="shared" si="399"/>
        <v>Chánh</v>
      </c>
      <c r="E799" s="29" t="s">
        <v>16</v>
      </c>
      <c r="F799" s="29">
        <v>3</v>
      </c>
      <c r="G799" s="29" t="s">
        <v>3</v>
      </c>
      <c r="H799" s="29">
        <v>4</v>
      </c>
      <c r="I799" s="36" t="str">
        <f t="shared" ref="I799:J799" si="435">AD79</f>
        <v>Tay, Chánh</v>
      </c>
      <c r="J799" s="36" t="str">
        <f t="shared" si="435"/>
        <v>GVNN -6A1</v>
      </c>
    </row>
    <row r="800" spans="1:10" x14ac:dyDescent="0.25">
      <c r="A800" s="29" t="str">
        <f t="shared" si="396"/>
        <v>3Sáng5Tay</v>
      </c>
      <c r="B800" s="29" t="str">
        <f t="shared" si="397"/>
        <v>3Sáng5Chánh</v>
      </c>
      <c r="C800" s="29" t="str">
        <f t="shared" si="398"/>
        <v>Tay</v>
      </c>
      <c r="D800" s="29" t="str">
        <f t="shared" si="399"/>
        <v>Chánh</v>
      </c>
      <c r="E800" s="29" t="s">
        <v>16</v>
      </c>
      <c r="F800" s="29">
        <v>3</v>
      </c>
      <c r="G800" s="29" t="s">
        <v>3</v>
      </c>
      <c r="H800" s="29">
        <v>5</v>
      </c>
      <c r="I800" s="36" t="str">
        <f t="shared" ref="I800:J800" si="436">AD80</f>
        <v>Tay, Chánh</v>
      </c>
      <c r="J800" s="36" t="str">
        <f t="shared" si="436"/>
        <v>GVNN -6A1</v>
      </c>
    </row>
    <row r="801" spans="1:10" x14ac:dyDescent="0.25">
      <c r="A801" s="29" t="str">
        <f t="shared" si="396"/>
        <v>3Chiều1</v>
      </c>
      <c r="B801" s="29" t="str">
        <f t="shared" si="397"/>
        <v>3Chiều1Tân</v>
      </c>
      <c r="C801" s="29" t="str">
        <f t="shared" si="398"/>
        <v/>
      </c>
      <c r="D801" s="29" t="str">
        <f t="shared" si="399"/>
        <v/>
      </c>
      <c r="E801" s="29" t="s">
        <v>16</v>
      </c>
      <c r="F801" s="29">
        <v>3</v>
      </c>
      <c r="G801" s="29" t="s">
        <v>4</v>
      </c>
      <c r="H801" s="29">
        <v>1</v>
      </c>
      <c r="I801" s="36" t="str">
        <f t="shared" ref="I801:J801" si="437">AD81</f>
        <v>Tân</v>
      </c>
      <c r="J801" s="36" t="str">
        <f t="shared" si="437"/>
        <v>Toán -6A1</v>
      </c>
    </row>
    <row r="802" spans="1:10" x14ac:dyDescent="0.25">
      <c r="A802" s="29" t="str">
        <f t="shared" si="396"/>
        <v>3Chiều2</v>
      </c>
      <c r="B802" s="29" t="str">
        <f t="shared" si="397"/>
        <v>3Chiều2Hà</v>
      </c>
      <c r="C802" s="29" t="str">
        <f t="shared" si="398"/>
        <v/>
      </c>
      <c r="D802" s="29" t="str">
        <f t="shared" si="399"/>
        <v/>
      </c>
      <c r="E802" s="29" t="s">
        <v>16</v>
      </c>
      <c r="F802" s="29">
        <v>3</v>
      </c>
      <c r="G802" s="29" t="s">
        <v>4</v>
      </c>
      <c r="H802" s="29">
        <v>2</v>
      </c>
      <c r="I802" s="36" t="str">
        <f t="shared" ref="I802:J802" si="438">AD82</f>
        <v>Hà</v>
      </c>
      <c r="J802" s="36" t="str">
        <f t="shared" si="438"/>
        <v>Văn -6A1</v>
      </c>
    </row>
    <row r="803" spans="1:10" x14ac:dyDescent="0.25">
      <c r="A803" s="29" t="str">
        <f t="shared" si="396"/>
        <v>3Chiều3</v>
      </c>
      <c r="B803" s="29" t="str">
        <f t="shared" si="397"/>
        <v>3Chiều3Hà</v>
      </c>
      <c r="C803" s="29" t="str">
        <f t="shared" si="398"/>
        <v/>
      </c>
      <c r="D803" s="29" t="str">
        <f t="shared" si="399"/>
        <v/>
      </c>
      <c r="E803" s="29" t="s">
        <v>16</v>
      </c>
      <c r="F803" s="29">
        <v>3</v>
      </c>
      <c r="G803" s="29" t="s">
        <v>4</v>
      </c>
      <c r="H803" s="29">
        <v>3</v>
      </c>
      <c r="I803" s="36" t="str">
        <f t="shared" ref="I803:J803" si="439">AD83</f>
        <v>Hà</v>
      </c>
      <c r="J803" s="36" t="str">
        <f t="shared" si="439"/>
        <v>Đọc sách -6A1</v>
      </c>
    </row>
    <row r="804" spans="1:10" x14ac:dyDescent="0.25">
      <c r="A804" s="29" t="str">
        <f t="shared" si="396"/>
        <v>3Chiều4</v>
      </c>
      <c r="B804" s="29" t="str">
        <f t="shared" si="397"/>
        <v>3Chiều4Tân</v>
      </c>
      <c r="C804" s="29" t="str">
        <f t="shared" si="398"/>
        <v/>
      </c>
      <c r="D804" s="29" t="str">
        <f t="shared" si="399"/>
        <v/>
      </c>
      <c r="E804" s="29" t="s">
        <v>16</v>
      </c>
      <c r="F804" s="29">
        <v>3</v>
      </c>
      <c r="G804" s="29" t="s">
        <v>4</v>
      </c>
      <c r="H804" s="29">
        <v>4</v>
      </c>
      <c r="I804" s="36" t="str">
        <f t="shared" ref="I804:J804" si="440">AD84</f>
        <v>Tân</v>
      </c>
      <c r="J804" s="36" t="str">
        <f t="shared" si="440"/>
        <v>Toán -6A1</v>
      </c>
    </row>
    <row r="805" spans="1:10" x14ac:dyDescent="0.25">
      <c r="A805" s="29" t="str">
        <f t="shared" si="396"/>
        <v>3Chiều5</v>
      </c>
      <c r="B805" s="29" t="str">
        <f t="shared" si="397"/>
        <v>3Chiều5</v>
      </c>
      <c r="C805" s="29" t="str">
        <f t="shared" si="398"/>
        <v/>
      </c>
      <c r="D805" s="29" t="str">
        <f t="shared" si="399"/>
        <v/>
      </c>
      <c r="E805" s="29" t="s">
        <v>16</v>
      </c>
      <c r="F805" s="29">
        <v>3</v>
      </c>
      <c r="G805" s="29" t="s">
        <v>4</v>
      </c>
      <c r="H805" s="29">
        <v>5</v>
      </c>
      <c r="I805" s="36" t="str">
        <f t="shared" ref="I805:J805" si="441">AD85</f>
        <v/>
      </c>
      <c r="J805" s="36" t="str">
        <f t="shared" si="441"/>
        <v/>
      </c>
    </row>
    <row r="806" spans="1:10" x14ac:dyDescent="0.25">
      <c r="A806" s="29" t="str">
        <f t="shared" si="396"/>
        <v>4Sáng1</v>
      </c>
      <c r="B806" s="29" t="str">
        <f t="shared" si="397"/>
        <v>4Sáng1Châu</v>
      </c>
      <c r="C806" s="29" t="str">
        <f t="shared" si="398"/>
        <v/>
      </c>
      <c r="D806" s="29" t="str">
        <f t="shared" si="399"/>
        <v/>
      </c>
      <c r="E806" s="29" t="s">
        <v>16</v>
      </c>
      <c r="F806" s="29">
        <v>4</v>
      </c>
      <c r="G806" s="29" t="s">
        <v>3</v>
      </c>
      <c r="H806" s="29">
        <v>1</v>
      </c>
      <c r="I806" s="36" t="str">
        <f t="shared" ref="I806:J806" si="442">AD86</f>
        <v>Châu</v>
      </c>
      <c r="J806" s="36" t="str">
        <f t="shared" si="442"/>
        <v>Tiếng Trung -6A1</v>
      </c>
    </row>
    <row r="807" spans="1:10" x14ac:dyDescent="0.25">
      <c r="A807" s="29" t="str">
        <f t="shared" si="396"/>
        <v>4Sáng2</v>
      </c>
      <c r="B807" s="29" t="str">
        <f t="shared" si="397"/>
        <v>4Sáng2Chánh</v>
      </c>
      <c r="C807" s="29" t="str">
        <f t="shared" si="398"/>
        <v/>
      </c>
      <c r="D807" s="29" t="str">
        <f t="shared" si="399"/>
        <v/>
      </c>
      <c r="E807" s="29" t="s">
        <v>16</v>
      </c>
      <c r="F807" s="29">
        <v>4</v>
      </c>
      <c r="G807" s="29" t="s">
        <v>3</v>
      </c>
      <c r="H807" s="29">
        <v>2</v>
      </c>
      <c r="I807" s="36" t="str">
        <f t="shared" ref="I807:J807" si="443">AD87</f>
        <v>Chánh</v>
      </c>
      <c r="J807" s="36" t="str">
        <f t="shared" si="443"/>
        <v>GVVN -6A1</v>
      </c>
    </row>
    <row r="808" spans="1:10" x14ac:dyDescent="0.25">
      <c r="A808" s="29" t="str">
        <f t="shared" si="396"/>
        <v>4Sáng3</v>
      </c>
      <c r="B808" s="29" t="str">
        <f t="shared" si="397"/>
        <v>4Sáng3Hà</v>
      </c>
      <c r="C808" s="29" t="str">
        <f t="shared" si="398"/>
        <v/>
      </c>
      <c r="D808" s="29" t="str">
        <f t="shared" si="399"/>
        <v/>
      </c>
      <c r="E808" s="29" t="s">
        <v>16</v>
      </c>
      <c r="F808" s="29">
        <v>4</v>
      </c>
      <c r="G808" s="29" t="s">
        <v>3</v>
      </c>
      <c r="H808" s="29">
        <v>3</v>
      </c>
      <c r="I808" s="36" t="str">
        <f t="shared" ref="I808:J808" si="444">AD88</f>
        <v>Hà</v>
      </c>
      <c r="J808" s="36" t="str">
        <f t="shared" si="444"/>
        <v>Văn -6A1</v>
      </c>
    </row>
    <row r="809" spans="1:10" x14ac:dyDescent="0.25">
      <c r="A809" s="29" t="str">
        <f t="shared" si="396"/>
        <v>4Sáng4</v>
      </c>
      <c r="B809" s="29" t="str">
        <f t="shared" si="397"/>
        <v>4Sáng4Hà</v>
      </c>
      <c r="C809" s="29" t="str">
        <f t="shared" si="398"/>
        <v/>
      </c>
      <c r="D809" s="29" t="str">
        <f t="shared" si="399"/>
        <v/>
      </c>
      <c r="E809" s="29" t="s">
        <v>16</v>
      </c>
      <c r="F809" s="29">
        <v>4</v>
      </c>
      <c r="G809" s="29" t="s">
        <v>3</v>
      </c>
      <c r="H809" s="29">
        <v>4</v>
      </c>
      <c r="I809" s="36" t="str">
        <f t="shared" ref="I809:J809" si="445">AD89</f>
        <v>Hà</v>
      </c>
      <c r="J809" s="36" t="str">
        <f t="shared" si="445"/>
        <v>Văn -6A1</v>
      </c>
    </row>
    <row r="810" spans="1:10" x14ac:dyDescent="0.25">
      <c r="A810" s="29" t="str">
        <f t="shared" si="396"/>
        <v>4Sáng5</v>
      </c>
      <c r="B810" s="29" t="str">
        <f t="shared" si="397"/>
        <v>4Sáng5Phương</v>
      </c>
      <c r="C810" s="29" t="str">
        <f t="shared" si="398"/>
        <v/>
      </c>
      <c r="D810" s="29" t="str">
        <f t="shared" si="399"/>
        <v/>
      </c>
      <c r="E810" s="29" t="s">
        <v>16</v>
      </c>
      <c r="F810" s="29">
        <v>4</v>
      </c>
      <c r="G810" s="29" t="s">
        <v>3</v>
      </c>
      <c r="H810" s="29">
        <v>5</v>
      </c>
      <c r="I810" s="36" t="str">
        <f t="shared" ref="I810:J810" si="446">AD90</f>
        <v>Phương</v>
      </c>
      <c r="J810" s="36" t="str">
        <f t="shared" si="446"/>
        <v>Mĩ thuật -6A1</v>
      </c>
    </row>
    <row r="811" spans="1:10" x14ac:dyDescent="0.25">
      <c r="A811" s="29" t="str">
        <f t="shared" si="396"/>
        <v>4Chiều1Tay</v>
      </c>
      <c r="B811" s="29" t="str">
        <f t="shared" si="397"/>
        <v>4Chiều1Chánh</v>
      </c>
      <c r="C811" s="29" t="str">
        <f t="shared" si="398"/>
        <v>Tay</v>
      </c>
      <c r="D811" s="29" t="str">
        <f t="shared" si="399"/>
        <v>Chánh</v>
      </c>
      <c r="E811" s="29" t="s">
        <v>16</v>
      </c>
      <c r="F811" s="29">
        <v>4</v>
      </c>
      <c r="G811" s="29" t="s">
        <v>4</v>
      </c>
      <c r="H811" s="29">
        <v>1</v>
      </c>
      <c r="I811" s="36" t="str">
        <f t="shared" ref="I811:J811" si="447">AD91</f>
        <v>Tay, Chánh</v>
      </c>
      <c r="J811" s="36" t="str">
        <f t="shared" si="447"/>
        <v>GVNN -6A1</v>
      </c>
    </row>
    <row r="812" spans="1:10" x14ac:dyDescent="0.25">
      <c r="A812" s="29" t="str">
        <f t="shared" si="396"/>
        <v>4Chiều2</v>
      </c>
      <c r="B812" s="29" t="str">
        <f t="shared" si="397"/>
        <v>4Chiều2Chánh</v>
      </c>
      <c r="C812" s="29" t="str">
        <f t="shared" si="398"/>
        <v/>
      </c>
      <c r="D812" s="29" t="str">
        <f t="shared" si="399"/>
        <v/>
      </c>
      <c r="E812" s="29" t="s">
        <v>16</v>
      </c>
      <c r="F812" s="29">
        <v>4</v>
      </c>
      <c r="G812" s="29" t="s">
        <v>4</v>
      </c>
      <c r="H812" s="29">
        <v>2</v>
      </c>
      <c r="I812" s="36" t="str">
        <f t="shared" ref="I812:J812" si="448">AD92</f>
        <v>Chánh</v>
      </c>
      <c r="J812" s="36" t="str">
        <f t="shared" si="448"/>
        <v>GVVN -6A1</v>
      </c>
    </row>
    <row r="813" spans="1:10" x14ac:dyDescent="0.25">
      <c r="A813" s="29" t="str">
        <f t="shared" si="396"/>
        <v>4Chiều3Tay</v>
      </c>
      <c r="B813" s="29" t="str">
        <f t="shared" si="397"/>
        <v>4Chiều3Chánh</v>
      </c>
      <c r="C813" s="29" t="str">
        <f t="shared" si="398"/>
        <v>Tay</v>
      </c>
      <c r="D813" s="29" t="str">
        <f t="shared" si="399"/>
        <v>Chánh</v>
      </c>
      <c r="E813" s="29" t="s">
        <v>16</v>
      </c>
      <c r="F813" s="29">
        <v>4</v>
      </c>
      <c r="G813" s="29" t="s">
        <v>4</v>
      </c>
      <c r="H813" s="29">
        <v>3</v>
      </c>
      <c r="I813" s="36" t="str">
        <f t="shared" ref="I813:J813" si="449">AD93</f>
        <v>Tay, Chánh</v>
      </c>
      <c r="J813" s="36" t="str">
        <f t="shared" si="449"/>
        <v>GVNN -6A1</v>
      </c>
    </row>
    <row r="814" spans="1:10" x14ac:dyDescent="0.25">
      <c r="A814" s="29" t="str">
        <f t="shared" si="396"/>
        <v>4Chiều4</v>
      </c>
      <c r="B814" s="29" t="str">
        <f t="shared" si="397"/>
        <v>4Chiều4Hà</v>
      </c>
      <c r="C814" s="29" t="str">
        <f t="shared" si="398"/>
        <v/>
      </c>
      <c r="D814" s="29" t="str">
        <f t="shared" si="399"/>
        <v/>
      </c>
      <c r="E814" s="29" t="s">
        <v>16</v>
      </c>
      <c r="F814" s="29">
        <v>4</v>
      </c>
      <c r="G814" s="29" t="s">
        <v>4</v>
      </c>
      <c r="H814" s="29">
        <v>4</v>
      </c>
      <c r="I814" s="36" t="str">
        <f t="shared" ref="I814:J814" si="450">AD94</f>
        <v>Hà</v>
      </c>
      <c r="J814" s="36" t="str">
        <f t="shared" si="450"/>
        <v>LS&amp;ĐL -6A1</v>
      </c>
    </row>
    <row r="815" spans="1:10" x14ac:dyDescent="0.25">
      <c r="A815" s="29" t="str">
        <f t="shared" si="396"/>
        <v>4Chiều5</v>
      </c>
      <c r="B815" s="29" t="str">
        <f t="shared" si="397"/>
        <v>4Chiều5</v>
      </c>
      <c r="C815" s="29" t="str">
        <f t="shared" si="398"/>
        <v/>
      </c>
      <c r="D815" s="29" t="str">
        <f t="shared" si="399"/>
        <v/>
      </c>
      <c r="E815" s="29" t="s">
        <v>16</v>
      </c>
      <c r="F815" s="29">
        <v>4</v>
      </c>
      <c r="G815" s="29" t="s">
        <v>4</v>
      </c>
      <c r="H815" s="29">
        <v>5</v>
      </c>
      <c r="I815" s="36" t="str">
        <f t="shared" ref="I815:J815" si="451">AD95</f>
        <v/>
      </c>
      <c r="J815" s="36" t="str">
        <f t="shared" si="451"/>
        <v/>
      </c>
    </row>
    <row r="816" spans="1:10" x14ac:dyDescent="0.25">
      <c r="A816" s="29" t="str">
        <f t="shared" si="396"/>
        <v>5Sáng1</v>
      </c>
      <c r="B816" s="29" t="str">
        <f t="shared" si="397"/>
        <v>5Sáng1Nhung</v>
      </c>
      <c r="C816" s="29" t="str">
        <f t="shared" si="398"/>
        <v/>
      </c>
      <c r="D816" s="29" t="str">
        <f t="shared" si="399"/>
        <v/>
      </c>
      <c r="E816" s="29" t="s">
        <v>16</v>
      </c>
      <c r="F816" s="29">
        <v>5</v>
      </c>
      <c r="G816" s="29" t="s">
        <v>3</v>
      </c>
      <c r="H816" s="29">
        <v>1</v>
      </c>
      <c r="I816" s="36" t="str">
        <f t="shared" ref="I816:J816" si="452">AD96</f>
        <v>Nhung</v>
      </c>
      <c r="J816" s="36" t="str">
        <f t="shared" si="452"/>
        <v>KHTN -6A1</v>
      </c>
    </row>
    <row r="817" spans="1:10" x14ac:dyDescent="0.25">
      <c r="A817" s="29" t="str">
        <f t="shared" si="396"/>
        <v>5Sáng2</v>
      </c>
      <c r="B817" s="29" t="str">
        <f t="shared" si="397"/>
        <v>5Sáng2Nhung</v>
      </c>
      <c r="C817" s="29" t="str">
        <f t="shared" si="398"/>
        <v/>
      </c>
      <c r="D817" s="29" t="str">
        <f t="shared" si="399"/>
        <v/>
      </c>
      <c r="E817" s="29" t="s">
        <v>16</v>
      </c>
      <c r="F817" s="29">
        <v>5</v>
      </c>
      <c r="G817" s="29" t="s">
        <v>3</v>
      </c>
      <c r="H817" s="29">
        <v>2</v>
      </c>
      <c r="I817" s="36" t="str">
        <f t="shared" ref="I817:J817" si="453">AD97</f>
        <v>Nhung</v>
      </c>
      <c r="J817" s="36" t="str">
        <f t="shared" si="453"/>
        <v>KHTN -6A1</v>
      </c>
    </row>
    <row r="818" spans="1:10" x14ac:dyDescent="0.25">
      <c r="A818" s="29" t="str">
        <f t="shared" si="396"/>
        <v>5Sáng3</v>
      </c>
      <c r="B818" s="29" t="e">
        <f t="shared" si="397"/>
        <v>#REF!</v>
      </c>
      <c r="C818" s="29" t="str">
        <f t="shared" si="398"/>
        <v/>
      </c>
      <c r="D818" s="29" t="str">
        <f t="shared" si="399"/>
        <v/>
      </c>
      <c r="E818" s="29" t="s">
        <v>16</v>
      </c>
      <c r="F818" s="29">
        <v>5</v>
      </c>
      <c r="G818" s="29" t="s">
        <v>3</v>
      </c>
      <c r="H818" s="29">
        <v>3</v>
      </c>
      <c r="I818" s="36" t="e">
        <f t="shared" ref="I818:J818" si="454">AD98</f>
        <v>#REF!</v>
      </c>
      <c r="J818" s="36" t="e">
        <f t="shared" si="454"/>
        <v>#REF!</v>
      </c>
    </row>
    <row r="819" spans="1:10" x14ac:dyDescent="0.25">
      <c r="A819" s="29" t="str">
        <f t="shared" si="396"/>
        <v>5Sáng4</v>
      </c>
      <c r="B819" s="29" t="e">
        <f t="shared" si="397"/>
        <v>#REF!</v>
      </c>
      <c r="C819" s="29" t="str">
        <f t="shared" si="398"/>
        <v/>
      </c>
      <c r="D819" s="29" t="str">
        <f t="shared" si="399"/>
        <v/>
      </c>
      <c r="E819" s="29" t="s">
        <v>16</v>
      </c>
      <c r="F819" s="29">
        <v>5</v>
      </c>
      <c r="G819" s="29" t="s">
        <v>3</v>
      </c>
      <c r="H819" s="29">
        <v>4</v>
      </c>
      <c r="I819" s="36" t="e">
        <f t="shared" ref="I819:J819" si="455">AD99</f>
        <v>#REF!</v>
      </c>
      <c r="J819" s="36" t="e">
        <f t="shared" si="455"/>
        <v>#REF!</v>
      </c>
    </row>
    <row r="820" spans="1:10" x14ac:dyDescent="0.25">
      <c r="A820" s="29" t="str">
        <f t="shared" si="396"/>
        <v>5Sáng5</v>
      </c>
      <c r="B820" s="29" t="str">
        <f t="shared" si="397"/>
        <v>5Sáng5Tân</v>
      </c>
      <c r="C820" s="29" t="str">
        <f t="shared" si="398"/>
        <v/>
      </c>
      <c r="D820" s="29" t="str">
        <f t="shared" si="399"/>
        <v/>
      </c>
      <c r="E820" s="29" t="s">
        <v>16</v>
      </c>
      <c r="F820" s="29">
        <v>5</v>
      </c>
      <c r="G820" s="29" t="s">
        <v>3</v>
      </c>
      <c r="H820" s="29">
        <v>5</v>
      </c>
      <c r="I820" s="36" t="str">
        <f t="shared" ref="I820:J820" si="456">AD100</f>
        <v>Tân</v>
      </c>
      <c r="J820" s="36" t="str">
        <f t="shared" si="456"/>
        <v>Toán -6A1</v>
      </c>
    </row>
    <row r="821" spans="1:10" x14ac:dyDescent="0.25">
      <c r="A821" s="29" t="str">
        <f t="shared" si="396"/>
        <v>5Chiều1</v>
      </c>
      <c r="B821" s="29" t="str">
        <f t="shared" si="397"/>
        <v>5Chiều1Tân</v>
      </c>
      <c r="C821" s="29" t="str">
        <f t="shared" si="398"/>
        <v/>
      </c>
      <c r="D821" s="29" t="str">
        <f t="shared" si="399"/>
        <v/>
      </c>
      <c r="E821" s="29" t="s">
        <v>16</v>
      </c>
      <c r="F821" s="29">
        <v>5</v>
      </c>
      <c r="G821" s="29" t="s">
        <v>4</v>
      </c>
      <c r="H821" s="29">
        <v>1</v>
      </c>
      <c r="I821" s="36" t="str">
        <f t="shared" ref="I821:J821" si="457">AD101</f>
        <v>Tân</v>
      </c>
      <c r="J821" s="36" t="str">
        <f t="shared" si="457"/>
        <v>Toán -6A1</v>
      </c>
    </row>
    <row r="822" spans="1:10" x14ac:dyDescent="0.25">
      <c r="A822" s="29" t="str">
        <f t="shared" si="396"/>
        <v>5Chiều2</v>
      </c>
      <c r="B822" s="29" t="str">
        <f t="shared" si="397"/>
        <v>5Chiều2Chánh</v>
      </c>
      <c r="C822" s="29" t="str">
        <f t="shared" si="398"/>
        <v/>
      </c>
      <c r="D822" s="29" t="str">
        <f t="shared" si="399"/>
        <v/>
      </c>
      <c r="E822" s="29" t="s">
        <v>16</v>
      </c>
      <c r="F822" s="29">
        <v>5</v>
      </c>
      <c r="G822" s="29" t="s">
        <v>4</v>
      </c>
      <c r="H822" s="29">
        <v>2</v>
      </c>
      <c r="I822" s="36" t="str">
        <f t="shared" ref="I822:J822" si="458">AD102</f>
        <v>Chánh</v>
      </c>
      <c r="J822" s="36" t="str">
        <f t="shared" si="458"/>
        <v>GVVN -6A1</v>
      </c>
    </row>
    <row r="823" spans="1:10" x14ac:dyDescent="0.25">
      <c r="A823" s="29" t="str">
        <f t="shared" ref="A823:A845" si="459">F823&amp;G823&amp;H823&amp;C823</f>
        <v>5Chiều3Tay</v>
      </c>
      <c r="B823" s="29" t="str">
        <f t="shared" ref="B823:B845" si="460">IF(D823="",F823&amp;G823&amp;H823&amp;I823,F823&amp;G823&amp;H823&amp;D823)</f>
        <v>5Chiều3Chánh</v>
      </c>
      <c r="C823" s="29" t="str">
        <f t="shared" ref="C823:C845" si="461">IFERROR(LEFT(I823,FIND(",",I823)-1),"")</f>
        <v>Tay</v>
      </c>
      <c r="D823" s="29" t="str">
        <f t="shared" ref="D823:D845" si="462">IF(C823="","",RIGHT(I823,LEN(I823)-FIND(",",I823)-1))</f>
        <v>Chánh</v>
      </c>
      <c r="E823" s="29" t="s">
        <v>16</v>
      </c>
      <c r="F823" s="29">
        <v>5</v>
      </c>
      <c r="G823" s="29" t="s">
        <v>4</v>
      </c>
      <c r="H823" s="29">
        <v>3</v>
      </c>
      <c r="I823" s="36" t="str">
        <f t="shared" ref="I823:J823" si="463">AD103</f>
        <v>Tay, Chánh</v>
      </c>
      <c r="J823" s="36" t="str">
        <f t="shared" si="463"/>
        <v>GVNN -6A1</v>
      </c>
    </row>
    <row r="824" spans="1:10" x14ac:dyDescent="0.25">
      <c r="A824" s="29" t="str">
        <f t="shared" si="459"/>
        <v>5Chiều4</v>
      </c>
      <c r="B824" s="29" t="str">
        <f t="shared" si="460"/>
        <v>5Chiều4Phương Anh</v>
      </c>
      <c r="C824" s="29" t="str">
        <f t="shared" si="461"/>
        <v/>
      </c>
      <c r="D824" s="29" t="str">
        <f t="shared" si="462"/>
        <v/>
      </c>
      <c r="E824" s="29" t="s">
        <v>16</v>
      </c>
      <c r="F824" s="29">
        <v>5</v>
      </c>
      <c r="G824" s="29" t="s">
        <v>4</v>
      </c>
      <c r="H824" s="29">
        <v>4</v>
      </c>
      <c r="I824" s="36" t="str">
        <f t="shared" ref="I824:J824" si="464">AD104</f>
        <v>Phương Anh</v>
      </c>
      <c r="J824" s="36" t="str">
        <f t="shared" si="464"/>
        <v>HĐTN -6A1</v>
      </c>
    </row>
    <row r="825" spans="1:10" x14ac:dyDescent="0.25">
      <c r="A825" s="29" t="str">
        <f t="shared" si="459"/>
        <v>5Chiều5</v>
      </c>
      <c r="B825" s="29" t="str">
        <f t="shared" si="460"/>
        <v>5Chiều5</v>
      </c>
      <c r="C825" s="29" t="str">
        <f t="shared" si="461"/>
        <v/>
      </c>
      <c r="D825" s="29" t="str">
        <f t="shared" si="462"/>
        <v/>
      </c>
      <c r="E825" s="29" t="s">
        <v>16</v>
      </c>
      <c r="F825" s="29">
        <v>5</v>
      </c>
      <c r="G825" s="29" t="s">
        <v>4</v>
      </c>
      <c r="H825" s="29">
        <v>5</v>
      </c>
      <c r="I825" s="36" t="str">
        <f t="shared" ref="I825:J825" si="465">AD105</f>
        <v/>
      </c>
      <c r="J825" s="36" t="str">
        <f t="shared" si="465"/>
        <v/>
      </c>
    </row>
    <row r="826" spans="1:10" x14ac:dyDescent="0.25">
      <c r="A826" s="29" t="str">
        <f t="shared" si="459"/>
        <v>6Sáng1</v>
      </c>
      <c r="B826" s="29" t="str">
        <f t="shared" si="460"/>
        <v>6Sáng1Hà</v>
      </c>
      <c r="C826" s="29" t="str">
        <f t="shared" si="461"/>
        <v/>
      </c>
      <c r="D826" s="29" t="str">
        <f t="shared" si="462"/>
        <v/>
      </c>
      <c r="E826" s="29" t="s">
        <v>16</v>
      </c>
      <c r="F826" s="29">
        <v>6</v>
      </c>
      <c r="G826" s="29" t="s">
        <v>3</v>
      </c>
      <c r="H826" s="29">
        <v>1</v>
      </c>
      <c r="I826" s="36" t="str">
        <f t="shared" ref="I826:J826" si="466">AD106</f>
        <v>Hà</v>
      </c>
      <c r="J826" s="36" t="str">
        <f t="shared" si="466"/>
        <v>LS&amp;ĐL -6A1</v>
      </c>
    </row>
    <row r="827" spans="1:10" x14ac:dyDescent="0.25">
      <c r="A827" s="29" t="str">
        <f t="shared" si="459"/>
        <v>6Sáng2</v>
      </c>
      <c r="B827" s="29" t="str">
        <f t="shared" si="460"/>
        <v>6Sáng2Tân</v>
      </c>
      <c r="C827" s="29" t="str">
        <f t="shared" si="461"/>
        <v/>
      </c>
      <c r="D827" s="29" t="str">
        <f t="shared" si="462"/>
        <v/>
      </c>
      <c r="E827" s="29" t="s">
        <v>16</v>
      </c>
      <c r="F827" s="29">
        <v>6</v>
      </c>
      <c r="G827" s="29" t="s">
        <v>3</v>
      </c>
      <c r="H827" s="29">
        <v>2</v>
      </c>
      <c r="I827" s="36" t="str">
        <f t="shared" ref="I827:J827" si="467">AD107</f>
        <v>Tân</v>
      </c>
      <c r="J827" s="36" t="str">
        <f t="shared" si="467"/>
        <v>Toán -6A1</v>
      </c>
    </row>
    <row r="828" spans="1:10" x14ac:dyDescent="0.25">
      <c r="A828" s="29" t="str">
        <f t="shared" si="459"/>
        <v>6Sáng3</v>
      </c>
      <c r="B828" s="29" t="str">
        <f t="shared" si="460"/>
        <v>6Sáng3Tân</v>
      </c>
      <c r="C828" s="29" t="str">
        <f t="shared" si="461"/>
        <v/>
      </c>
      <c r="D828" s="29" t="str">
        <f t="shared" si="462"/>
        <v/>
      </c>
      <c r="E828" s="29" t="s">
        <v>16</v>
      </c>
      <c r="F828" s="29">
        <v>6</v>
      </c>
      <c r="G828" s="29" t="s">
        <v>3</v>
      </c>
      <c r="H828" s="29">
        <v>3</v>
      </c>
      <c r="I828" s="36" t="str">
        <f t="shared" ref="I828:J828" si="468">AD108</f>
        <v>Tân</v>
      </c>
      <c r="J828" s="36" t="str">
        <f t="shared" si="468"/>
        <v>Toán -6A1</v>
      </c>
    </row>
    <row r="829" spans="1:10" x14ac:dyDescent="0.25">
      <c r="A829" s="29" t="str">
        <f t="shared" si="459"/>
        <v>6Sáng4</v>
      </c>
      <c r="B829" s="29" t="str">
        <f t="shared" si="460"/>
        <v>6Sáng4Nguyên</v>
      </c>
      <c r="C829" s="29" t="str">
        <f t="shared" si="461"/>
        <v/>
      </c>
      <c r="D829" s="29" t="str">
        <f t="shared" si="462"/>
        <v/>
      </c>
      <c r="E829" s="29" t="s">
        <v>16</v>
      </c>
      <c r="F829" s="29">
        <v>6</v>
      </c>
      <c r="G829" s="29" t="s">
        <v>3</v>
      </c>
      <c r="H829" s="29">
        <v>4</v>
      </c>
      <c r="I829" s="36" t="str">
        <f t="shared" ref="I829:J829" si="469">AD109</f>
        <v>Nguyên</v>
      </c>
      <c r="J829" s="36" t="str">
        <f t="shared" si="469"/>
        <v>Tin -6A1</v>
      </c>
    </row>
    <row r="830" spans="1:10" x14ac:dyDescent="0.25">
      <c r="A830" s="29" t="str">
        <f t="shared" si="459"/>
        <v>6Sáng5</v>
      </c>
      <c r="B830" s="29" t="str">
        <f t="shared" si="460"/>
        <v>6Sáng5Nguyên</v>
      </c>
      <c r="C830" s="29" t="str">
        <f t="shared" si="461"/>
        <v/>
      </c>
      <c r="D830" s="29" t="str">
        <f t="shared" si="462"/>
        <v/>
      </c>
      <c r="E830" s="29" t="s">
        <v>16</v>
      </c>
      <c r="F830" s="29">
        <v>6</v>
      </c>
      <c r="G830" s="29" t="s">
        <v>3</v>
      </c>
      <c r="H830" s="29">
        <v>5</v>
      </c>
      <c r="I830" s="36" t="str">
        <f t="shared" ref="I830:J830" si="470">AD110</f>
        <v>Nguyên</v>
      </c>
      <c r="J830" s="36" t="str">
        <f t="shared" si="470"/>
        <v>Robotics -6A1</v>
      </c>
    </row>
    <row r="831" spans="1:10" x14ac:dyDescent="0.25">
      <c r="A831" s="29" t="str">
        <f t="shared" si="459"/>
        <v>6Chiều1</v>
      </c>
      <c r="B831" s="29" t="str">
        <f t="shared" si="460"/>
        <v>6Chiều1Hồng</v>
      </c>
      <c r="C831" s="29" t="str">
        <f t="shared" si="461"/>
        <v/>
      </c>
      <c r="D831" s="29" t="str">
        <f t="shared" si="462"/>
        <v/>
      </c>
      <c r="E831" s="29" t="s">
        <v>16</v>
      </c>
      <c r="F831" s="29">
        <v>6</v>
      </c>
      <c r="G831" s="29" t="s">
        <v>4</v>
      </c>
      <c r="H831" s="29">
        <v>1</v>
      </c>
      <c r="I831" s="36" t="str">
        <f t="shared" ref="I831:J831" si="471">AD111</f>
        <v>Hồng</v>
      </c>
      <c r="J831" s="36" t="str">
        <f t="shared" si="471"/>
        <v>GDTC -6A1</v>
      </c>
    </row>
    <row r="832" spans="1:10" x14ac:dyDescent="0.25">
      <c r="A832" s="29" t="str">
        <f t="shared" si="459"/>
        <v>6Chiều2</v>
      </c>
      <c r="B832" s="29" t="str">
        <f t="shared" si="460"/>
        <v>6Chiều2Hồng</v>
      </c>
      <c r="C832" s="29" t="str">
        <f t="shared" si="461"/>
        <v/>
      </c>
      <c r="D832" s="29" t="str">
        <f t="shared" si="462"/>
        <v/>
      </c>
      <c r="E832" s="29" t="s">
        <v>16</v>
      </c>
      <c r="F832" s="29">
        <v>6</v>
      </c>
      <c r="G832" s="29" t="s">
        <v>4</v>
      </c>
      <c r="H832" s="29">
        <v>2</v>
      </c>
      <c r="I832" s="36" t="str">
        <f t="shared" ref="I832:J832" si="472">AD112</f>
        <v>Hồng</v>
      </c>
      <c r="J832" s="36" t="str">
        <f t="shared" si="472"/>
        <v>GDTC -6A1</v>
      </c>
    </row>
    <row r="833" spans="1:10" x14ac:dyDescent="0.25">
      <c r="A833" s="29" t="str">
        <f t="shared" si="459"/>
        <v>6Chiều3</v>
      </c>
      <c r="B833" s="29" t="str">
        <f t="shared" si="460"/>
        <v>6Chiều3Hà</v>
      </c>
      <c r="C833" s="29" t="str">
        <f t="shared" si="461"/>
        <v/>
      </c>
      <c r="D833" s="29" t="str">
        <f t="shared" si="462"/>
        <v/>
      </c>
      <c r="E833" s="29" t="s">
        <v>16</v>
      </c>
      <c r="F833" s="29">
        <v>6</v>
      </c>
      <c r="G833" s="29" t="s">
        <v>4</v>
      </c>
      <c r="H833" s="29">
        <v>3</v>
      </c>
      <c r="I833" s="36" t="str">
        <f t="shared" ref="I833:J833" si="473">AD113</f>
        <v>Hà</v>
      </c>
      <c r="J833" s="36" t="str">
        <f t="shared" si="473"/>
        <v>Văn -6A1</v>
      </c>
    </row>
    <row r="834" spans="1:10" x14ac:dyDescent="0.25">
      <c r="A834" s="29" t="str">
        <f t="shared" si="459"/>
        <v>6Chiều4</v>
      </c>
      <c r="B834" s="29" t="str">
        <f t="shared" si="460"/>
        <v>6Chiều4Hà</v>
      </c>
      <c r="C834" s="29" t="str">
        <f t="shared" si="461"/>
        <v/>
      </c>
      <c r="D834" s="29" t="str">
        <f t="shared" si="462"/>
        <v/>
      </c>
      <c r="E834" s="29" t="s">
        <v>16</v>
      </c>
      <c r="F834" s="29">
        <v>6</v>
      </c>
      <c r="G834" s="29" t="s">
        <v>4</v>
      </c>
      <c r="H834" s="29">
        <v>4</v>
      </c>
      <c r="I834" s="36" t="str">
        <f t="shared" ref="I834:J834" si="474">AD114</f>
        <v>Hà</v>
      </c>
      <c r="J834" s="36" t="str">
        <f t="shared" si="474"/>
        <v>Văn -6A1</v>
      </c>
    </row>
    <row r="835" spans="1:10" x14ac:dyDescent="0.25">
      <c r="A835" s="29" t="str">
        <f t="shared" si="459"/>
        <v>6Chiều5</v>
      </c>
      <c r="B835" s="29" t="str">
        <f t="shared" si="460"/>
        <v>6Chiều5</v>
      </c>
      <c r="C835" s="29" t="str">
        <f t="shared" si="461"/>
        <v/>
      </c>
      <c r="D835" s="29" t="str">
        <f t="shared" si="462"/>
        <v/>
      </c>
      <c r="E835" s="29" t="s">
        <v>16</v>
      </c>
      <c r="F835" s="29">
        <v>6</v>
      </c>
      <c r="G835" s="29" t="s">
        <v>4</v>
      </c>
      <c r="H835" s="29">
        <v>5</v>
      </c>
      <c r="I835" s="36" t="str">
        <f t="shared" ref="I835:J835" si="475">AD115</f>
        <v/>
      </c>
      <c r="J835" s="36" t="str">
        <f t="shared" si="475"/>
        <v/>
      </c>
    </row>
    <row r="836" spans="1:10" x14ac:dyDescent="0.25">
      <c r="A836" s="29" t="str">
        <f t="shared" si="459"/>
        <v>7Sáng1</v>
      </c>
      <c r="B836" s="29" t="str">
        <f t="shared" si="460"/>
        <v>7Sáng1</v>
      </c>
      <c r="C836" s="29" t="str">
        <f t="shared" si="461"/>
        <v/>
      </c>
      <c r="D836" s="29" t="str">
        <f t="shared" si="462"/>
        <v/>
      </c>
      <c r="E836" s="29" t="s">
        <v>16</v>
      </c>
      <c r="F836" s="29">
        <v>7</v>
      </c>
      <c r="G836" s="29" t="s">
        <v>3</v>
      </c>
      <c r="H836" s="29">
        <v>1</v>
      </c>
      <c r="I836" s="36" t="str">
        <f t="shared" ref="I836:J836" si="476">AD116</f>
        <v/>
      </c>
      <c r="J836" s="36" t="str">
        <f t="shared" si="476"/>
        <v/>
      </c>
    </row>
    <row r="837" spans="1:10" x14ac:dyDescent="0.25">
      <c r="A837" s="29" t="str">
        <f t="shared" si="459"/>
        <v>7Sáng2</v>
      </c>
      <c r="B837" s="29" t="str">
        <f t="shared" si="460"/>
        <v>7Sáng2</v>
      </c>
      <c r="C837" s="29" t="str">
        <f t="shared" si="461"/>
        <v/>
      </c>
      <c r="D837" s="29" t="str">
        <f t="shared" si="462"/>
        <v/>
      </c>
      <c r="E837" s="29" t="s">
        <v>16</v>
      </c>
      <c r="F837" s="29">
        <v>7</v>
      </c>
      <c r="G837" s="29" t="s">
        <v>3</v>
      </c>
      <c r="H837" s="29">
        <v>2</v>
      </c>
      <c r="I837" s="36" t="str">
        <f t="shared" ref="I837:J837" si="477">AD117</f>
        <v/>
      </c>
      <c r="J837" s="36" t="str">
        <f t="shared" si="477"/>
        <v/>
      </c>
    </row>
    <row r="838" spans="1:10" x14ac:dyDescent="0.25">
      <c r="A838" s="29" t="str">
        <f t="shared" si="459"/>
        <v>7Sáng3</v>
      </c>
      <c r="B838" s="29" t="str">
        <f t="shared" si="460"/>
        <v>7Sáng3</v>
      </c>
      <c r="C838" s="29" t="str">
        <f t="shared" si="461"/>
        <v/>
      </c>
      <c r="D838" s="29" t="str">
        <f t="shared" si="462"/>
        <v/>
      </c>
      <c r="E838" s="29" t="s">
        <v>16</v>
      </c>
      <c r="F838" s="29">
        <v>7</v>
      </c>
      <c r="G838" s="29" t="s">
        <v>3</v>
      </c>
      <c r="H838" s="29">
        <v>3</v>
      </c>
      <c r="I838" s="36" t="str">
        <f t="shared" ref="I838:J838" si="478">AD118</f>
        <v/>
      </c>
      <c r="J838" s="36" t="str">
        <f t="shared" si="478"/>
        <v/>
      </c>
    </row>
    <row r="839" spans="1:10" x14ac:dyDescent="0.25">
      <c r="A839" s="29" t="str">
        <f t="shared" si="459"/>
        <v>7Sáng4</v>
      </c>
      <c r="B839" s="29" t="str">
        <f t="shared" si="460"/>
        <v>7Sáng4</v>
      </c>
      <c r="C839" s="29" t="str">
        <f t="shared" si="461"/>
        <v/>
      </c>
      <c r="D839" s="29" t="str">
        <f t="shared" si="462"/>
        <v/>
      </c>
      <c r="E839" s="29" t="s">
        <v>16</v>
      </c>
      <c r="F839" s="29">
        <v>7</v>
      </c>
      <c r="G839" s="29" t="s">
        <v>3</v>
      </c>
      <c r="H839" s="29">
        <v>4</v>
      </c>
      <c r="I839" s="36" t="str">
        <f t="shared" ref="I839:J839" si="479">AD119</f>
        <v/>
      </c>
      <c r="J839" s="36" t="str">
        <f t="shared" si="479"/>
        <v/>
      </c>
    </row>
    <row r="840" spans="1:10" x14ac:dyDescent="0.25">
      <c r="A840" s="29" t="str">
        <f t="shared" si="459"/>
        <v>7Sáng5</v>
      </c>
      <c r="B840" s="29" t="str">
        <f t="shared" si="460"/>
        <v>7Sáng5</v>
      </c>
      <c r="C840" s="29" t="str">
        <f t="shared" si="461"/>
        <v/>
      </c>
      <c r="D840" s="29" t="str">
        <f t="shared" si="462"/>
        <v/>
      </c>
      <c r="E840" s="29" t="s">
        <v>16</v>
      </c>
      <c r="F840" s="29">
        <v>7</v>
      </c>
      <c r="G840" s="29" t="s">
        <v>3</v>
      </c>
      <c r="H840" s="29">
        <v>5</v>
      </c>
      <c r="I840" s="36" t="str">
        <f t="shared" ref="I840:J840" si="480">AD120</f>
        <v/>
      </c>
      <c r="J840" s="36" t="str">
        <f t="shared" si="480"/>
        <v/>
      </c>
    </row>
    <row r="841" spans="1:10" x14ac:dyDescent="0.25">
      <c r="A841" s="29" t="str">
        <f t="shared" si="459"/>
        <v>7Chiều1</v>
      </c>
      <c r="B841" s="29" t="str">
        <f t="shared" si="460"/>
        <v>7Chiều1</v>
      </c>
      <c r="C841" s="29" t="str">
        <f t="shared" si="461"/>
        <v/>
      </c>
      <c r="D841" s="29" t="str">
        <f t="shared" si="462"/>
        <v/>
      </c>
      <c r="E841" s="29" t="s">
        <v>16</v>
      </c>
      <c r="F841" s="29">
        <v>7</v>
      </c>
      <c r="G841" s="29" t="s">
        <v>4</v>
      </c>
      <c r="H841" s="29">
        <v>1</v>
      </c>
      <c r="I841" s="36" t="str">
        <f t="shared" ref="I841:J841" si="481">AD121</f>
        <v/>
      </c>
      <c r="J841" s="36" t="str">
        <f t="shared" si="481"/>
        <v/>
      </c>
    </row>
    <row r="842" spans="1:10" x14ac:dyDescent="0.25">
      <c r="A842" s="29" t="str">
        <f t="shared" si="459"/>
        <v>7Chiều2</v>
      </c>
      <c r="B842" s="29" t="str">
        <f t="shared" si="460"/>
        <v>7Chiều2</v>
      </c>
      <c r="C842" s="29" t="str">
        <f t="shared" si="461"/>
        <v/>
      </c>
      <c r="D842" s="29" t="str">
        <f t="shared" si="462"/>
        <v/>
      </c>
      <c r="E842" s="29" t="s">
        <v>16</v>
      </c>
      <c r="F842" s="29">
        <v>7</v>
      </c>
      <c r="G842" s="29" t="s">
        <v>4</v>
      </c>
      <c r="H842" s="29">
        <v>2</v>
      </c>
      <c r="I842" s="36" t="str">
        <f t="shared" ref="I842:J842" si="482">AD122</f>
        <v/>
      </c>
      <c r="J842" s="36" t="str">
        <f t="shared" si="482"/>
        <v/>
      </c>
    </row>
    <row r="843" spans="1:10" x14ac:dyDescent="0.25">
      <c r="A843" s="29" t="str">
        <f t="shared" si="459"/>
        <v>7Chiều3</v>
      </c>
      <c r="B843" s="29" t="str">
        <f t="shared" si="460"/>
        <v>7Chiều3</v>
      </c>
      <c r="C843" s="29" t="str">
        <f t="shared" si="461"/>
        <v/>
      </c>
      <c r="D843" s="29" t="str">
        <f t="shared" si="462"/>
        <v/>
      </c>
      <c r="E843" s="29" t="s">
        <v>16</v>
      </c>
      <c r="F843" s="29">
        <v>7</v>
      </c>
      <c r="G843" s="29" t="s">
        <v>4</v>
      </c>
      <c r="H843" s="29">
        <v>3</v>
      </c>
      <c r="I843" s="36" t="str">
        <f t="shared" ref="I843:J843" si="483">AD123</f>
        <v/>
      </c>
      <c r="J843" s="36" t="str">
        <f t="shared" si="483"/>
        <v/>
      </c>
    </row>
    <row r="844" spans="1:10" x14ac:dyDescent="0.25">
      <c r="A844" s="29" t="str">
        <f t="shared" si="459"/>
        <v>7Chiều4</v>
      </c>
      <c r="B844" s="29" t="str">
        <f t="shared" si="460"/>
        <v>7Chiều4</v>
      </c>
      <c r="C844" s="29" t="str">
        <f t="shared" si="461"/>
        <v/>
      </c>
      <c r="D844" s="29" t="str">
        <f t="shared" si="462"/>
        <v/>
      </c>
      <c r="E844" s="29" t="s">
        <v>16</v>
      </c>
      <c r="F844" s="29">
        <v>7</v>
      </c>
      <c r="G844" s="29" t="s">
        <v>4</v>
      </c>
      <c r="H844" s="29">
        <v>4</v>
      </c>
      <c r="I844" s="36" t="str">
        <f t="shared" ref="I844:J844" si="484">AD124</f>
        <v/>
      </c>
      <c r="J844" s="36" t="str">
        <f t="shared" si="484"/>
        <v/>
      </c>
    </row>
    <row r="845" spans="1:10" x14ac:dyDescent="0.25">
      <c r="A845" s="29" t="str">
        <f t="shared" si="459"/>
        <v>7Chiều5</v>
      </c>
      <c r="B845" s="29" t="str">
        <f t="shared" si="460"/>
        <v>7Chiều5</v>
      </c>
      <c r="C845" s="29" t="str">
        <f t="shared" si="461"/>
        <v/>
      </c>
      <c r="D845" s="29" t="str">
        <f t="shared" si="462"/>
        <v/>
      </c>
      <c r="E845" s="29" t="s">
        <v>16</v>
      </c>
      <c r="F845" s="29">
        <v>7</v>
      </c>
      <c r="G845" s="29" t="s">
        <v>4</v>
      </c>
      <c r="H845" s="29">
        <v>5</v>
      </c>
      <c r="I845" s="36" t="str">
        <f t="shared" ref="I845:J845" si="485">AD125</f>
        <v/>
      </c>
      <c r="J845" s="36" t="str">
        <f t="shared" si="485"/>
        <v/>
      </c>
    </row>
  </sheetData>
  <autoFilter ref="B65:K845" xr:uid="{02CDF078-79E2-734D-A2B9-67DD883EE2B5}"/>
  <mergeCells count="125">
    <mergeCell ref="DH31:DH35"/>
    <mergeCell ref="DG36:DG40"/>
    <mergeCell ref="DH36:DH40"/>
    <mergeCell ref="DH41:DH45"/>
    <mergeCell ref="DG46:DG50"/>
    <mergeCell ref="DH46:DH50"/>
    <mergeCell ref="DG51:DG55"/>
    <mergeCell ref="DH51:DH55"/>
    <mergeCell ref="DG56:DG60"/>
    <mergeCell ref="DH56:DH60"/>
    <mergeCell ref="DG4:DG5"/>
    <mergeCell ref="DI4:DI5"/>
    <mergeCell ref="DG6:DG10"/>
    <mergeCell ref="DH6:DH10"/>
    <mergeCell ref="DH11:DH15"/>
    <mergeCell ref="DG16:DG20"/>
    <mergeCell ref="DH16:DH20"/>
    <mergeCell ref="DH21:DH25"/>
    <mergeCell ref="DG26:DG30"/>
    <mergeCell ref="DH26:DH30"/>
    <mergeCell ref="CH46:CH50"/>
    <mergeCell ref="CG51:CG55"/>
    <mergeCell ref="CH51:CH55"/>
    <mergeCell ref="CG56:CG60"/>
    <mergeCell ref="CH56:CH60"/>
    <mergeCell ref="BQ56:BQ60"/>
    <mergeCell ref="CG4:CG5"/>
    <mergeCell ref="CI4:CI5"/>
    <mergeCell ref="CG6:CG10"/>
    <mergeCell ref="CH6:CH10"/>
    <mergeCell ref="CH11:CH15"/>
    <mergeCell ref="CG16:CG20"/>
    <mergeCell ref="CH16:CH20"/>
    <mergeCell ref="CH21:CH25"/>
    <mergeCell ref="CG26:CG30"/>
    <mergeCell ref="CH26:CH30"/>
    <mergeCell ref="CH31:CH35"/>
    <mergeCell ref="CG36:CG40"/>
    <mergeCell ref="CH36:CH40"/>
    <mergeCell ref="CH41:CH45"/>
    <mergeCell ref="CG46:CG50"/>
    <mergeCell ref="BQ41:BQ45"/>
    <mergeCell ref="BR4:BR5"/>
    <mergeCell ref="BQ6:BQ10"/>
    <mergeCell ref="BQ11:BQ15"/>
    <mergeCell ref="BP16:BP20"/>
    <mergeCell ref="BQ16:BQ20"/>
    <mergeCell ref="AU51:AU55"/>
    <mergeCell ref="AV51:AV55"/>
    <mergeCell ref="AU56:AU60"/>
    <mergeCell ref="AV56:AV60"/>
    <mergeCell ref="BP46:BP50"/>
    <mergeCell ref="BQ46:BQ50"/>
    <mergeCell ref="BP51:BP55"/>
    <mergeCell ref="BQ51:BQ55"/>
    <mergeCell ref="BQ21:BQ25"/>
    <mergeCell ref="BP26:BP30"/>
    <mergeCell ref="BQ26:BQ30"/>
    <mergeCell ref="BQ31:BQ35"/>
    <mergeCell ref="BP36:BP40"/>
    <mergeCell ref="BQ36:BQ40"/>
    <mergeCell ref="BP4:BP5"/>
    <mergeCell ref="BP56:BP60"/>
    <mergeCell ref="AV31:AV35"/>
    <mergeCell ref="AU36:AU40"/>
    <mergeCell ref="AV36:AV40"/>
    <mergeCell ref="AV41:AV45"/>
    <mergeCell ref="AU46:AU50"/>
    <mergeCell ref="AV46:AV50"/>
    <mergeCell ref="AU16:AU20"/>
    <mergeCell ref="AV16:AV20"/>
    <mergeCell ref="AV21:AV25"/>
    <mergeCell ref="AU26:AU30"/>
    <mergeCell ref="AV26:AV30"/>
    <mergeCell ref="AW4:AW5"/>
    <mergeCell ref="AU4:AU5"/>
    <mergeCell ref="AU6:AU10"/>
    <mergeCell ref="AV6:AV10"/>
    <mergeCell ref="AV11:AV15"/>
    <mergeCell ref="BP6:BP10"/>
    <mergeCell ref="AB4:AB5"/>
    <mergeCell ref="AA56:AA60"/>
    <mergeCell ref="F51:F55"/>
    <mergeCell ref="F36:F40"/>
    <mergeCell ref="F41:F45"/>
    <mergeCell ref="F46:F50"/>
    <mergeCell ref="Z6:Z10"/>
    <mergeCell ref="Z4:Z5"/>
    <mergeCell ref="Z16:Z20"/>
    <mergeCell ref="Z26:Z30"/>
    <mergeCell ref="Z36:Z40"/>
    <mergeCell ref="Z46:Z50"/>
    <mergeCell ref="E26:E30"/>
    <mergeCell ref="E36:E40"/>
    <mergeCell ref="E46:E50"/>
    <mergeCell ref="E51:E55"/>
    <mergeCell ref="E6:E10"/>
    <mergeCell ref="AA46:AA50"/>
    <mergeCell ref="AA51:AA55"/>
    <mergeCell ref="Z56:Z60"/>
    <mergeCell ref="F56:F60"/>
    <mergeCell ref="CG2:CI2"/>
    <mergeCell ref="DG2:DI2"/>
    <mergeCell ref="E1:I2"/>
    <mergeCell ref="J1:O1"/>
    <mergeCell ref="J2:O2"/>
    <mergeCell ref="E4:E5"/>
    <mergeCell ref="G4:G5"/>
    <mergeCell ref="E56:E60"/>
    <mergeCell ref="AA6:AA10"/>
    <mergeCell ref="AA11:AA15"/>
    <mergeCell ref="AA16:AA20"/>
    <mergeCell ref="AA21:AA25"/>
    <mergeCell ref="AA26:AA30"/>
    <mergeCell ref="AA31:AA35"/>
    <mergeCell ref="AA36:AA40"/>
    <mergeCell ref="AA41:AA45"/>
    <mergeCell ref="Z51:Z55"/>
    <mergeCell ref="F6:F10"/>
    <mergeCell ref="F11:F15"/>
    <mergeCell ref="F16:F20"/>
    <mergeCell ref="F21:F25"/>
    <mergeCell ref="F26:F30"/>
    <mergeCell ref="F31:F35"/>
    <mergeCell ref="E16:E20"/>
  </mergeCells>
  <conditionalFormatting sqref="AC6:AO60">
    <cfRule type="cellIs" dxfId="10" priority="13" operator="between">
      <formula>2</formula>
      <formula>10</formula>
    </cfRule>
  </conditionalFormatting>
  <conditionalFormatting sqref="BS6:CE60">
    <cfRule type="cellIs" dxfId="9" priority="11" operator="between">
      <formula>2</formula>
      <formula>10</formula>
    </cfRule>
  </conditionalFormatting>
  <conditionalFormatting sqref="CJ6:CV60">
    <cfRule type="cellIs" dxfId="8" priority="10" operator="between">
      <formula>2</formula>
      <formula>10</formula>
    </cfRule>
  </conditionalFormatting>
  <conditionalFormatting sqref="DJ6:DV60">
    <cfRule type="cellIs" dxfId="7" priority="8" operator="between">
      <formula>2</formula>
      <formula>10</formula>
    </cfRule>
  </conditionalFormatting>
  <conditionalFormatting sqref="CW6:DA60">
    <cfRule type="cellIs" dxfId="6" priority="7" operator="between">
      <formula>2</formula>
      <formula>10</formula>
    </cfRule>
  </conditionalFormatting>
  <conditionalFormatting sqref="AP6:AP60">
    <cfRule type="cellIs" dxfId="5" priority="6" operator="between">
      <formula>2</formula>
      <formula>10</formula>
    </cfRule>
  </conditionalFormatting>
  <conditionalFormatting sqref="AQ6:AQ60">
    <cfRule type="cellIs" dxfId="4" priority="5" operator="between">
      <formula>2</formula>
      <formula>10</formula>
    </cfRule>
  </conditionalFormatting>
  <conditionalFormatting sqref="AR6:AR60">
    <cfRule type="cellIs" dxfId="3" priority="4" operator="between">
      <formula>2</formula>
      <formula>10</formula>
    </cfRule>
  </conditionalFormatting>
  <conditionalFormatting sqref="AS6:AS60">
    <cfRule type="cellIs" dxfId="2" priority="3" operator="between">
      <formula>2</formula>
      <formula>10</formula>
    </cfRule>
  </conditionalFormatting>
  <conditionalFormatting sqref="AT6:AT60">
    <cfRule type="cellIs" dxfId="1" priority="2" operator="between">
      <formula>2</formula>
      <formula>10</formula>
    </cfRule>
  </conditionalFormatting>
  <conditionalFormatting sqref="DW6:EA60">
    <cfRule type="cellIs" dxfId="0" priority="1" operator="between">
      <formula>2</formula>
      <formula>10</formula>
    </cfRule>
  </conditionalFormatting>
  <printOptions verticalCentered="1"/>
  <pageMargins left="0.4" right="0" top="0" bottom="0" header="0.5" footer="0.5"/>
  <pageSetup paperSize="9" scale="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TKB_LOP_SC</vt:lpstr>
      <vt:lpstr>TKB_GV_SC</vt:lpstr>
      <vt:lpstr>TKB_LOP_CHECK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trang</dc:creator>
  <cp:lastModifiedBy>Administrator</cp:lastModifiedBy>
  <cp:lastPrinted>2026-07-29T08:35:42Z</cp:lastPrinted>
  <dcterms:created xsi:type="dcterms:W3CDTF">2014-03-02T02:08:35Z</dcterms:created>
  <dcterms:modified xsi:type="dcterms:W3CDTF">2026-07-29T08:36:03Z</dcterms:modified>
</cp:coreProperties>
</file>